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lep/Downloads/Spring 2025 (MC)/BSAN 101/"/>
    </mc:Choice>
  </mc:AlternateContent>
  <xr:revisionPtr revIDLastSave="0" documentId="13_ncr:1_{CBDFBFC5-A4B2-D643-B125-0BC13715333E}" xr6:coauthVersionLast="47" xr6:coauthVersionMax="47" xr10:uidLastSave="{00000000-0000-0000-0000-000000000000}"/>
  <bookViews>
    <workbookView xWindow="0" yWindow="660" windowWidth="29400" windowHeight="17020" firstSheet="1" activeTab="4" xr2:uid="{43147AE8-6284-8946-955A-5A4E5AD1E95C}"/>
  </bookViews>
  <sheets>
    <sheet name="Stationary Analysis" sheetId="2" r:id="rId1"/>
    <sheet name="Monthly Descriptive Analysis" sheetId="4" r:id="rId2"/>
    <sheet name="Annual Descriptive Analysis" sheetId="3" r:id="rId3"/>
    <sheet name="Moving Average Forecasting" sheetId="1" r:id="rId4"/>
    <sheet name="Exponential Smoothing Forecas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D240" i="1" l="1"/>
  <c r="BD247" i="1"/>
  <c r="W241" i="5"/>
  <c r="M241" i="5"/>
  <c r="BB247" i="1"/>
  <c r="G253" i="1" s="1"/>
  <c r="N247" i="1"/>
  <c r="G254" i="1" s="1"/>
  <c r="G238" i="1"/>
  <c r="G237" i="1"/>
  <c r="D7" i="1"/>
  <c r="F247" i="1" l="1"/>
  <c r="BE59" i="1"/>
  <c r="BE81" i="1"/>
  <c r="BE82" i="1"/>
  <c r="BE137" i="1"/>
  <c r="BE187" i="1"/>
  <c r="BE209" i="1"/>
  <c r="BD47" i="1"/>
  <c r="BD55" i="1"/>
  <c r="BD87" i="1"/>
  <c r="BD95" i="1"/>
  <c r="BD109" i="1"/>
  <c r="BD110" i="1"/>
  <c r="BD127" i="1"/>
  <c r="BD135" i="1"/>
  <c r="BD159" i="1"/>
  <c r="BD213" i="1"/>
  <c r="BD222" i="1"/>
  <c r="BD223" i="1"/>
  <c r="BC46" i="1"/>
  <c r="BE46" i="1" s="1"/>
  <c r="BC49" i="1"/>
  <c r="BD49" i="1" s="1"/>
  <c r="BC62" i="1"/>
  <c r="BD62" i="1" s="1"/>
  <c r="BC65" i="1"/>
  <c r="BC67" i="1"/>
  <c r="BD67" i="1" s="1"/>
  <c r="BC73" i="1"/>
  <c r="BD73" i="1" s="1"/>
  <c r="BC86" i="1"/>
  <c r="BC89" i="1"/>
  <c r="BC106" i="1"/>
  <c r="BC108" i="1"/>
  <c r="BD108" i="1" s="1"/>
  <c r="BC110" i="1"/>
  <c r="BE110" i="1" s="1"/>
  <c r="BC113" i="1"/>
  <c r="BC126" i="1"/>
  <c r="BD126" i="1" s="1"/>
  <c r="BC129" i="1"/>
  <c r="BC137" i="1"/>
  <c r="BD137" i="1" s="1"/>
  <c r="BC147" i="1"/>
  <c r="BC150" i="1"/>
  <c r="BE150" i="1" s="1"/>
  <c r="BC153" i="1"/>
  <c r="BC174" i="1"/>
  <c r="BC182" i="1"/>
  <c r="BC185" i="1"/>
  <c r="BC190" i="1"/>
  <c r="BC193" i="1"/>
  <c r="BC206" i="1"/>
  <c r="BD206" i="1" s="1"/>
  <c r="BC209" i="1"/>
  <c r="BD209" i="1" s="1"/>
  <c r="BC211" i="1"/>
  <c r="BC233" i="1"/>
  <c r="BC234" i="1"/>
  <c r="BC246" i="1"/>
  <c r="BB43" i="1"/>
  <c r="BC43" i="1" s="1"/>
  <c r="BD43" i="1" s="1"/>
  <c r="BB44" i="1"/>
  <c r="BC44" i="1" s="1"/>
  <c r="BD44" i="1" s="1"/>
  <c r="BB45" i="1"/>
  <c r="BC45" i="1" s="1"/>
  <c r="BE45" i="1" s="1"/>
  <c r="BB46" i="1"/>
  <c r="BB47" i="1"/>
  <c r="BC47" i="1" s="1"/>
  <c r="BE47" i="1" s="1"/>
  <c r="BB48" i="1"/>
  <c r="BC48" i="1" s="1"/>
  <c r="BB49" i="1"/>
  <c r="BB50" i="1"/>
  <c r="BC50" i="1" s="1"/>
  <c r="BB51" i="1"/>
  <c r="BC51" i="1" s="1"/>
  <c r="BB52" i="1"/>
  <c r="BC52" i="1" s="1"/>
  <c r="BB53" i="1"/>
  <c r="BC53" i="1" s="1"/>
  <c r="BB54" i="1"/>
  <c r="BC54" i="1" s="1"/>
  <c r="BB55" i="1"/>
  <c r="BC55" i="1" s="1"/>
  <c r="BE55" i="1" s="1"/>
  <c r="BB56" i="1"/>
  <c r="BC56" i="1" s="1"/>
  <c r="BB57" i="1"/>
  <c r="BC57" i="1" s="1"/>
  <c r="BB58" i="1"/>
  <c r="BC58" i="1" s="1"/>
  <c r="BD58" i="1" s="1"/>
  <c r="BB59" i="1"/>
  <c r="BC59" i="1" s="1"/>
  <c r="BD59" i="1" s="1"/>
  <c r="BB60" i="1"/>
  <c r="BC60" i="1" s="1"/>
  <c r="BB61" i="1"/>
  <c r="BC61" i="1" s="1"/>
  <c r="BB62" i="1"/>
  <c r="BB63" i="1"/>
  <c r="BC63" i="1" s="1"/>
  <c r="BE63" i="1" s="1"/>
  <c r="BB64" i="1"/>
  <c r="BC64" i="1" s="1"/>
  <c r="BB65" i="1"/>
  <c r="BB66" i="1"/>
  <c r="BC66" i="1" s="1"/>
  <c r="BB67" i="1"/>
  <c r="BB68" i="1"/>
  <c r="BC68" i="1" s="1"/>
  <c r="BD68" i="1" s="1"/>
  <c r="BB69" i="1"/>
  <c r="BC69" i="1" s="1"/>
  <c r="BB70" i="1"/>
  <c r="BC70" i="1" s="1"/>
  <c r="BB71" i="1"/>
  <c r="BC71" i="1" s="1"/>
  <c r="BE71" i="1" s="1"/>
  <c r="BB72" i="1"/>
  <c r="BC72" i="1" s="1"/>
  <c r="BB73" i="1"/>
  <c r="BB74" i="1"/>
  <c r="BC74" i="1" s="1"/>
  <c r="BB75" i="1"/>
  <c r="BC75" i="1" s="1"/>
  <c r="BD75" i="1" s="1"/>
  <c r="BB76" i="1"/>
  <c r="BC76" i="1" s="1"/>
  <c r="BB77" i="1"/>
  <c r="BC77" i="1" s="1"/>
  <c r="BE77" i="1" s="1"/>
  <c r="BB78" i="1"/>
  <c r="BC78" i="1" s="1"/>
  <c r="BD78" i="1" s="1"/>
  <c r="BB79" i="1"/>
  <c r="BC79" i="1" s="1"/>
  <c r="BE79" i="1" s="1"/>
  <c r="BB80" i="1"/>
  <c r="BC80" i="1" s="1"/>
  <c r="BB81" i="1"/>
  <c r="BC81" i="1" s="1"/>
  <c r="BD81" i="1" s="1"/>
  <c r="BB82" i="1"/>
  <c r="BC82" i="1" s="1"/>
  <c r="BD82" i="1" s="1"/>
  <c r="BB83" i="1"/>
  <c r="BC83" i="1" s="1"/>
  <c r="BD83" i="1" s="1"/>
  <c r="BB84" i="1"/>
  <c r="BC84" i="1" s="1"/>
  <c r="BD84" i="1" s="1"/>
  <c r="BB85" i="1"/>
  <c r="BC85" i="1" s="1"/>
  <c r="BB86" i="1"/>
  <c r="BB87" i="1"/>
  <c r="BC87" i="1" s="1"/>
  <c r="BE87" i="1" s="1"/>
  <c r="BB88" i="1"/>
  <c r="BC88" i="1" s="1"/>
  <c r="BB89" i="1"/>
  <c r="BB90" i="1"/>
  <c r="BC90" i="1" s="1"/>
  <c r="BB91" i="1"/>
  <c r="BC91" i="1" s="1"/>
  <c r="BB92" i="1"/>
  <c r="BC92" i="1" s="1"/>
  <c r="BB93" i="1"/>
  <c r="BC93" i="1" s="1"/>
  <c r="BB94" i="1"/>
  <c r="BC94" i="1" s="1"/>
  <c r="BD94" i="1" s="1"/>
  <c r="BB95" i="1"/>
  <c r="BC95" i="1" s="1"/>
  <c r="BE95" i="1" s="1"/>
  <c r="BB96" i="1"/>
  <c r="BC96" i="1" s="1"/>
  <c r="BB97" i="1"/>
  <c r="BC97" i="1" s="1"/>
  <c r="BD97" i="1" s="1"/>
  <c r="BB98" i="1"/>
  <c r="BC98" i="1" s="1"/>
  <c r="BB99" i="1"/>
  <c r="BC99" i="1" s="1"/>
  <c r="BB100" i="1"/>
  <c r="BC100" i="1" s="1"/>
  <c r="BB101" i="1"/>
  <c r="BC101" i="1" s="1"/>
  <c r="BB102" i="1"/>
  <c r="BC102" i="1" s="1"/>
  <c r="BB103" i="1"/>
  <c r="BC103" i="1" s="1"/>
  <c r="BE103" i="1" s="1"/>
  <c r="BB104" i="1"/>
  <c r="BC104" i="1" s="1"/>
  <c r="BB105" i="1"/>
  <c r="BC105" i="1" s="1"/>
  <c r="BB106" i="1"/>
  <c r="BB107" i="1"/>
  <c r="BC107" i="1" s="1"/>
  <c r="BD107" i="1" s="1"/>
  <c r="BB108" i="1"/>
  <c r="BB109" i="1"/>
  <c r="BC109" i="1" s="1"/>
  <c r="BE109" i="1" s="1"/>
  <c r="BB110" i="1"/>
  <c r="BB111" i="1"/>
  <c r="BC111" i="1" s="1"/>
  <c r="BE111" i="1" s="1"/>
  <c r="BB112" i="1"/>
  <c r="BC112" i="1" s="1"/>
  <c r="BB113" i="1"/>
  <c r="BB114" i="1"/>
  <c r="BC114" i="1" s="1"/>
  <c r="BB115" i="1"/>
  <c r="BC115" i="1" s="1"/>
  <c r="BB116" i="1"/>
  <c r="BC116" i="1" s="1"/>
  <c r="BB117" i="1"/>
  <c r="BC117" i="1" s="1"/>
  <c r="BB118" i="1"/>
  <c r="BC118" i="1" s="1"/>
  <c r="BB119" i="1"/>
  <c r="BC119" i="1" s="1"/>
  <c r="BE119" i="1" s="1"/>
  <c r="BB120" i="1"/>
  <c r="BC120" i="1" s="1"/>
  <c r="BB121" i="1"/>
  <c r="BC121" i="1" s="1"/>
  <c r="BB122" i="1"/>
  <c r="BC122" i="1" s="1"/>
  <c r="BB123" i="1"/>
  <c r="BC123" i="1" s="1"/>
  <c r="BD123" i="1" s="1"/>
  <c r="BB124" i="1"/>
  <c r="BC124" i="1" s="1"/>
  <c r="BB125" i="1"/>
  <c r="BC125" i="1" s="1"/>
  <c r="BB126" i="1"/>
  <c r="BB127" i="1"/>
  <c r="BC127" i="1" s="1"/>
  <c r="BE127" i="1" s="1"/>
  <c r="BB128" i="1"/>
  <c r="BC128" i="1" s="1"/>
  <c r="BB129" i="1"/>
  <c r="BB130" i="1"/>
  <c r="BC130" i="1" s="1"/>
  <c r="BB131" i="1"/>
  <c r="BC131" i="1" s="1"/>
  <c r="BB132" i="1"/>
  <c r="BC132" i="1" s="1"/>
  <c r="BB133" i="1"/>
  <c r="BC133" i="1" s="1"/>
  <c r="BB134" i="1"/>
  <c r="BC134" i="1" s="1"/>
  <c r="BE134" i="1" s="1"/>
  <c r="BB135" i="1"/>
  <c r="BC135" i="1" s="1"/>
  <c r="BE135" i="1" s="1"/>
  <c r="BB136" i="1"/>
  <c r="BC136" i="1" s="1"/>
  <c r="BB137" i="1"/>
  <c r="BB138" i="1"/>
  <c r="BC138" i="1" s="1"/>
  <c r="BB139" i="1"/>
  <c r="BC139" i="1" s="1"/>
  <c r="BD139" i="1" s="1"/>
  <c r="BB140" i="1"/>
  <c r="BC140" i="1" s="1"/>
  <c r="BB141" i="1"/>
  <c r="BC141" i="1" s="1"/>
  <c r="BE141" i="1" s="1"/>
  <c r="BB142" i="1"/>
  <c r="BC142" i="1" s="1"/>
  <c r="BD142" i="1" s="1"/>
  <c r="BB143" i="1"/>
  <c r="BC143" i="1" s="1"/>
  <c r="BE143" i="1" s="1"/>
  <c r="BB144" i="1"/>
  <c r="BC144" i="1" s="1"/>
  <c r="BB145" i="1"/>
  <c r="BC145" i="1" s="1"/>
  <c r="BD145" i="1" s="1"/>
  <c r="BB146" i="1"/>
  <c r="BC146" i="1" s="1"/>
  <c r="BB147" i="1"/>
  <c r="BB148" i="1"/>
  <c r="BC148" i="1" s="1"/>
  <c r="BB149" i="1"/>
  <c r="BC149" i="1" s="1"/>
  <c r="BE149" i="1" s="1"/>
  <c r="BB150" i="1"/>
  <c r="BB151" i="1"/>
  <c r="BC151" i="1" s="1"/>
  <c r="BE151" i="1" s="1"/>
  <c r="BB152" i="1"/>
  <c r="BC152" i="1" s="1"/>
  <c r="BB153" i="1"/>
  <c r="BB154" i="1"/>
  <c r="BC154" i="1" s="1"/>
  <c r="BB155" i="1"/>
  <c r="BC155" i="1" s="1"/>
  <c r="BB156" i="1"/>
  <c r="BC156" i="1" s="1"/>
  <c r="BB157" i="1"/>
  <c r="BC157" i="1" s="1"/>
  <c r="BB158" i="1"/>
  <c r="BC158" i="1" s="1"/>
  <c r="BB159" i="1"/>
  <c r="BC159" i="1" s="1"/>
  <c r="BE159" i="1" s="1"/>
  <c r="BB160" i="1"/>
  <c r="BC160" i="1" s="1"/>
  <c r="BB161" i="1"/>
  <c r="BC161" i="1" s="1"/>
  <c r="BB162" i="1"/>
  <c r="BC162" i="1" s="1"/>
  <c r="BB163" i="1"/>
  <c r="BC163" i="1" s="1"/>
  <c r="BB164" i="1"/>
  <c r="BC164" i="1" s="1"/>
  <c r="BD164" i="1" s="1"/>
  <c r="BB165" i="1"/>
  <c r="BC165" i="1" s="1"/>
  <c r="BB166" i="1"/>
  <c r="BC166" i="1" s="1"/>
  <c r="BB167" i="1"/>
  <c r="BC167" i="1" s="1"/>
  <c r="BE167" i="1" s="1"/>
  <c r="BB168" i="1"/>
  <c r="BC168" i="1" s="1"/>
  <c r="BB169" i="1"/>
  <c r="BC169" i="1" s="1"/>
  <c r="BB170" i="1"/>
  <c r="BC170" i="1" s="1"/>
  <c r="BB171" i="1"/>
  <c r="BC171" i="1" s="1"/>
  <c r="BB172" i="1"/>
  <c r="BC172" i="1" s="1"/>
  <c r="BB173" i="1"/>
  <c r="BC173" i="1" s="1"/>
  <c r="BE173" i="1" s="1"/>
  <c r="BB174" i="1"/>
  <c r="BB175" i="1"/>
  <c r="BC175" i="1" s="1"/>
  <c r="BE175" i="1" s="1"/>
  <c r="BB176" i="1"/>
  <c r="BC176" i="1" s="1"/>
  <c r="BB177" i="1"/>
  <c r="BC177" i="1" s="1"/>
  <c r="BB178" i="1"/>
  <c r="BC178" i="1" s="1"/>
  <c r="BB179" i="1"/>
  <c r="BC179" i="1" s="1"/>
  <c r="BB180" i="1"/>
  <c r="BC180" i="1" s="1"/>
  <c r="BB181" i="1"/>
  <c r="BC181" i="1" s="1"/>
  <c r="BB182" i="1"/>
  <c r="BB183" i="1"/>
  <c r="BC183" i="1" s="1"/>
  <c r="BE183" i="1" s="1"/>
  <c r="BB184" i="1"/>
  <c r="BC184" i="1" s="1"/>
  <c r="BB185" i="1"/>
  <c r="BB186" i="1"/>
  <c r="BC186" i="1" s="1"/>
  <c r="BB187" i="1"/>
  <c r="BC187" i="1" s="1"/>
  <c r="BD187" i="1" s="1"/>
  <c r="BB188" i="1"/>
  <c r="BC188" i="1" s="1"/>
  <c r="BB189" i="1"/>
  <c r="BC189" i="1" s="1"/>
  <c r="BE189" i="1" s="1"/>
  <c r="BB190" i="1"/>
  <c r="BB191" i="1"/>
  <c r="BC191" i="1" s="1"/>
  <c r="BE191" i="1" s="1"/>
  <c r="BB192" i="1"/>
  <c r="BC192" i="1" s="1"/>
  <c r="BB193" i="1"/>
  <c r="BB194" i="1"/>
  <c r="BC194" i="1" s="1"/>
  <c r="BB195" i="1"/>
  <c r="BC195" i="1" s="1"/>
  <c r="BB196" i="1"/>
  <c r="BC196" i="1" s="1"/>
  <c r="BB197" i="1"/>
  <c r="BC197" i="1" s="1"/>
  <c r="BE197" i="1" s="1"/>
  <c r="BB198" i="1"/>
  <c r="BC198" i="1" s="1"/>
  <c r="BD198" i="1" s="1"/>
  <c r="BB199" i="1"/>
  <c r="BC199" i="1" s="1"/>
  <c r="BE199" i="1" s="1"/>
  <c r="BB200" i="1"/>
  <c r="BC200" i="1" s="1"/>
  <c r="BB201" i="1"/>
  <c r="BC201" i="1" s="1"/>
  <c r="BD201" i="1" s="1"/>
  <c r="BB202" i="1"/>
  <c r="BC202" i="1" s="1"/>
  <c r="BB203" i="1"/>
  <c r="BC203" i="1" s="1"/>
  <c r="BD203" i="1" s="1"/>
  <c r="BB204" i="1"/>
  <c r="BC204" i="1" s="1"/>
  <c r="BB205" i="1"/>
  <c r="BC205" i="1" s="1"/>
  <c r="BE205" i="1" s="1"/>
  <c r="BB206" i="1"/>
  <c r="BB207" i="1"/>
  <c r="BC207" i="1" s="1"/>
  <c r="BE207" i="1" s="1"/>
  <c r="BB208" i="1"/>
  <c r="BC208" i="1" s="1"/>
  <c r="BB209" i="1"/>
  <c r="BB210" i="1"/>
  <c r="BC210" i="1" s="1"/>
  <c r="BB211" i="1"/>
  <c r="BB212" i="1"/>
  <c r="BC212" i="1" s="1"/>
  <c r="BB213" i="1"/>
  <c r="BC213" i="1" s="1"/>
  <c r="BE213" i="1" s="1"/>
  <c r="BB214" i="1"/>
  <c r="BC214" i="1" s="1"/>
  <c r="BB215" i="1"/>
  <c r="BC215" i="1" s="1"/>
  <c r="BE215" i="1" s="1"/>
  <c r="BB216" i="1"/>
  <c r="BC216" i="1" s="1"/>
  <c r="BB217" i="1"/>
  <c r="BC217" i="1" s="1"/>
  <c r="BB218" i="1"/>
  <c r="BC218" i="1" s="1"/>
  <c r="BB219" i="1"/>
  <c r="BC219" i="1" s="1"/>
  <c r="BB220" i="1"/>
  <c r="BC220" i="1" s="1"/>
  <c r="BB221" i="1"/>
  <c r="BC221" i="1" s="1"/>
  <c r="BB222" i="1"/>
  <c r="BC222" i="1" s="1"/>
  <c r="BE222" i="1" s="1"/>
  <c r="BB223" i="1"/>
  <c r="BC223" i="1" s="1"/>
  <c r="BE223" i="1" s="1"/>
  <c r="BB224" i="1"/>
  <c r="BC224" i="1" s="1"/>
  <c r="BB225" i="1"/>
  <c r="BC225" i="1" s="1"/>
  <c r="BB226" i="1"/>
  <c r="BC226" i="1" s="1"/>
  <c r="BB227" i="1"/>
  <c r="BC227" i="1" s="1"/>
  <c r="BB228" i="1"/>
  <c r="BC228" i="1" s="1"/>
  <c r="BB229" i="1"/>
  <c r="BC229" i="1" s="1"/>
  <c r="BB230" i="1"/>
  <c r="BC230" i="1" s="1"/>
  <c r="BB231" i="1"/>
  <c r="BC231" i="1" s="1"/>
  <c r="BE231" i="1" s="1"/>
  <c r="BB232" i="1"/>
  <c r="BC232" i="1" s="1"/>
  <c r="BB233" i="1"/>
  <c r="BB234" i="1"/>
  <c r="BB235" i="1"/>
  <c r="BC235" i="1" s="1"/>
  <c r="BB236" i="1"/>
  <c r="BC236" i="1" s="1"/>
  <c r="BB237" i="1"/>
  <c r="BC237" i="1" s="1"/>
  <c r="BB238" i="1"/>
  <c r="BC238" i="1" s="1"/>
  <c r="BB239" i="1"/>
  <c r="BC239" i="1" s="1"/>
  <c r="BE239" i="1" s="1"/>
  <c r="BB240" i="1"/>
  <c r="BC240" i="1" s="1"/>
  <c r="BB241" i="1"/>
  <c r="BC241" i="1" s="1"/>
  <c r="BB242" i="1"/>
  <c r="BC242" i="1" s="1"/>
  <c r="BD242" i="1" s="1"/>
  <c r="BB243" i="1"/>
  <c r="BC243" i="1" s="1"/>
  <c r="BB244" i="1"/>
  <c r="BC244" i="1" s="1"/>
  <c r="BB245" i="1"/>
  <c r="BC245" i="1" s="1"/>
  <c r="BE245" i="1" s="1"/>
  <c r="BB246" i="1"/>
  <c r="AZ44" i="1"/>
  <c r="AZ71" i="1"/>
  <c r="AZ88" i="1"/>
  <c r="AZ188" i="1"/>
  <c r="AZ234" i="1"/>
  <c r="AZ244" i="1"/>
  <c r="AY47" i="1"/>
  <c r="AY79" i="1"/>
  <c r="AY95" i="1"/>
  <c r="AY114" i="1"/>
  <c r="AY119" i="1"/>
  <c r="AY124" i="1"/>
  <c r="AY151" i="1"/>
  <c r="AY159" i="1"/>
  <c r="AY175" i="1"/>
  <c r="AY180" i="1"/>
  <c r="AY183" i="1"/>
  <c r="AY215" i="1"/>
  <c r="AY223" i="1"/>
  <c r="AY239" i="1"/>
  <c r="AY244" i="1"/>
  <c r="AX57" i="1"/>
  <c r="AY57" i="1" s="1"/>
  <c r="AX64" i="1"/>
  <c r="AX82" i="1"/>
  <c r="AZ82" i="1" s="1"/>
  <c r="AX83" i="1"/>
  <c r="AX84" i="1"/>
  <c r="AX86" i="1"/>
  <c r="AX100" i="1"/>
  <c r="AY100" i="1" s="1"/>
  <c r="AX101" i="1"/>
  <c r="AX104" i="1"/>
  <c r="AZ104" i="1" s="1"/>
  <c r="AX120" i="1"/>
  <c r="AX121" i="1"/>
  <c r="AZ121" i="1" s="1"/>
  <c r="AX123" i="1"/>
  <c r="AX132" i="1"/>
  <c r="AX146" i="1"/>
  <c r="AX168" i="1"/>
  <c r="AX169" i="1"/>
  <c r="AX177" i="1"/>
  <c r="AZ177" i="1" s="1"/>
  <c r="AX195" i="1"/>
  <c r="AX210" i="1"/>
  <c r="AX211" i="1"/>
  <c r="AX221" i="1"/>
  <c r="AX238" i="1"/>
  <c r="AW43" i="1"/>
  <c r="AX43" i="1" s="1"/>
  <c r="AW44" i="1"/>
  <c r="AX44" i="1" s="1"/>
  <c r="AY44" i="1" s="1"/>
  <c r="AW45" i="1"/>
  <c r="AX45" i="1" s="1"/>
  <c r="AW46" i="1"/>
  <c r="AX46" i="1" s="1"/>
  <c r="AY46" i="1" s="1"/>
  <c r="AW47" i="1"/>
  <c r="AX47" i="1" s="1"/>
  <c r="AZ47" i="1" s="1"/>
  <c r="AW48" i="1"/>
  <c r="AX48" i="1" s="1"/>
  <c r="AW49" i="1"/>
  <c r="AX49" i="1" s="1"/>
  <c r="AW50" i="1"/>
  <c r="AX50" i="1" s="1"/>
  <c r="AW51" i="1"/>
  <c r="AX51" i="1" s="1"/>
  <c r="AW52" i="1"/>
  <c r="AX52" i="1" s="1"/>
  <c r="AW53" i="1"/>
  <c r="AX53" i="1" s="1"/>
  <c r="AW54" i="1"/>
  <c r="AX54" i="1" s="1"/>
  <c r="AW55" i="1"/>
  <c r="AX55" i="1" s="1"/>
  <c r="AY55" i="1" s="1"/>
  <c r="AW56" i="1"/>
  <c r="AX56" i="1" s="1"/>
  <c r="AW57" i="1"/>
  <c r="AW58" i="1"/>
  <c r="AX58" i="1" s="1"/>
  <c r="AW59" i="1"/>
  <c r="AX59" i="1" s="1"/>
  <c r="AW60" i="1"/>
  <c r="AX60" i="1" s="1"/>
  <c r="AW61" i="1"/>
  <c r="AX61" i="1" s="1"/>
  <c r="AW62" i="1"/>
  <c r="AX62" i="1" s="1"/>
  <c r="AW63" i="1"/>
  <c r="AX63" i="1" s="1"/>
  <c r="AZ63" i="1" s="1"/>
  <c r="AW64" i="1"/>
  <c r="AW65" i="1"/>
  <c r="AX65" i="1" s="1"/>
  <c r="AW66" i="1"/>
  <c r="AX66" i="1" s="1"/>
  <c r="AW67" i="1"/>
  <c r="AX67" i="1" s="1"/>
  <c r="AW68" i="1"/>
  <c r="AX68" i="1" s="1"/>
  <c r="AW69" i="1"/>
  <c r="AX69" i="1" s="1"/>
  <c r="AW70" i="1"/>
  <c r="AX70" i="1" s="1"/>
  <c r="AZ70" i="1" s="1"/>
  <c r="AW71" i="1"/>
  <c r="AX71" i="1" s="1"/>
  <c r="AY71" i="1" s="1"/>
  <c r="AW72" i="1"/>
  <c r="AX72" i="1" s="1"/>
  <c r="AY72" i="1" s="1"/>
  <c r="AW73" i="1"/>
  <c r="AX73" i="1" s="1"/>
  <c r="AZ73" i="1" s="1"/>
  <c r="AW74" i="1"/>
  <c r="AX74" i="1" s="1"/>
  <c r="AW75" i="1"/>
  <c r="AX75" i="1" s="1"/>
  <c r="AW76" i="1"/>
  <c r="AX76" i="1" s="1"/>
  <c r="AY76" i="1" s="1"/>
  <c r="AW77" i="1"/>
  <c r="AX77" i="1" s="1"/>
  <c r="AW78" i="1"/>
  <c r="AX78" i="1" s="1"/>
  <c r="AW79" i="1"/>
  <c r="AX79" i="1" s="1"/>
  <c r="AZ79" i="1" s="1"/>
  <c r="AW80" i="1"/>
  <c r="AX80" i="1" s="1"/>
  <c r="AZ80" i="1" s="1"/>
  <c r="AW81" i="1"/>
  <c r="AX81" i="1" s="1"/>
  <c r="AZ81" i="1" s="1"/>
  <c r="AW82" i="1"/>
  <c r="AW83" i="1"/>
  <c r="AW84" i="1"/>
  <c r="AW85" i="1"/>
  <c r="AX85" i="1" s="1"/>
  <c r="AW86" i="1"/>
  <c r="AW87" i="1"/>
  <c r="AX87" i="1" s="1"/>
  <c r="AZ87" i="1" s="1"/>
  <c r="AW88" i="1"/>
  <c r="AX88" i="1" s="1"/>
  <c r="AY88" i="1" s="1"/>
  <c r="AW89" i="1"/>
  <c r="AX89" i="1" s="1"/>
  <c r="AW90" i="1"/>
  <c r="AX90" i="1" s="1"/>
  <c r="AW91" i="1"/>
  <c r="AX91" i="1" s="1"/>
  <c r="AW92" i="1"/>
  <c r="AX92" i="1" s="1"/>
  <c r="AW93" i="1"/>
  <c r="AX93" i="1" s="1"/>
  <c r="AW94" i="1"/>
  <c r="AX94" i="1" s="1"/>
  <c r="AW95" i="1"/>
  <c r="AX95" i="1" s="1"/>
  <c r="AZ95" i="1" s="1"/>
  <c r="AW96" i="1"/>
  <c r="AX96" i="1" s="1"/>
  <c r="AW97" i="1"/>
  <c r="AX97" i="1" s="1"/>
  <c r="AW98" i="1"/>
  <c r="AX98" i="1" s="1"/>
  <c r="AW99" i="1"/>
  <c r="AX99" i="1" s="1"/>
  <c r="AW100" i="1"/>
  <c r="AW101" i="1"/>
  <c r="AW102" i="1"/>
  <c r="AX102" i="1" s="1"/>
  <c r="AZ102" i="1" s="1"/>
  <c r="AW103" i="1"/>
  <c r="AX103" i="1" s="1"/>
  <c r="AZ103" i="1" s="1"/>
  <c r="AW104" i="1"/>
  <c r="AW105" i="1"/>
  <c r="AX105" i="1" s="1"/>
  <c r="AY105" i="1" s="1"/>
  <c r="AW106" i="1"/>
  <c r="AX106" i="1" s="1"/>
  <c r="AW107" i="1"/>
  <c r="AX107" i="1" s="1"/>
  <c r="AY107" i="1" s="1"/>
  <c r="AW108" i="1"/>
  <c r="AX108" i="1" s="1"/>
  <c r="AW109" i="1"/>
  <c r="AX109" i="1" s="1"/>
  <c r="AW110" i="1"/>
  <c r="AX110" i="1" s="1"/>
  <c r="AY110" i="1" s="1"/>
  <c r="AW111" i="1"/>
  <c r="AX111" i="1" s="1"/>
  <c r="AZ111" i="1" s="1"/>
  <c r="AW112" i="1"/>
  <c r="AX112" i="1" s="1"/>
  <c r="AZ112" i="1" s="1"/>
  <c r="AW113" i="1"/>
  <c r="AX113" i="1" s="1"/>
  <c r="AW114" i="1"/>
  <c r="AX114" i="1" s="1"/>
  <c r="AZ114" i="1" s="1"/>
  <c r="AW115" i="1"/>
  <c r="AX115" i="1" s="1"/>
  <c r="AW116" i="1"/>
  <c r="AX116" i="1" s="1"/>
  <c r="AY116" i="1" s="1"/>
  <c r="AW117" i="1"/>
  <c r="AX117" i="1" s="1"/>
  <c r="AW118" i="1"/>
  <c r="AX118" i="1" s="1"/>
  <c r="AW119" i="1"/>
  <c r="AX119" i="1" s="1"/>
  <c r="AZ119" i="1" s="1"/>
  <c r="AW120" i="1"/>
  <c r="AW121" i="1"/>
  <c r="AW122" i="1"/>
  <c r="AX122" i="1" s="1"/>
  <c r="AW123" i="1"/>
  <c r="AW124" i="1"/>
  <c r="AX124" i="1" s="1"/>
  <c r="AZ124" i="1" s="1"/>
  <c r="AW125" i="1"/>
  <c r="AX125" i="1" s="1"/>
  <c r="AW126" i="1"/>
  <c r="AX126" i="1" s="1"/>
  <c r="AZ126" i="1" s="1"/>
  <c r="AW127" i="1"/>
  <c r="AX127" i="1" s="1"/>
  <c r="AZ127" i="1" s="1"/>
  <c r="AW128" i="1"/>
  <c r="AX128" i="1" s="1"/>
  <c r="AW129" i="1"/>
  <c r="AX129" i="1" s="1"/>
  <c r="AW130" i="1"/>
  <c r="AX130" i="1" s="1"/>
  <c r="AW131" i="1"/>
  <c r="AX131" i="1" s="1"/>
  <c r="AW132" i="1"/>
  <c r="AW133" i="1"/>
  <c r="AX133" i="1" s="1"/>
  <c r="AW134" i="1"/>
  <c r="AX134" i="1" s="1"/>
  <c r="AW135" i="1"/>
  <c r="AX135" i="1" s="1"/>
  <c r="AZ135" i="1" s="1"/>
  <c r="AW136" i="1"/>
  <c r="AX136" i="1" s="1"/>
  <c r="AZ136" i="1" s="1"/>
  <c r="AW137" i="1"/>
  <c r="AX137" i="1" s="1"/>
  <c r="AW138" i="1"/>
  <c r="AX138" i="1" s="1"/>
  <c r="AW139" i="1"/>
  <c r="AX139" i="1" s="1"/>
  <c r="AW140" i="1"/>
  <c r="AX140" i="1" s="1"/>
  <c r="AW141" i="1"/>
  <c r="AX141" i="1" s="1"/>
  <c r="AW142" i="1"/>
  <c r="AX142" i="1" s="1"/>
  <c r="AZ142" i="1" s="1"/>
  <c r="AW143" i="1"/>
  <c r="AX143" i="1" s="1"/>
  <c r="AZ143" i="1" s="1"/>
  <c r="AW144" i="1"/>
  <c r="AX144" i="1" s="1"/>
  <c r="AW145" i="1"/>
  <c r="AX145" i="1" s="1"/>
  <c r="AW146" i="1"/>
  <c r="AW147" i="1"/>
  <c r="AX147" i="1" s="1"/>
  <c r="AW148" i="1"/>
  <c r="AX148" i="1" s="1"/>
  <c r="AW149" i="1"/>
  <c r="AX149" i="1" s="1"/>
  <c r="AW150" i="1"/>
  <c r="AX150" i="1" s="1"/>
  <c r="AW151" i="1"/>
  <c r="AX151" i="1" s="1"/>
  <c r="AZ151" i="1" s="1"/>
  <c r="AW152" i="1"/>
  <c r="AX152" i="1" s="1"/>
  <c r="AZ152" i="1" s="1"/>
  <c r="AW153" i="1"/>
  <c r="AX153" i="1" s="1"/>
  <c r="AZ153" i="1" s="1"/>
  <c r="AW154" i="1"/>
  <c r="AX154" i="1" s="1"/>
  <c r="AW155" i="1"/>
  <c r="AX155" i="1" s="1"/>
  <c r="AW156" i="1"/>
  <c r="AX156" i="1" s="1"/>
  <c r="AW157" i="1"/>
  <c r="AX157" i="1" s="1"/>
  <c r="AW158" i="1"/>
  <c r="AX158" i="1" s="1"/>
  <c r="AW159" i="1"/>
  <c r="AX159" i="1" s="1"/>
  <c r="AZ159" i="1" s="1"/>
  <c r="AW160" i="1"/>
  <c r="AX160" i="1" s="1"/>
  <c r="AW161" i="1"/>
  <c r="AX161" i="1" s="1"/>
  <c r="AW162" i="1"/>
  <c r="AX162" i="1" s="1"/>
  <c r="AW163" i="1"/>
  <c r="AX163" i="1" s="1"/>
  <c r="AW164" i="1"/>
  <c r="AX164" i="1" s="1"/>
  <c r="AW165" i="1"/>
  <c r="AX165" i="1" s="1"/>
  <c r="AW166" i="1"/>
  <c r="AX166" i="1" s="1"/>
  <c r="AW167" i="1"/>
  <c r="AX167" i="1" s="1"/>
  <c r="AZ167" i="1" s="1"/>
  <c r="AW168" i="1"/>
  <c r="AW169" i="1"/>
  <c r="AW170" i="1"/>
  <c r="AX170" i="1" s="1"/>
  <c r="AW171" i="1"/>
  <c r="AX171" i="1" s="1"/>
  <c r="AW172" i="1"/>
  <c r="AX172" i="1" s="1"/>
  <c r="AY172" i="1" s="1"/>
  <c r="AW173" i="1"/>
  <c r="AX173" i="1" s="1"/>
  <c r="AW174" i="1"/>
  <c r="AX174" i="1" s="1"/>
  <c r="AW175" i="1"/>
  <c r="AX175" i="1" s="1"/>
  <c r="AZ175" i="1" s="1"/>
  <c r="AW176" i="1"/>
  <c r="AX176" i="1" s="1"/>
  <c r="AW177" i="1"/>
  <c r="AW178" i="1"/>
  <c r="AX178" i="1" s="1"/>
  <c r="AW179" i="1"/>
  <c r="AX179" i="1" s="1"/>
  <c r="AW180" i="1"/>
  <c r="AX180" i="1" s="1"/>
  <c r="AZ180" i="1" s="1"/>
  <c r="AW181" i="1"/>
  <c r="AX181" i="1" s="1"/>
  <c r="AW182" i="1"/>
  <c r="AX182" i="1" s="1"/>
  <c r="AW183" i="1"/>
  <c r="AX183" i="1" s="1"/>
  <c r="AZ183" i="1" s="1"/>
  <c r="AW184" i="1"/>
  <c r="AX184" i="1" s="1"/>
  <c r="AW185" i="1"/>
  <c r="AX185" i="1" s="1"/>
  <c r="AZ185" i="1" s="1"/>
  <c r="AW186" i="1"/>
  <c r="AX186" i="1" s="1"/>
  <c r="AW187" i="1"/>
  <c r="AX187" i="1" s="1"/>
  <c r="AW188" i="1"/>
  <c r="AX188" i="1" s="1"/>
  <c r="AY188" i="1" s="1"/>
  <c r="AW189" i="1"/>
  <c r="AX189" i="1" s="1"/>
  <c r="AW190" i="1"/>
  <c r="AX190" i="1" s="1"/>
  <c r="AY190" i="1" s="1"/>
  <c r="AW191" i="1"/>
  <c r="AX191" i="1" s="1"/>
  <c r="AZ191" i="1" s="1"/>
  <c r="AW192" i="1"/>
  <c r="AX192" i="1" s="1"/>
  <c r="AW193" i="1"/>
  <c r="AX193" i="1" s="1"/>
  <c r="AY193" i="1" s="1"/>
  <c r="AW194" i="1"/>
  <c r="AX194" i="1" s="1"/>
  <c r="AW195" i="1"/>
  <c r="AW196" i="1"/>
  <c r="AX196" i="1" s="1"/>
  <c r="AW197" i="1"/>
  <c r="AX197" i="1" s="1"/>
  <c r="AW198" i="1"/>
  <c r="AX198" i="1" s="1"/>
  <c r="AW199" i="1"/>
  <c r="AX199" i="1" s="1"/>
  <c r="AZ199" i="1" s="1"/>
  <c r="AW200" i="1"/>
  <c r="AX200" i="1" s="1"/>
  <c r="AZ200" i="1" s="1"/>
  <c r="AW201" i="1"/>
  <c r="AX201" i="1" s="1"/>
  <c r="AW202" i="1"/>
  <c r="AX202" i="1" s="1"/>
  <c r="AW203" i="1"/>
  <c r="AX203" i="1" s="1"/>
  <c r="AW204" i="1"/>
  <c r="AX204" i="1" s="1"/>
  <c r="AW205" i="1"/>
  <c r="AX205" i="1" s="1"/>
  <c r="AW206" i="1"/>
  <c r="AX206" i="1" s="1"/>
  <c r="AW207" i="1"/>
  <c r="AX207" i="1" s="1"/>
  <c r="AZ207" i="1" s="1"/>
  <c r="AW208" i="1"/>
  <c r="AX208" i="1" s="1"/>
  <c r="AW209" i="1"/>
  <c r="AX209" i="1" s="1"/>
  <c r="AW210" i="1"/>
  <c r="AW211" i="1"/>
  <c r="AW212" i="1"/>
  <c r="AX212" i="1" s="1"/>
  <c r="AW213" i="1"/>
  <c r="AX213" i="1" s="1"/>
  <c r="AW214" i="1"/>
  <c r="AX214" i="1" s="1"/>
  <c r="AW215" i="1"/>
  <c r="AX215" i="1" s="1"/>
  <c r="AZ215" i="1" s="1"/>
  <c r="AW216" i="1"/>
  <c r="AX216" i="1" s="1"/>
  <c r="AZ216" i="1" s="1"/>
  <c r="AW217" i="1"/>
  <c r="AX217" i="1" s="1"/>
  <c r="AZ217" i="1" s="1"/>
  <c r="AW218" i="1"/>
  <c r="AX218" i="1" s="1"/>
  <c r="AW219" i="1"/>
  <c r="AX219" i="1" s="1"/>
  <c r="AW220" i="1"/>
  <c r="AX220" i="1" s="1"/>
  <c r="AW221" i="1"/>
  <c r="AW222" i="1"/>
  <c r="AX222" i="1" s="1"/>
  <c r="AW223" i="1"/>
  <c r="AX223" i="1" s="1"/>
  <c r="AZ223" i="1" s="1"/>
  <c r="AW224" i="1"/>
  <c r="AX224" i="1" s="1"/>
  <c r="AW225" i="1"/>
  <c r="AX225" i="1" s="1"/>
  <c r="AW226" i="1"/>
  <c r="AX226" i="1" s="1"/>
  <c r="AW227" i="1"/>
  <c r="AX227" i="1" s="1"/>
  <c r="AW228" i="1"/>
  <c r="AX228" i="1" s="1"/>
  <c r="AW229" i="1"/>
  <c r="AX229" i="1" s="1"/>
  <c r="AW230" i="1"/>
  <c r="AX230" i="1" s="1"/>
  <c r="AW231" i="1"/>
  <c r="AX231" i="1" s="1"/>
  <c r="AZ231" i="1" s="1"/>
  <c r="AW232" i="1"/>
  <c r="AX232" i="1" s="1"/>
  <c r="AW233" i="1"/>
  <c r="AX233" i="1" s="1"/>
  <c r="AW234" i="1"/>
  <c r="AX234" i="1" s="1"/>
  <c r="AY234" i="1" s="1"/>
  <c r="AW235" i="1"/>
  <c r="AX235" i="1" s="1"/>
  <c r="AW236" i="1"/>
  <c r="AX236" i="1" s="1"/>
  <c r="AZ236" i="1" s="1"/>
  <c r="AW237" i="1"/>
  <c r="AX237" i="1" s="1"/>
  <c r="AW238" i="1"/>
  <c r="AW239" i="1"/>
  <c r="AX239" i="1" s="1"/>
  <c r="AZ239" i="1" s="1"/>
  <c r="AW240" i="1"/>
  <c r="AX240" i="1" s="1"/>
  <c r="AW241" i="1"/>
  <c r="AX241" i="1" s="1"/>
  <c r="AZ241" i="1" s="1"/>
  <c r="AW242" i="1"/>
  <c r="AX242" i="1" s="1"/>
  <c r="AW243" i="1"/>
  <c r="AX243" i="1" s="1"/>
  <c r="AW244" i="1"/>
  <c r="AX244" i="1" s="1"/>
  <c r="AW245" i="1"/>
  <c r="AX245" i="1" s="1"/>
  <c r="AW246" i="1"/>
  <c r="AX246" i="1" s="1"/>
  <c r="AU48" i="1"/>
  <c r="AU64" i="1"/>
  <c r="AU72" i="1"/>
  <c r="AU87" i="1"/>
  <c r="AU119" i="1"/>
  <c r="AU128" i="1"/>
  <c r="AU136" i="1"/>
  <c r="AU160" i="1"/>
  <c r="AU175" i="1"/>
  <c r="AU176" i="1"/>
  <c r="AU198" i="1"/>
  <c r="AU207" i="1"/>
  <c r="AU208" i="1"/>
  <c r="AU227" i="1"/>
  <c r="AU231" i="1"/>
  <c r="AU240" i="1"/>
  <c r="AT63" i="1"/>
  <c r="AT64" i="1"/>
  <c r="AT70" i="1"/>
  <c r="AT79" i="1"/>
  <c r="AT96" i="1"/>
  <c r="AT106" i="1"/>
  <c r="AT111" i="1"/>
  <c r="AT112" i="1"/>
  <c r="AT128" i="1"/>
  <c r="AT160" i="1"/>
  <c r="AT162" i="1"/>
  <c r="AT174" i="1"/>
  <c r="AT192" i="1"/>
  <c r="AT198" i="1"/>
  <c r="AT217" i="1"/>
  <c r="AT224" i="1"/>
  <c r="AT226" i="1"/>
  <c r="AS46" i="1"/>
  <c r="AU46" i="1" s="1"/>
  <c r="AS54" i="1"/>
  <c r="AS63" i="1"/>
  <c r="AU63" i="1" s="1"/>
  <c r="AS67" i="1"/>
  <c r="AS71" i="1"/>
  <c r="AS75" i="1"/>
  <c r="AS94" i="1"/>
  <c r="AS111" i="1"/>
  <c r="AU111" i="1" s="1"/>
  <c r="AS114" i="1"/>
  <c r="AS126" i="1"/>
  <c r="AS127" i="1"/>
  <c r="AS131" i="1"/>
  <c r="AU131" i="1" s="1"/>
  <c r="AS143" i="1"/>
  <c r="AS146" i="1"/>
  <c r="AS158" i="1"/>
  <c r="AS159" i="1"/>
  <c r="AS163" i="1"/>
  <c r="AT163" i="1" s="1"/>
  <c r="AS175" i="1"/>
  <c r="AT175" i="1" s="1"/>
  <c r="AS183" i="1"/>
  <c r="AS185" i="1"/>
  <c r="AS199" i="1"/>
  <c r="AT199" i="1" s="1"/>
  <c r="AS201" i="1"/>
  <c r="AS214" i="1"/>
  <c r="AT214" i="1" s="1"/>
  <c r="AS218" i="1"/>
  <c r="AS222" i="1"/>
  <c r="AS239" i="1"/>
  <c r="AR43" i="1"/>
  <c r="AS43" i="1" s="1"/>
  <c r="AR44" i="1"/>
  <c r="AS44" i="1" s="1"/>
  <c r="AR45" i="1"/>
  <c r="AS45" i="1" s="1"/>
  <c r="AR46" i="1"/>
  <c r="AR47" i="1"/>
  <c r="AS47" i="1" s="1"/>
  <c r="AT47" i="1" s="1"/>
  <c r="AR48" i="1"/>
  <c r="AS48" i="1" s="1"/>
  <c r="AT48" i="1" s="1"/>
  <c r="AR49" i="1"/>
  <c r="AS49" i="1" s="1"/>
  <c r="AR50" i="1"/>
  <c r="AS50" i="1" s="1"/>
  <c r="AR51" i="1"/>
  <c r="AS51" i="1" s="1"/>
  <c r="AU51" i="1" s="1"/>
  <c r="AR52" i="1"/>
  <c r="AS52" i="1" s="1"/>
  <c r="AR53" i="1"/>
  <c r="AS53" i="1" s="1"/>
  <c r="AR54" i="1"/>
  <c r="AR55" i="1"/>
  <c r="AS55" i="1" s="1"/>
  <c r="AT55" i="1" s="1"/>
  <c r="AR56" i="1"/>
  <c r="AS56" i="1" s="1"/>
  <c r="AU56" i="1" s="1"/>
  <c r="AR57" i="1"/>
  <c r="AS57" i="1" s="1"/>
  <c r="AR58" i="1"/>
  <c r="AS58" i="1" s="1"/>
  <c r="AR59" i="1"/>
  <c r="AS59" i="1" s="1"/>
  <c r="AR60" i="1"/>
  <c r="AS60" i="1" s="1"/>
  <c r="AT60" i="1" s="1"/>
  <c r="AR61" i="1"/>
  <c r="AS61" i="1" s="1"/>
  <c r="AT61" i="1" s="1"/>
  <c r="AR62" i="1"/>
  <c r="AS62" i="1" s="1"/>
  <c r="AR63" i="1"/>
  <c r="AR64" i="1"/>
  <c r="AS64" i="1" s="1"/>
  <c r="AR65" i="1"/>
  <c r="AS65" i="1" s="1"/>
  <c r="AR66" i="1"/>
  <c r="AS66" i="1" s="1"/>
  <c r="AR67" i="1"/>
  <c r="AR68" i="1"/>
  <c r="AS68" i="1" s="1"/>
  <c r="AR69" i="1"/>
  <c r="AS69" i="1" s="1"/>
  <c r="AR70" i="1"/>
  <c r="AS70" i="1" s="1"/>
  <c r="AU70" i="1" s="1"/>
  <c r="AR71" i="1"/>
  <c r="AR72" i="1"/>
  <c r="AS72" i="1" s="1"/>
  <c r="AT72" i="1" s="1"/>
  <c r="AR73" i="1"/>
  <c r="AS73" i="1" s="1"/>
  <c r="AR74" i="1"/>
  <c r="AS74" i="1" s="1"/>
  <c r="AR75" i="1"/>
  <c r="AR76" i="1"/>
  <c r="AS76" i="1" s="1"/>
  <c r="AR77" i="1"/>
  <c r="AS77" i="1" s="1"/>
  <c r="AR78" i="1"/>
  <c r="AS78" i="1" s="1"/>
  <c r="AT78" i="1" s="1"/>
  <c r="AR79" i="1"/>
  <c r="AS79" i="1" s="1"/>
  <c r="AU79" i="1" s="1"/>
  <c r="AR80" i="1"/>
  <c r="AS80" i="1" s="1"/>
  <c r="AT80" i="1" s="1"/>
  <c r="AR81" i="1"/>
  <c r="AS81" i="1" s="1"/>
  <c r="AR82" i="1"/>
  <c r="AS82" i="1" s="1"/>
  <c r="AR83" i="1"/>
  <c r="AS83" i="1" s="1"/>
  <c r="AU83" i="1" s="1"/>
  <c r="AR84" i="1"/>
  <c r="AS84" i="1" s="1"/>
  <c r="AR85" i="1"/>
  <c r="AS85" i="1" s="1"/>
  <c r="AR86" i="1"/>
  <c r="AS86" i="1" s="1"/>
  <c r="AT86" i="1" s="1"/>
  <c r="AR87" i="1"/>
  <c r="AS87" i="1" s="1"/>
  <c r="AT87" i="1" s="1"/>
  <c r="AR88" i="1"/>
  <c r="AS88" i="1" s="1"/>
  <c r="AU88" i="1" s="1"/>
  <c r="AR89" i="1"/>
  <c r="AS89" i="1" s="1"/>
  <c r="AR90" i="1"/>
  <c r="AS90" i="1" s="1"/>
  <c r="AR91" i="1"/>
  <c r="AS91" i="1" s="1"/>
  <c r="AR92" i="1"/>
  <c r="AS92" i="1" s="1"/>
  <c r="AR93" i="1"/>
  <c r="AS93" i="1" s="1"/>
  <c r="AR94" i="1"/>
  <c r="AR95" i="1"/>
  <c r="AS95" i="1" s="1"/>
  <c r="AR96" i="1"/>
  <c r="AS96" i="1" s="1"/>
  <c r="AU96" i="1" s="1"/>
  <c r="AR97" i="1"/>
  <c r="AS97" i="1" s="1"/>
  <c r="AR98" i="1"/>
  <c r="AS98" i="1" s="1"/>
  <c r="AU98" i="1" s="1"/>
  <c r="AR99" i="1"/>
  <c r="AS99" i="1" s="1"/>
  <c r="AR100" i="1"/>
  <c r="AS100" i="1" s="1"/>
  <c r="AR101" i="1"/>
  <c r="AS101" i="1" s="1"/>
  <c r="AR102" i="1"/>
  <c r="AS102" i="1" s="1"/>
  <c r="AR103" i="1"/>
  <c r="AS103" i="1" s="1"/>
  <c r="AT103" i="1" s="1"/>
  <c r="AR104" i="1"/>
  <c r="AS104" i="1" s="1"/>
  <c r="AT104" i="1" s="1"/>
  <c r="AR105" i="1"/>
  <c r="AS105" i="1" s="1"/>
  <c r="AU105" i="1" s="1"/>
  <c r="AR106" i="1"/>
  <c r="AS106" i="1" s="1"/>
  <c r="AU106" i="1" s="1"/>
  <c r="AR107" i="1"/>
  <c r="AS107" i="1" s="1"/>
  <c r="AR108" i="1"/>
  <c r="AS108" i="1" s="1"/>
  <c r="AR109" i="1"/>
  <c r="AS109" i="1" s="1"/>
  <c r="AR110" i="1"/>
  <c r="AS110" i="1" s="1"/>
  <c r="AR111" i="1"/>
  <c r="AR112" i="1"/>
  <c r="AS112" i="1" s="1"/>
  <c r="AU112" i="1" s="1"/>
  <c r="AR113" i="1"/>
  <c r="AS113" i="1" s="1"/>
  <c r="AR114" i="1"/>
  <c r="AR115" i="1"/>
  <c r="AS115" i="1" s="1"/>
  <c r="AR116" i="1"/>
  <c r="AS116" i="1" s="1"/>
  <c r="AT116" i="1" s="1"/>
  <c r="AR117" i="1"/>
  <c r="AS117" i="1" s="1"/>
  <c r="AR118" i="1"/>
  <c r="AS118" i="1" s="1"/>
  <c r="AT118" i="1" s="1"/>
  <c r="AR119" i="1"/>
  <c r="AS119" i="1" s="1"/>
  <c r="AT119" i="1" s="1"/>
  <c r="AR120" i="1"/>
  <c r="AS120" i="1" s="1"/>
  <c r="AU120" i="1" s="1"/>
  <c r="AR121" i="1"/>
  <c r="AS121" i="1" s="1"/>
  <c r="AR122" i="1"/>
  <c r="AS122" i="1" s="1"/>
  <c r="AU122" i="1" s="1"/>
  <c r="AR123" i="1"/>
  <c r="AS123" i="1" s="1"/>
  <c r="AR124" i="1"/>
  <c r="AS124" i="1" s="1"/>
  <c r="AR125" i="1"/>
  <c r="AS125" i="1" s="1"/>
  <c r="AR126" i="1"/>
  <c r="AR127" i="1"/>
  <c r="AR128" i="1"/>
  <c r="AS128" i="1" s="1"/>
  <c r="AR129" i="1"/>
  <c r="AS129" i="1" s="1"/>
  <c r="AR130" i="1"/>
  <c r="AS130" i="1" s="1"/>
  <c r="AU130" i="1" s="1"/>
  <c r="AR131" i="1"/>
  <c r="AR132" i="1"/>
  <c r="AS132" i="1" s="1"/>
  <c r="AR133" i="1"/>
  <c r="AS133" i="1" s="1"/>
  <c r="AR134" i="1"/>
  <c r="AS134" i="1" s="1"/>
  <c r="AR135" i="1"/>
  <c r="AS135" i="1" s="1"/>
  <c r="AR136" i="1"/>
  <c r="AS136" i="1" s="1"/>
  <c r="AT136" i="1" s="1"/>
  <c r="AR137" i="1"/>
  <c r="AS137" i="1" s="1"/>
  <c r="AR138" i="1"/>
  <c r="AS138" i="1" s="1"/>
  <c r="AU138" i="1" s="1"/>
  <c r="AR139" i="1"/>
  <c r="AS139" i="1" s="1"/>
  <c r="AR140" i="1"/>
  <c r="AS140" i="1" s="1"/>
  <c r="AR141" i="1"/>
  <c r="AS141" i="1" s="1"/>
  <c r="AR142" i="1"/>
  <c r="AS142" i="1" s="1"/>
  <c r="AR143" i="1"/>
  <c r="AR144" i="1"/>
  <c r="AS144" i="1" s="1"/>
  <c r="AT144" i="1" s="1"/>
  <c r="AR145" i="1"/>
  <c r="AS145" i="1" s="1"/>
  <c r="AR146" i="1"/>
  <c r="AR147" i="1"/>
  <c r="AS147" i="1" s="1"/>
  <c r="AR148" i="1"/>
  <c r="AS148" i="1" s="1"/>
  <c r="AR149" i="1"/>
  <c r="AS149" i="1" s="1"/>
  <c r="AR150" i="1"/>
  <c r="AS150" i="1" s="1"/>
  <c r="AR151" i="1"/>
  <c r="AS151" i="1" s="1"/>
  <c r="AT151" i="1" s="1"/>
  <c r="AR152" i="1"/>
  <c r="AS152" i="1" s="1"/>
  <c r="AU152" i="1" s="1"/>
  <c r="AR153" i="1"/>
  <c r="AS153" i="1" s="1"/>
  <c r="AR154" i="1"/>
  <c r="AS154" i="1" s="1"/>
  <c r="AU154" i="1" s="1"/>
  <c r="AR155" i="1"/>
  <c r="AS155" i="1" s="1"/>
  <c r="AT155" i="1" s="1"/>
  <c r="AR156" i="1"/>
  <c r="AS156" i="1" s="1"/>
  <c r="AR157" i="1"/>
  <c r="AS157" i="1" s="1"/>
  <c r="AR158" i="1"/>
  <c r="AR159" i="1"/>
  <c r="AR160" i="1"/>
  <c r="AS160" i="1" s="1"/>
  <c r="AR161" i="1"/>
  <c r="AS161" i="1" s="1"/>
  <c r="AR162" i="1"/>
  <c r="AS162" i="1" s="1"/>
  <c r="AU162" i="1" s="1"/>
  <c r="AR163" i="1"/>
  <c r="AR164" i="1"/>
  <c r="AS164" i="1" s="1"/>
  <c r="AR165" i="1"/>
  <c r="AS165" i="1" s="1"/>
  <c r="AR166" i="1"/>
  <c r="AS166" i="1" s="1"/>
  <c r="AR167" i="1"/>
  <c r="AS167" i="1" s="1"/>
  <c r="AT167" i="1" s="1"/>
  <c r="AR168" i="1"/>
  <c r="AS168" i="1" s="1"/>
  <c r="AU168" i="1" s="1"/>
  <c r="AR169" i="1"/>
  <c r="AS169" i="1" s="1"/>
  <c r="AR170" i="1"/>
  <c r="AS170" i="1" s="1"/>
  <c r="AR171" i="1"/>
  <c r="AS171" i="1" s="1"/>
  <c r="AR172" i="1"/>
  <c r="AS172" i="1" s="1"/>
  <c r="AR173" i="1"/>
  <c r="AS173" i="1" s="1"/>
  <c r="AR174" i="1"/>
  <c r="AS174" i="1" s="1"/>
  <c r="AU174" i="1" s="1"/>
  <c r="AR175" i="1"/>
  <c r="AR176" i="1"/>
  <c r="AS176" i="1" s="1"/>
  <c r="AT176" i="1" s="1"/>
  <c r="AR177" i="1"/>
  <c r="AS177" i="1" s="1"/>
  <c r="AR178" i="1"/>
  <c r="AS178" i="1" s="1"/>
  <c r="AR179" i="1"/>
  <c r="AS179" i="1" s="1"/>
  <c r="AR180" i="1"/>
  <c r="AS180" i="1" s="1"/>
  <c r="AT180" i="1" s="1"/>
  <c r="AR181" i="1"/>
  <c r="AS181" i="1" s="1"/>
  <c r="AR182" i="1"/>
  <c r="AS182" i="1" s="1"/>
  <c r="AR183" i="1"/>
  <c r="AR184" i="1"/>
  <c r="AS184" i="1" s="1"/>
  <c r="AU184" i="1" s="1"/>
  <c r="AR185" i="1"/>
  <c r="AR186" i="1"/>
  <c r="AS186" i="1" s="1"/>
  <c r="AR187" i="1"/>
  <c r="AS187" i="1" s="1"/>
  <c r="AR188" i="1"/>
  <c r="AS188" i="1" s="1"/>
  <c r="AR189" i="1"/>
  <c r="AS189" i="1" s="1"/>
  <c r="AR190" i="1"/>
  <c r="AS190" i="1" s="1"/>
  <c r="AR191" i="1"/>
  <c r="AS191" i="1" s="1"/>
  <c r="AR192" i="1"/>
  <c r="AS192" i="1" s="1"/>
  <c r="AU192" i="1" s="1"/>
  <c r="AR193" i="1"/>
  <c r="AS193" i="1" s="1"/>
  <c r="AR194" i="1"/>
  <c r="AS194" i="1" s="1"/>
  <c r="AR195" i="1"/>
  <c r="AS195" i="1" s="1"/>
  <c r="AR196" i="1"/>
  <c r="AS196" i="1" s="1"/>
  <c r="AR197" i="1"/>
  <c r="AS197" i="1" s="1"/>
  <c r="AR198" i="1"/>
  <c r="AS198" i="1" s="1"/>
  <c r="AR199" i="1"/>
  <c r="AR200" i="1"/>
  <c r="AS200" i="1" s="1"/>
  <c r="AU200" i="1" s="1"/>
  <c r="AR201" i="1"/>
  <c r="AR202" i="1"/>
  <c r="AS202" i="1" s="1"/>
  <c r="AR203" i="1"/>
  <c r="AS203" i="1" s="1"/>
  <c r="AR204" i="1"/>
  <c r="AS204" i="1" s="1"/>
  <c r="AR205" i="1"/>
  <c r="AS205" i="1" s="1"/>
  <c r="AR206" i="1"/>
  <c r="AS206" i="1" s="1"/>
  <c r="AR207" i="1"/>
  <c r="AS207" i="1" s="1"/>
  <c r="AT207" i="1" s="1"/>
  <c r="AR208" i="1"/>
  <c r="AS208" i="1" s="1"/>
  <c r="AT208" i="1" s="1"/>
  <c r="AR209" i="1"/>
  <c r="AS209" i="1" s="1"/>
  <c r="AR210" i="1"/>
  <c r="AS210" i="1" s="1"/>
  <c r="AR211" i="1"/>
  <c r="AS211" i="1" s="1"/>
  <c r="AR212" i="1"/>
  <c r="AS212" i="1" s="1"/>
  <c r="AR213" i="1"/>
  <c r="AS213" i="1" s="1"/>
  <c r="AR214" i="1"/>
  <c r="AR215" i="1"/>
  <c r="AS215" i="1" s="1"/>
  <c r="AT215" i="1" s="1"/>
  <c r="AR216" i="1"/>
  <c r="AS216" i="1" s="1"/>
  <c r="AU216" i="1" s="1"/>
  <c r="AR217" i="1"/>
  <c r="AS217" i="1" s="1"/>
  <c r="AU217" i="1" s="1"/>
  <c r="AR218" i="1"/>
  <c r="AR219" i="1"/>
  <c r="AS219" i="1" s="1"/>
  <c r="AR220" i="1"/>
  <c r="AS220" i="1" s="1"/>
  <c r="AT220" i="1" s="1"/>
  <c r="AR221" i="1"/>
  <c r="AS221" i="1" s="1"/>
  <c r="AR222" i="1"/>
  <c r="AR223" i="1"/>
  <c r="AS223" i="1" s="1"/>
  <c r="AR224" i="1"/>
  <c r="AS224" i="1" s="1"/>
  <c r="AU224" i="1" s="1"/>
  <c r="AR225" i="1"/>
  <c r="AS225" i="1" s="1"/>
  <c r="AR226" i="1"/>
  <c r="AS226" i="1" s="1"/>
  <c r="AU226" i="1" s="1"/>
  <c r="AR227" i="1"/>
  <c r="AS227" i="1" s="1"/>
  <c r="AT227" i="1" s="1"/>
  <c r="AR228" i="1"/>
  <c r="AS228" i="1" s="1"/>
  <c r="AR229" i="1"/>
  <c r="AS229" i="1" s="1"/>
  <c r="AR230" i="1"/>
  <c r="AS230" i="1" s="1"/>
  <c r="AU230" i="1" s="1"/>
  <c r="AR231" i="1"/>
  <c r="AS231" i="1" s="1"/>
  <c r="AT231" i="1" s="1"/>
  <c r="AR232" i="1"/>
  <c r="AS232" i="1" s="1"/>
  <c r="AU232" i="1" s="1"/>
  <c r="AR233" i="1"/>
  <c r="AS233" i="1" s="1"/>
  <c r="AU233" i="1" s="1"/>
  <c r="AR234" i="1"/>
  <c r="AS234" i="1" s="1"/>
  <c r="AR235" i="1"/>
  <c r="AS235" i="1" s="1"/>
  <c r="AR236" i="1"/>
  <c r="AS236" i="1" s="1"/>
  <c r="AT236" i="1" s="1"/>
  <c r="AR237" i="1"/>
  <c r="AS237" i="1" s="1"/>
  <c r="AR238" i="1"/>
  <c r="AS238" i="1" s="1"/>
  <c r="AR239" i="1"/>
  <c r="AR240" i="1"/>
  <c r="AS240" i="1" s="1"/>
  <c r="AT240" i="1" s="1"/>
  <c r="AR241" i="1"/>
  <c r="AS241" i="1" s="1"/>
  <c r="AR242" i="1"/>
  <c r="AS242" i="1" s="1"/>
  <c r="AR243" i="1"/>
  <c r="AS243" i="1" s="1"/>
  <c r="AT243" i="1" s="1"/>
  <c r="AR244" i="1"/>
  <c r="AS244" i="1" s="1"/>
  <c r="AR245" i="1"/>
  <c r="AS245" i="1" s="1"/>
  <c r="AR246" i="1"/>
  <c r="AS246" i="1" s="1"/>
  <c r="AP68" i="1"/>
  <c r="AP77" i="1"/>
  <c r="AP158" i="1"/>
  <c r="AP164" i="1"/>
  <c r="AP222" i="1"/>
  <c r="AP228" i="1"/>
  <c r="AO60" i="1"/>
  <c r="AO68" i="1"/>
  <c r="AO73" i="1"/>
  <c r="AO102" i="1"/>
  <c r="AO124" i="1"/>
  <c r="AO140" i="1"/>
  <c r="AO146" i="1"/>
  <c r="AO169" i="1"/>
  <c r="AO196" i="1"/>
  <c r="AO201" i="1"/>
  <c r="AO210" i="1"/>
  <c r="AO233" i="1"/>
  <c r="AO242" i="1"/>
  <c r="AN44" i="1"/>
  <c r="AN45" i="1"/>
  <c r="AN52" i="1"/>
  <c r="AO52" i="1" s="1"/>
  <c r="AN53" i="1"/>
  <c r="AN54" i="1"/>
  <c r="AN61" i="1"/>
  <c r="AN69" i="1"/>
  <c r="AO69" i="1" s="1"/>
  <c r="AN70" i="1"/>
  <c r="AP70" i="1" s="1"/>
  <c r="AN76" i="1"/>
  <c r="AO76" i="1" s="1"/>
  <c r="AN84" i="1"/>
  <c r="AN90" i="1"/>
  <c r="AN92" i="1"/>
  <c r="AN94" i="1"/>
  <c r="AO94" i="1" s="1"/>
  <c r="AN108" i="1"/>
  <c r="AN109" i="1"/>
  <c r="AN126" i="1"/>
  <c r="AN127" i="1"/>
  <c r="AO127" i="1" s="1"/>
  <c r="AN135" i="1"/>
  <c r="AN139" i="1"/>
  <c r="AN140" i="1"/>
  <c r="AP140" i="1" s="1"/>
  <c r="AN148" i="1"/>
  <c r="AO148" i="1" s="1"/>
  <c r="AN156" i="1"/>
  <c r="AN157" i="1"/>
  <c r="AO157" i="1" s="1"/>
  <c r="AN162" i="1"/>
  <c r="AN172" i="1"/>
  <c r="AN180" i="1"/>
  <c r="AN186" i="1"/>
  <c r="AN204" i="1"/>
  <c r="AP204" i="1" s="1"/>
  <c r="AN205" i="1"/>
  <c r="AN212" i="1"/>
  <c r="AO212" i="1" s="1"/>
  <c r="AN231" i="1"/>
  <c r="AN244" i="1"/>
  <c r="AM43" i="1"/>
  <c r="AN43" i="1" s="1"/>
  <c r="AM44" i="1"/>
  <c r="AM45" i="1"/>
  <c r="AM46" i="1"/>
  <c r="AN46" i="1" s="1"/>
  <c r="AP46" i="1" s="1"/>
  <c r="AM47" i="1"/>
  <c r="AN47" i="1" s="1"/>
  <c r="AM48" i="1"/>
  <c r="AN48" i="1" s="1"/>
  <c r="AM49" i="1"/>
  <c r="AN49" i="1" s="1"/>
  <c r="AM50" i="1"/>
  <c r="AN50" i="1" s="1"/>
  <c r="AM51" i="1"/>
  <c r="AN51" i="1" s="1"/>
  <c r="AM52" i="1"/>
  <c r="AM53" i="1"/>
  <c r="AM54" i="1"/>
  <c r="AM55" i="1"/>
  <c r="AN55" i="1" s="1"/>
  <c r="AM56" i="1"/>
  <c r="AN56" i="1" s="1"/>
  <c r="AM57" i="1"/>
  <c r="AN57" i="1" s="1"/>
  <c r="AM58" i="1"/>
  <c r="AN58" i="1" s="1"/>
  <c r="AM59" i="1"/>
  <c r="AN59" i="1" s="1"/>
  <c r="AM60" i="1"/>
  <c r="AN60" i="1" s="1"/>
  <c r="AP60" i="1" s="1"/>
  <c r="AM61" i="1"/>
  <c r="AM62" i="1"/>
  <c r="AN62" i="1" s="1"/>
  <c r="AO62" i="1" s="1"/>
  <c r="AM63" i="1"/>
  <c r="AN63" i="1" s="1"/>
  <c r="AO63" i="1" s="1"/>
  <c r="AM64" i="1"/>
  <c r="AN64" i="1" s="1"/>
  <c r="AM65" i="1"/>
  <c r="AN65" i="1" s="1"/>
  <c r="AP65" i="1" s="1"/>
  <c r="AM66" i="1"/>
  <c r="AN66" i="1" s="1"/>
  <c r="AM67" i="1"/>
  <c r="AN67" i="1" s="1"/>
  <c r="AM68" i="1"/>
  <c r="AN68" i="1" s="1"/>
  <c r="AM69" i="1"/>
  <c r="AM70" i="1"/>
  <c r="AM71" i="1"/>
  <c r="AN71" i="1" s="1"/>
  <c r="AO71" i="1" s="1"/>
  <c r="AM72" i="1"/>
  <c r="AN72" i="1" s="1"/>
  <c r="AM73" i="1"/>
  <c r="AN73" i="1" s="1"/>
  <c r="AP73" i="1" s="1"/>
  <c r="AM74" i="1"/>
  <c r="AN74" i="1" s="1"/>
  <c r="AM75" i="1"/>
  <c r="AN75" i="1" s="1"/>
  <c r="AM76" i="1"/>
  <c r="AM77" i="1"/>
  <c r="AN77" i="1" s="1"/>
  <c r="AO77" i="1" s="1"/>
  <c r="AM78" i="1"/>
  <c r="AN78" i="1" s="1"/>
  <c r="AM79" i="1"/>
  <c r="AN79" i="1" s="1"/>
  <c r="AM80" i="1"/>
  <c r="AN80" i="1" s="1"/>
  <c r="AM81" i="1"/>
  <c r="AN81" i="1" s="1"/>
  <c r="AM82" i="1"/>
  <c r="AN82" i="1" s="1"/>
  <c r="AM83" i="1"/>
  <c r="AN83" i="1" s="1"/>
  <c r="AP83" i="1" s="1"/>
  <c r="AM84" i="1"/>
  <c r="AM85" i="1"/>
  <c r="AN85" i="1" s="1"/>
  <c r="AM86" i="1"/>
  <c r="AN86" i="1" s="1"/>
  <c r="AO86" i="1" s="1"/>
  <c r="AM87" i="1"/>
  <c r="AN87" i="1" s="1"/>
  <c r="AO87" i="1" s="1"/>
  <c r="AM88" i="1"/>
  <c r="AN88" i="1" s="1"/>
  <c r="AM89" i="1"/>
  <c r="AN89" i="1" s="1"/>
  <c r="AM90" i="1"/>
  <c r="AM91" i="1"/>
  <c r="AN91" i="1" s="1"/>
  <c r="AM92" i="1"/>
  <c r="AM93" i="1"/>
  <c r="AN93" i="1" s="1"/>
  <c r="AO93" i="1" s="1"/>
  <c r="AM94" i="1"/>
  <c r="AM95" i="1"/>
  <c r="AN95" i="1" s="1"/>
  <c r="AM96" i="1"/>
  <c r="AN96" i="1" s="1"/>
  <c r="AM97" i="1"/>
  <c r="AN97" i="1" s="1"/>
  <c r="AP97" i="1" s="1"/>
  <c r="AM98" i="1"/>
  <c r="AN98" i="1" s="1"/>
  <c r="AM99" i="1"/>
  <c r="AN99" i="1" s="1"/>
  <c r="AM100" i="1"/>
  <c r="AN100" i="1" s="1"/>
  <c r="AP100" i="1" s="1"/>
  <c r="AM101" i="1"/>
  <c r="AN101" i="1" s="1"/>
  <c r="AM102" i="1"/>
  <c r="AN102" i="1" s="1"/>
  <c r="AP102" i="1" s="1"/>
  <c r="AM103" i="1"/>
  <c r="AN103" i="1" s="1"/>
  <c r="AO103" i="1" s="1"/>
  <c r="AM104" i="1"/>
  <c r="AN104" i="1" s="1"/>
  <c r="AM105" i="1"/>
  <c r="AN105" i="1" s="1"/>
  <c r="AM106" i="1"/>
  <c r="AN106" i="1" s="1"/>
  <c r="AM107" i="1"/>
  <c r="AN107" i="1" s="1"/>
  <c r="AM108" i="1"/>
  <c r="AM109" i="1"/>
  <c r="AM110" i="1"/>
  <c r="AN110" i="1" s="1"/>
  <c r="AM111" i="1"/>
  <c r="AN111" i="1" s="1"/>
  <c r="AP111" i="1" s="1"/>
  <c r="AM112" i="1"/>
  <c r="AN112" i="1" s="1"/>
  <c r="AM113" i="1"/>
  <c r="AN113" i="1" s="1"/>
  <c r="AP113" i="1" s="1"/>
  <c r="AM114" i="1"/>
  <c r="AN114" i="1" s="1"/>
  <c r="AP114" i="1" s="1"/>
  <c r="AM115" i="1"/>
  <c r="AN115" i="1" s="1"/>
  <c r="AO115" i="1" s="1"/>
  <c r="AM116" i="1"/>
  <c r="AN116" i="1" s="1"/>
  <c r="AM117" i="1"/>
  <c r="AN117" i="1" s="1"/>
  <c r="AM118" i="1"/>
  <c r="AN118" i="1" s="1"/>
  <c r="AM119" i="1"/>
  <c r="AN119" i="1" s="1"/>
  <c r="AO119" i="1" s="1"/>
  <c r="AM120" i="1"/>
  <c r="AN120" i="1" s="1"/>
  <c r="AM121" i="1"/>
  <c r="AN121" i="1" s="1"/>
  <c r="AM122" i="1"/>
  <c r="AN122" i="1" s="1"/>
  <c r="AM123" i="1"/>
  <c r="AN123" i="1" s="1"/>
  <c r="AM124" i="1"/>
  <c r="AN124" i="1" s="1"/>
  <c r="AP124" i="1" s="1"/>
  <c r="AM125" i="1"/>
  <c r="AN125" i="1" s="1"/>
  <c r="AM126" i="1"/>
  <c r="AM127" i="1"/>
  <c r="AM128" i="1"/>
  <c r="AN128" i="1" s="1"/>
  <c r="AM129" i="1"/>
  <c r="AN129" i="1" s="1"/>
  <c r="AM130" i="1"/>
  <c r="AN130" i="1" s="1"/>
  <c r="AM131" i="1"/>
  <c r="AN131" i="1" s="1"/>
  <c r="AM132" i="1"/>
  <c r="AN132" i="1" s="1"/>
  <c r="AP132" i="1" s="1"/>
  <c r="AM133" i="1"/>
  <c r="AN133" i="1" s="1"/>
  <c r="AO133" i="1" s="1"/>
  <c r="AM134" i="1"/>
  <c r="AN134" i="1" s="1"/>
  <c r="AP134" i="1" s="1"/>
  <c r="AM135" i="1"/>
  <c r="AM136" i="1"/>
  <c r="AN136" i="1" s="1"/>
  <c r="AM137" i="1"/>
  <c r="AN137" i="1" s="1"/>
  <c r="AP137" i="1" s="1"/>
  <c r="AM138" i="1"/>
  <c r="AN138" i="1" s="1"/>
  <c r="AP138" i="1" s="1"/>
  <c r="AM139" i="1"/>
  <c r="AM140" i="1"/>
  <c r="AM141" i="1"/>
  <c r="AN141" i="1" s="1"/>
  <c r="AM142" i="1"/>
  <c r="AN142" i="1" s="1"/>
  <c r="AM143" i="1"/>
  <c r="AN143" i="1" s="1"/>
  <c r="AM144" i="1"/>
  <c r="AN144" i="1" s="1"/>
  <c r="AM145" i="1"/>
  <c r="AN145" i="1" s="1"/>
  <c r="AM146" i="1"/>
  <c r="AN146" i="1" s="1"/>
  <c r="AP146" i="1" s="1"/>
  <c r="AM147" i="1"/>
  <c r="AN147" i="1" s="1"/>
  <c r="AM148" i="1"/>
  <c r="AM149" i="1"/>
  <c r="AN149" i="1" s="1"/>
  <c r="AM150" i="1"/>
  <c r="AN150" i="1" s="1"/>
  <c r="AM151" i="1"/>
  <c r="AN151" i="1" s="1"/>
  <c r="AM152" i="1"/>
  <c r="AN152" i="1" s="1"/>
  <c r="AM153" i="1"/>
  <c r="AN153" i="1" s="1"/>
  <c r="AM154" i="1"/>
  <c r="AN154" i="1" s="1"/>
  <c r="AM155" i="1"/>
  <c r="AN155" i="1" s="1"/>
  <c r="AM156" i="1"/>
  <c r="AM157" i="1"/>
  <c r="AM158" i="1"/>
  <c r="AN158" i="1" s="1"/>
  <c r="AO158" i="1" s="1"/>
  <c r="AM159" i="1"/>
  <c r="AN159" i="1" s="1"/>
  <c r="AM160" i="1"/>
  <c r="AN160" i="1" s="1"/>
  <c r="AM161" i="1"/>
  <c r="AN161" i="1" s="1"/>
  <c r="AM162" i="1"/>
  <c r="AM163" i="1"/>
  <c r="AN163" i="1" s="1"/>
  <c r="AM164" i="1"/>
  <c r="AN164" i="1" s="1"/>
  <c r="AO164" i="1" s="1"/>
  <c r="AM165" i="1"/>
  <c r="AN165" i="1" s="1"/>
  <c r="AM166" i="1"/>
  <c r="AN166" i="1" s="1"/>
  <c r="AM167" i="1"/>
  <c r="AN167" i="1" s="1"/>
  <c r="AM168" i="1"/>
  <c r="AN168" i="1" s="1"/>
  <c r="AM169" i="1"/>
  <c r="AN169" i="1" s="1"/>
  <c r="AP169" i="1" s="1"/>
  <c r="AM170" i="1"/>
  <c r="AN170" i="1" s="1"/>
  <c r="AM171" i="1"/>
  <c r="AN171" i="1" s="1"/>
  <c r="AM172" i="1"/>
  <c r="AM173" i="1"/>
  <c r="AN173" i="1" s="1"/>
  <c r="AM174" i="1"/>
  <c r="AN174" i="1" s="1"/>
  <c r="AM175" i="1"/>
  <c r="AN175" i="1" s="1"/>
  <c r="AP175" i="1" s="1"/>
  <c r="AM176" i="1"/>
  <c r="AN176" i="1" s="1"/>
  <c r="AM177" i="1"/>
  <c r="AN177" i="1" s="1"/>
  <c r="AM178" i="1"/>
  <c r="AN178" i="1" s="1"/>
  <c r="AP178" i="1" s="1"/>
  <c r="AM179" i="1"/>
  <c r="AN179" i="1" s="1"/>
  <c r="AP179" i="1" s="1"/>
  <c r="AM180" i="1"/>
  <c r="AM181" i="1"/>
  <c r="AN181" i="1" s="1"/>
  <c r="AM182" i="1"/>
  <c r="AN182" i="1" s="1"/>
  <c r="AM183" i="1"/>
  <c r="AN183" i="1" s="1"/>
  <c r="AM184" i="1"/>
  <c r="AN184" i="1" s="1"/>
  <c r="AM185" i="1"/>
  <c r="AN185" i="1" s="1"/>
  <c r="AM186" i="1"/>
  <c r="AM187" i="1"/>
  <c r="AN187" i="1" s="1"/>
  <c r="AM188" i="1"/>
  <c r="AN188" i="1" s="1"/>
  <c r="AP188" i="1" s="1"/>
  <c r="AM189" i="1"/>
  <c r="AN189" i="1" s="1"/>
  <c r="AM190" i="1"/>
  <c r="AN190" i="1" s="1"/>
  <c r="AO190" i="1" s="1"/>
  <c r="AM191" i="1"/>
  <c r="AN191" i="1" s="1"/>
  <c r="AO191" i="1" s="1"/>
  <c r="AM192" i="1"/>
  <c r="AN192" i="1" s="1"/>
  <c r="AM193" i="1"/>
  <c r="AN193" i="1" s="1"/>
  <c r="AM194" i="1"/>
  <c r="AN194" i="1" s="1"/>
  <c r="AM195" i="1"/>
  <c r="AN195" i="1" s="1"/>
  <c r="AM196" i="1"/>
  <c r="AN196" i="1" s="1"/>
  <c r="AP196" i="1" s="1"/>
  <c r="AM197" i="1"/>
  <c r="AN197" i="1" s="1"/>
  <c r="AO197" i="1" s="1"/>
  <c r="AM198" i="1"/>
  <c r="AN198" i="1" s="1"/>
  <c r="AM199" i="1"/>
  <c r="AN199" i="1" s="1"/>
  <c r="AO199" i="1" s="1"/>
  <c r="AM200" i="1"/>
  <c r="AN200" i="1" s="1"/>
  <c r="AM201" i="1"/>
  <c r="AN201" i="1" s="1"/>
  <c r="AP201" i="1" s="1"/>
  <c r="AM202" i="1"/>
  <c r="AN202" i="1" s="1"/>
  <c r="AM203" i="1"/>
  <c r="AN203" i="1" s="1"/>
  <c r="AM204" i="1"/>
  <c r="AM205" i="1"/>
  <c r="AM206" i="1"/>
  <c r="AN206" i="1" s="1"/>
  <c r="AM207" i="1"/>
  <c r="AN207" i="1" s="1"/>
  <c r="AM208" i="1"/>
  <c r="AN208" i="1" s="1"/>
  <c r="AM209" i="1"/>
  <c r="AN209" i="1" s="1"/>
  <c r="AM210" i="1"/>
  <c r="AN210" i="1" s="1"/>
  <c r="AP210" i="1" s="1"/>
  <c r="AM211" i="1"/>
  <c r="AN211" i="1" s="1"/>
  <c r="AM212" i="1"/>
  <c r="AM213" i="1"/>
  <c r="AN213" i="1" s="1"/>
  <c r="AM214" i="1"/>
  <c r="AN214" i="1" s="1"/>
  <c r="AM215" i="1"/>
  <c r="AN215" i="1" s="1"/>
  <c r="AP215" i="1" s="1"/>
  <c r="AM216" i="1"/>
  <c r="AN216" i="1" s="1"/>
  <c r="AM217" i="1"/>
  <c r="AN217" i="1" s="1"/>
  <c r="AM218" i="1"/>
  <c r="AN218" i="1" s="1"/>
  <c r="AM219" i="1"/>
  <c r="AN219" i="1" s="1"/>
  <c r="AP219" i="1" s="1"/>
  <c r="AM220" i="1"/>
  <c r="AN220" i="1" s="1"/>
  <c r="AM221" i="1"/>
  <c r="AN221" i="1" s="1"/>
  <c r="AM222" i="1"/>
  <c r="AN222" i="1" s="1"/>
  <c r="AO222" i="1" s="1"/>
  <c r="AM223" i="1"/>
  <c r="AN223" i="1" s="1"/>
  <c r="AM224" i="1"/>
  <c r="AN224" i="1" s="1"/>
  <c r="AM225" i="1"/>
  <c r="AN225" i="1" s="1"/>
  <c r="AM226" i="1"/>
  <c r="AN226" i="1" s="1"/>
  <c r="AM227" i="1"/>
  <c r="AN227" i="1" s="1"/>
  <c r="AM228" i="1"/>
  <c r="AN228" i="1" s="1"/>
  <c r="AO228" i="1" s="1"/>
  <c r="AM229" i="1"/>
  <c r="AN229" i="1" s="1"/>
  <c r="AM230" i="1"/>
  <c r="AN230" i="1" s="1"/>
  <c r="AM231" i="1"/>
  <c r="AM232" i="1"/>
  <c r="AN232" i="1" s="1"/>
  <c r="AM233" i="1"/>
  <c r="AN233" i="1" s="1"/>
  <c r="AP233" i="1" s="1"/>
  <c r="AM234" i="1"/>
  <c r="AN234" i="1" s="1"/>
  <c r="AP234" i="1" s="1"/>
  <c r="AM235" i="1"/>
  <c r="AN235" i="1" s="1"/>
  <c r="AM236" i="1"/>
  <c r="AN236" i="1" s="1"/>
  <c r="AM237" i="1"/>
  <c r="AN237" i="1" s="1"/>
  <c r="AO237" i="1" s="1"/>
  <c r="AM238" i="1"/>
  <c r="AN238" i="1" s="1"/>
  <c r="AP238" i="1" s="1"/>
  <c r="AM239" i="1"/>
  <c r="AN239" i="1" s="1"/>
  <c r="AM240" i="1"/>
  <c r="AN240" i="1" s="1"/>
  <c r="AM241" i="1"/>
  <c r="AN241" i="1" s="1"/>
  <c r="AP241" i="1" s="1"/>
  <c r="AM242" i="1"/>
  <c r="AN242" i="1" s="1"/>
  <c r="AP242" i="1" s="1"/>
  <c r="AM243" i="1"/>
  <c r="AN243" i="1" s="1"/>
  <c r="AM244" i="1"/>
  <c r="AM245" i="1"/>
  <c r="AN245" i="1" s="1"/>
  <c r="AM246" i="1"/>
  <c r="AN246" i="1" s="1"/>
  <c r="AK54" i="1"/>
  <c r="AK69" i="1"/>
  <c r="AK84" i="1"/>
  <c r="AK180" i="1"/>
  <c r="AK188" i="1"/>
  <c r="AK204" i="1"/>
  <c r="AK212" i="1"/>
  <c r="AJ61" i="1"/>
  <c r="AJ62" i="1"/>
  <c r="AJ94" i="1"/>
  <c r="AJ126" i="1"/>
  <c r="AJ134" i="1"/>
  <c r="AJ150" i="1"/>
  <c r="AJ180" i="1"/>
  <c r="AJ198" i="1"/>
  <c r="AI45" i="1"/>
  <c r="AI51" i="1"/>
  <c r="AI60" i="1"/>
  <c r="AK60" i="1" s="1"/>
  <c r="AI68" i="1"/>
  <c r="AI76" i="1"/>
  <c r="AK76" i="1" s="1"/>
  <c r="AI85" i="1"/>
  <c r="AI93" i="1"/>
  <c r="AK93" i="1" s="1"/>
  <c r="AI124" i="1"/>
  <c r="AI125" i="1"/>
  <c r="AI157" i="1"/>
  <c r="AI158" i="1"/>
  <c r="AI166" i="1"/>
  <c r="AK166" i="1" s="1"/>
  <c r="AI182" i="1"/>
  <c r="AK182" i="1" s="1"/>
  <c r="AI206" i="1"/>
  <c r="AI220" i="1"/>
  <c r="AK220" i="1" s="1"/>
  <c r="AI226" i="1"/>
  <c r="AI228" i="1"/>
  <c r="AK228" i="1" s="1"/>
  <c r="AI234" i="1"/>
  <c r="AJ234" i="1" s="1"/>
  <c r="AI236" i="1"/>
  <c r="AI237" i="1"/>
  <c r="AI244" i="1"/>
  <c r="AH45" i="1"/>
  <c r="AH46" i="1"/>
  <c r="AI46" i="1" s="1"/>
  <c r="AH47" i="1"/>
  <c r="AI47" i="1" s="1"/>
  <c r="AH48" i="1"/>
  <c r="AI48" i="1" s="1"/>
  <c r="AH49" i="1"/>
  <c r="AI49" i="1" s="1"/>
  <c r="AH50" i="1"/>
  <c r="AI50" i="1" s="1"/>
  <c r="AH51" i="1"/>
  <c r="AH52" i="1"/>
  <c r="AI52" i="1" s="1"/>
  <c r="AK52" i="1" s="1"/>
  <c r="AH53" i="1"/>
  <c r="AI53" i="1" s="1"/>
  <c r="AH54" i="1"/>
  <c r="AI54" i="1" s="1"/>
  <c r="AJ54" i="1" s="1"/>
  <c r="AH55" i="1"/>
  <c r="AI55" i="1" s="1"/>
  <c r="AH56" i="1"/>
  <c r="AI56" i="1" s="1"/>
  <c r="AJ56" i="1" s="1"/>
  <c r="AH57" i="1"/>
  <c r="AI57" i="1" s="1"/>
  <c r="AH58" i="1"/>
  <c r="AI58" i="1" s="1"/>
  <c r="AH59" i="1"/>
  <c r="AI59" i="1" s="1"/>
  <c r="AH60" i="1"/>
  <c r="AH61" i="1"/>
  <c r="AI61" i="1" s="1"/>
  <c r="AK61" i="1" s="1"/>
  <c r="AH62" i="1"/>
  <c r="AI62" i="1" s="1"/>
  <c r="AK62" i="1" s="1"/>
  <c r="AH63" i="1"/>
  <c r="AI63" i="1" s="1"/>
  <c r="AH64" i="1"/>
  <c r="AI64" i="1" s="1"/>
  <c r="AK64" i="1" s="1"/>
  <c r="AH65" i="1"/>
  <c r="AI65" i="1" s="1"/>
  <c r="AH66" i="1"/>
  <c r="AI66" i="1" s="1"/>
  <c r="AH67" i="1"/>
  <c r="AI67" i="1" s="1"/>
  <c r="AH68" i="1"/>
  <c r="AH69" i="1"/>
  <c r="AI69" i="1" s="1"/>
  <c r="AJ69" i="1" s="1"/>
  <c r="AH70" i="1"/>
  <c r="AI70" i="1" s="1"/>
  <c r="AK70" i="1" s="1"/>
  <c r="AH71" i="1"/>
  <c r="AI71" i="1" s="1"/>
  <c r="AH72" i="1"/>
  <c r="AI72" i="1" s="1"/>
  <c r="AH73" i="1"/>
  <c r="AI73" i="1" s="1"/>
  <c r="AJ73" i="1" s="1"/>
  <c r="AH74" i="1"/>
  <c r="AI74" i="1" s="1"/>
  <c r="AH75" i="1"/>
  <c r="AI75" i="1" s="1"/>
  <c r="AH76" i="1"/>
  <c r="AH77" i="1"/>
  <c r="AI77" i="1" s="1"/>
  <c r="AH78" i="1"/>
  <c r="AI78" i="1" s="1"/>
  <c r="AH79" i="1"/>
  <c r="AI79" i="1" s="1"/>
  <c r="AK79" i="1" s="1"/>
  <c r="AH80" i="1"/>
  <c r="AI80" i="1" s="1"/>
  <c r="AH81" i="1"/>
  <c r="AI81" i="1" s="1"/>
  <c r="AH82" i="1"/>
  <c r="AI82" i="1" s="1"/>
  <c r="AH83" i="1"/>
  <c r="AI83" i="1" s="1"/>
  <c r="AK83" i="1" s="1"/>
  <c r="AH84" i="1"/>
  <c r="AI84" i="1" s="1"/>
  <c r="AJ84" i="1" s="1"/>
  <c r="AH85" i="1"/>
  <c r="AH86" i="1"/>
  <c r="AI86" i="1" s="1"/>
  <c r="AH87" i="1"/>
  <c r="AI87" i="1" s="1"/>
  <c r="AH88" i="1"/>
  <c r="AI88" i="1" s="1"/>
  <c r="AH89" i="1"/>
  <c r="AI89" i="1" s="1"/>
  <c r="AH90" i="1"/>
  <c r="AI90" i="1" s="1"/>
  <c r="AH91" i="1"/>
  <c r="AI91" i="1" s="1"/>
  <c r="AH92" i="1"/>
  <c r="AI92" i="1" s="1"/>
  <c r="AJ92" i="1" s="1"/>
  <c r="AH93" i="1"/>
  <c r="AH94" i="1"/>
  <c r="AI94" i="1" s="1"/>
  <c r="AK94" i="1" s="1"/>
  <c r="AH95" i="1"/>
  <c r="AI95" i="1" s="1"/>
  <c r="AJ95" i="1" s="1"/>
  <c r="AH96" i="1"/>
  <c r="AI96" i="1" s="1"/>
  <c r="AH97" i="1"/>
  <c r="AI97" i="1" s="1"/>
  <c r="AH98" i="1"/>
  <c r="AI98" i="1" s="1"/>
  <c r="AH99" i="1"/>
  <c r="AI99" i="1" s="1"/>
  <c r="AH100" i="1"/>
  <c r="AI100" i="1" s="1"/>
  <c r="AH101" i="1"/>
  <c r="AI101" i="1" s="1"/>
  <c r="AK101" i="1" s="1"/>
  <c r="AH102" i="1"/>
  <c r="AI102" i="1" s="1"/>
  <c r="AK102" i="1" s="1"/>
  <c r="AH103" i="1"/>
  <c r="AI103" i="1" s="1"/>
  <c r="AH104" i="1"/>
  <c r="AI104" i="1" s="1"/>
  <c r="AH105" i="1"/>
  <c r="AI105" i="1" s="1"/>
  <c r="AH106" i="1"/>
  <c r="AI106" i="1" s="1"/>
  <c r="AH107" i="1"/>
  <c r="AI107" i="1" s="1"/>
  <c r="AH108" i="1"/>
  <c r="AI108" i="1" s="1"/>
  <c r="AJ108" i="1" s="1"/>
  <c r="AH109" i="1"/>
  <c r="AI109" i="1" s="1"/>
  <c r="AH110" i="1"/>
  <c r="AI110" i="1" s="1"/>
  <c r="AH111" i="1"/>
  <c r="AI111" i="1" s="1"/>
  <c r="AH112" i="1"/>
  <c r="AI112" i="1" s="1"/>
  <c r="AH113" i="1"/>
  <c r="AI113" i="1" s="1"/>
  <c r="AH114" i="1"/>
  <c r="AI114" i="1" s="1"/>
  <c r="AH115" i="1"/>
  <c r="AI115" i="1" s="1"/>
  <c r="AH116" i="1"/>
  <c r="AI116" i="1" s="1"/>
  <c r="AK116" i="1" s="1"/>
  <c r="AH117" i="1"/>
  <c r="AI117" i="1" s="1"/>
  <c r="AH118" i="1"/>
  <c r="AI118" i="1" s="1"/>
  <c r="AK118" i="1" s="1"/>
  <c r="AH119" i="1"/>
  <c r="AI119" i="1" s="1"/>
  <c r="AH120" i="1"/>
  <c r="AI120" i="1" s="1"/>
  <c r="AH121" i="1"/>
  <c r="AI121" i="1" s="1"/>
  <c r="AH122" i="1"/>
  <c r="AI122" i="1" s="1"/>
  <c r="AH123" i="1"/>
  <c r="AI123" i="1" s="1"/>
  <c r="AK123" i="1" s="1"/>
  <c r="AH124" i="1"/>
  <c r="AH125" i="1"/>
  <c r="AH126" i="1"/>
  <c r="AI126" i="1" s="1"/>
  <c r="AK126" i="1" s="1"/>
  <c r="AH127" i="1"/>
  <c r="AI127" i="1" s="1"/>
  <c r="AJ127" i="1" s="1"/>
  <c r="AH128" i="1"/>
  <c r="AI128" i="1" s="1"/>
  <c r="AJ128" i="1" s="1"/>
  <c r="AH129" i="1"/>
  <c r="AI129" i="1" s="1"/>
  <c r="AH130" i="1"/>
  <c r="AI130" i="1" s="1"/>
  <c r="AH131" i="1"/>
  <c r="AI131" i="1" s="1"/>
  <c r="AH132" i="1"/>
  <c r="AI132" i="1" s="1"/>
  <c r="AH133" i="1"/>
  <c r="AI133" i="1" s="1"/>
  <c r="AK133" i="1" s="1"/>
  <c r="AH134" i="1"/>
  <c r="AI134" i="1" s="1"/>
  <c r="AK134" i="1" s="1"/>
  <c r="AH135" i="1"/>
  <c r="AI135" i="1" s="1"/>
  <c r="AH136" i="1"/>
  <c r="AI136" i="1" s="1"/>
  <c r="AH137" i="1"/>
  <c r="AI137" i="1" s="1"/>
  <c r="AH138" i="1"/>
  <c r="AI138" i="1" s="1"/>
  <c r="AH139" i="1"/>
  <c r="AI139" i="1" s="1"/>
  <c r="AH140" i="1"/>
  <c r="AI140" i="1" s="1"/>
  <c r="AH141" i="1"/>
  <c r="AI141" i="1" s="1"/>
  <c r="AH142" i="1"/>
  <c r="AI142" i="1" s="1"/>
  <c r="AH143" i="1"/>
  <c r="AI143" i="1" s="1"/>
  <c r="AH144" i="1"/>
  <c r="AI144" i="1" s="1"/>
  <c r="AK144" i="1" s="1"/>
  <c r="AH145" i="1"/>
  <c r="AI145" i="1" s="1"/>
  <c r="AH146" i="1"/>
  <c r="AI146" i="1" s="1"/>
  <c r="AJ146" i="1" s="1"/>
  <c r="AH147" i="1"/>
  <c r="AI147" i="1" s="1"/>
  <c r="AH148" i="1"/>
  <c r="AI148" i="1" s="1"/>
  <c r="AH149" i="1"/>
  <c r="AI149" i="1" s="1"/>
  <c r="AH150" i="1"/>
  <c r="AI150" i="1" s="1"/>
  <c r="AK150" i="1" s="1"/>
  <c r="AH151" i="1"/>
  <c r="AI151" i="1" s="1"/>
  <c r="AH152" i="1"/>
  <c r="AI152" i="1" s="1"/>
  <c r="AH153" i="1"/>
  <c r="AI153" i="1" s="1"/>
  <c r="AH154" i="1"/>
  <c r="AI154" i="1" s="1"/>
  <c r="AH155" i="1"/>
  <c r="AI155" i="1" s="1"/>
  <c r="AH156" i="1"/>
  <c r="AI156" i="1" s="1"/>
  <c r="AK156" i="1" s="1"/>
  <c r="AH157" i="1"/>
  <c r="AH158" i="1"/>
  <c r="AH159" i="1"/>
  <c r="AI159" i="1" s="1"/>
  <c r="AH160" i="1"/>
  <c r="AI160" i="1" s="1"/>
  <c r="AK160" i="1" s="1"/>
  <c r="AH161" i="1"/>
  <c r="AI161" i="1" s="1"/>
  <c r="AH162" i="1"/>
  <c r="AI162" i="1" s="1"/>
  <c r="AH163" i="1"/>
  <c r="AI163" i="1" s="1"/>
  <c r="AH164" i="1"/>
  <c r="AI164" i="1" s="1"/>
  <c r="AH165" i="1"/>
  <c r="AI165" i="1" s="1"/>
  <c r="AH166" i="1"/>
  <c r="AH167" i="1"/>
  <c r="AI167" i="1" s="1"/>
  <c r="AK167" i="1" s="1"/>
  <c r="AH168" i="1"/>
  <c r="AI168" i="1" s="1"/>
  <c r="AH169" i="1"/>
  <c r="AI169" i="1" s="1"/>
  <c r="AH170" i="1"/>
  <c r="AI170" i="1" s="1"/>
  <c r="AJ170" i="1" s="1"/>
  <c r="AH171" i="1"/>
  <c r="AI171" i="1" s="1"/>
  <c r="AH172" i="1"/>
  <c r="AI172" i="1" s="1"/>
  <c r="AK172" i="1" s="1"/>
  <c r="AH173" i="1"/>
  <c r="AI173" i="1" s="1"/>
  <c r="AH174" i="1"/>
  <c r="AI174" i="1" s="1"/>
  <c r="AH175" i="1"/>
  <c r="AI175" i="1" s="1"/>
  <c r="AH176" i="1"/>
  <c r="AI176" i="1" s="1"/>
  <c r="AH177" i="1"/>
  <c r="AI177" i="1" s="1"/>
  <c r="AH178" i="1"/>
  <c r="AI178" i="1" s="1"/>
  <c r="AH179" i="1"/>
  <c r="AI179" i="1" s="1"/>
  <c r="AH180" i="1"/>
  <c r="AI180" i="1" s="1"/>
  <c r="AH181" i="1"/>
  <c r="AI181" i="1" s="1"/>
  <c r="AH182" i="1"/>
  <c r="AH183" i="1"/>
  <c r="AI183" i="1" s="1"/>
  <c r="AH184" i="1"/>
  <c r="AI184" i="1" s="1"/>
  <c r="AH185" i="1"/>
  <c r="AI185" i="1" s="1"/>
  <c r="AH186" i="1"/>
  <c r="AI186" i="1" s="1"/>
  <c r="AH187" i="1"/>
  <c r="AI187" i="1" s="1"/>
  <c r="AH188" i="1"/>
  <c r="AI188" i="1" s="1"/>
  <c r="AJ188" i="1" s="1"/>
  <c r="AH189" i="1"/>
  <c r="AI189" i="1" s="1"/>
  <c r="AK189" i="1" s="1"/>
  <c r="AH190" i="1"/>
  <c r="AI190" i="1" s="1"/>
  <c r="AH191" i="1"/>
  <c r="AI191" i="1" s="1"/>
  <c r="AH192" i="1"/>
  <c r="AI192" i="1" s="1"/>
  <c r="AH193" i="1"/>
  <c r="AI193" i="1" s="1"/>
  <c r="AH194" i="1"/>
  <c r="AI194" i="1" s="1"/>
  <c r="AH195" i="1"/>
  <c r="AI195" i="1" s="1"/>
  <c r="AH196" i="1"/>
  <c r="AI196" i="1" s="1"/>
  <c r="AH197" i="1"/>
  <c r="AI197" i="1" s="1"/>
  <c r="AH198" i="1"/>
  <c r="AI198" i="1" s="1"/>
  <c r="AK198" i="1" s="1"/>
  <c r="AH199" i="1"/>
  <c r="AI199" i="1" s="1"/>
  <c r="AH200" i="1"/>
  <c r="AI200" i="1" s="1"/>
  <c r="AJ200" i="1" s="1"/>
  <c r="AH201" i="1"/>
  <c r="AI201" i="1" s="1"/>
  <c r="AH202" i="1"/>
  <c r="AI202" i="1" s="1"/>
  <c r="AH203" i="1"/>
  <c r="AI203" i="1" s="1"/>
  <c r="AH204" i="1"/>
  <c r="AI204" i="1" s="1"/>
  <c r="AJ204" i="1" s="1"/>
  <c r="AH205" i="1"/>
  <c r="AI205" i="1" s="1"/>
  <c r="AH206" i="1"/>
  <c r="AH207" i="1"/>
  <c r="AI207" i="1" s="1"/>
  <c r="AH208" i="1"/>
  <c r="AI208" i="1" s="1"/>
  <c r="AH209" i="1"/>
  <c r="AI209" i="1" s="1"/>
  <c r="AH210" i="1"/>
  <c r="AI210" i="1" s="1"/>
  <c r="AH211" i="1"/>
  <c r="AI211" i="1" s="1"/>
  <c r="AH212" i="1"/>
  <c r="AI212" i="1" s="1"/>
  <c r="AJ212" i="1" s="1"/>
  <c r="AH213" i="1"/>
  <c r="AI213" i="1" s="1"/>
  <c r="AH214" i="1"/>
  <c r="AI214" i="1" s="1"/>
  <c r="AH215" i="1"/>
  <c r="AI215" i="1" s="1"/>
  <c r="AH216" i="1"/>
  <c r="AI216" i="1" s="1"/>
  <c r="AH217" i="1"/>
  <c r="AI217" i="1" s="1"/>
  <c r="AH218" i="1"/>
  <c r="AI218" i="1" s="1"/>
  <c r="AH219" i="1"/>
  <c r="AI219" i="1" s="1"/>
  <c r="AH220" i="1"/>
  <c r="AH221" i="1"/>
  <c r="AI221" i="1" s="1"/>
  <c r="AH222" i="1"/>
  <c r="AI222" i="1" s="1"/>
  <c r="AH223" i="1"/>
  <c r="AI223" i="1" s="1"/>
  <c r="AH224" i="1"/>
  <c r="AI224" i="1" s="1"/>
  <c r="AH225" i="1"/>
  <c r="AI225" i="1" s="1"/>
  <c r="AH226" i="1"/>
  <c r="AH227" i="1"/>
  <c r="AI227" i="1" s="1"/>
  <c r="AK227" i="1" s="1"/>
  <c r="AH228" i="1"/>
  <c r="AH229" i="1"/>
  <c r="AI229" i="1" s="1"/>
  <c r="AK229" i="1" s="1"/>
  <c r="AH230" i="1"/>
  <c r="AI230" i="1" s="1"/>
  <c r="AH231" i="1"/>
  <c r="AI231" i="1" s="1"/>
  <c r="AH232" i="1"/>
  <c r="AI232" i="1" s="1"/>
  <c r="AH233" i="1"/>
  <c r="AI233" i="1" s="1"/>
  <c r="AH234" i="1"/>
  <c r="AH235" i="1"/>
  <c r="AI235" i="1" s="1"/>
  <c r="AH236" i="1"/>
  <c r="AH237" i="1"/>
  <c r="AH238" i="1"/>
  <c r="AI238" i="1" s="1"/>
  <c r="AH239" i="1"/>
  <c r="AI239" i="1" s="1"/>
  <c r="AH240" i="1"/>
  <c r="AI240" i="1" s="1"/>
  <c r="AH241" i="1"/>
  <c r="AI241" i="1" s="1"/>
  <c r="AH242" i="1"/>
  <c r="AI242" i="1" s="1"/>
  <c r="AH243" i="1"/>
  <c r="AI243" i="1" s="1"/>
  <c r="AH244" i="1"/>
  <c r="AH245" i="1"/>
  <c r="AI245" i="1" s="1"/>
  <c r="AH246" i="1"/>
  <c r="AI246" i="1" s="1"/>
  <c r="AH43" i="1"/>
  <c r="AI43" i="1" s="1"/>
  <c r="AH44" i="1"/>
  <c r="AI44" i="1" s="1"/>
  <c r="AF45" i="1"/>
  <c r="AF58" i="1"/>
  <c r="AF81" i="1"/>
  <c r="AF89" i="1"/>
  <c r="AF106" i="1"/>
  <c r="AF129" i="1"/>
  <c r="AF145" i="1"/>
  <c r="AF161" i="1"/>
  <c r="AF186" i="1"/>
  <c r="AF192" i="1"/>
  <c r="AF217" i="1"/>
  <c r="AF232" i="1"/>
  <c r="AE68" i="1"/>
  <c r="AE89" i="1"/>
  <c r="AE129" i="1"/>
  <c r="AE157" i="1"/>
  <c r="AE209" i="1"/>
  <c r="AE217" i="1"/>
  <c r="AE225" i="1"/>
  <c r="AD53" i="1"/>
  <c r="AE53" i="1" s="1"/>
  <c r="AD57" i="1"/>
  <c r="AD58" i="1"/>
  <c r="AE58" i="1" s="1"/>
  <c r="AD59" i="1"/>
  <c r="AD65" i="1"/>
  <c r="AF65" i="1" s="1"/>
  <c r="AD73" i="1"/>
  <c r="AD74" i="1"/>
  <c r="AE74" i="1" s="1"/>
  <c r="AD81" i="1"/>
  <c r="AE81" i="1" s="1"/>
  <c r="AD96" i="1"/>
  <c r="AD97" i="1"/>
  <c r="AD98" i="1"/>
  <c r="AD105" i="1"/>
  <c r="AF105" i="1" s="1"/>
  <c r="AD117" i="1"/>
  <c r="AE117" i="1" s="1"/>
  <c r="AD121" i="1"/>
  <c r="AD137" i="1"/>
  <c r="AD138" i="1"/>
  <c r="AE138" i="1" s="1"/>
  <c r="AD146" i="1"/>
  <c r="AD161" i="1"/>
  <c r="AE161" i="1" s="1"/>
  <c r="AD162" i="1"/>
  <c r="AD169" i="1"/>
  <c r="AD178" i="1"/>
  <c r="AD185" i="1"/>
  <c r="AD186" i="1"/>
  <c r="AE186" i="1" s="1"/>
  <c r="AD201" i="1"/>
  <c r="AD202" i="1"/>
  <c r="AE202" i="1" s="1"/>
  <c r="AD205" i="1"/>
  <c r="AD221" i="1"/>
  <c r="AF221" i="1" s="1"/>
  <c r="AD225" i="1"/>
  <c r="AF225" i="1" s="1"/>
  <c r="AD234" i="1"/>
  <c r="AE234" i="1" s="1"/>
  <c r="AC45" i="1"/>
  <c r="AD45" i="1" s="1"/>
  <c r="AE45" i="1" s="1"/>
  <c r="AC46" i="1"/>
  <c r="AD46" i="1" s="1"/>
  <c r="AF46" i="1" s="1"/>
  <c r="AC47" i="1"/>
  <c r="AD47" i="1" s="1"/>
  <c r="AF47" i="1" s="1"/>
  <c r="AC48" i="1"/>
  <c r="AD48" i="1" s="1"/>
  <c r="AC49" i="1"/>
  <c r="AD49" i="1" s="1"/>
  <c r="AC50" i="1"/>
  <c r="AD50" i="1" s="1"/>
  <c r="AC51" i="1"/>
  <c r="AD51" i="1" s="1"/>
  <c r="AC52" i="1"/>
  <c r="AD52" i="1" s="1"/>
  <c r="AF52" i="1" s="1"/>
  <c r="AC53" i="1"/>
  <c r="AC54" i="1"/>
  <c r="AD54" i="1" s="1"/>
  <c r="AF54" i="1" s="1"/>
  <c r="AC55" i="1"/>
  <c r="AD55" i="1" s="1"/>
  <c r="AC56" i="1"/>
  <c r="AD56" i="1" s="1"/>
  <c r="AC57" i="1"/>
  <c r="AC58" i="1"/>
  <c r="AC59" i="1"/>
  <c r="AC60" i="1"/>
  <c r="AD60" i="1" s="1"/>
  <c r="AF60" i="1" s="1"/>
  <c r="AC61" i="1"/>
  <c r="AD61" i="1" s="1"/>
  <c r="AE61" i="1" s="1"/>
  <c r="AC62" i="1"/>
  <c r="AD62" i="1" s="1"/>
  <c r="AC63" i="1"/>
  <c r="AD63" i="1" s="1"/>
  <c r="AC64" i="1"/>
  <c r="AD64" i="1" s="1"/>
  <c r="AC65" i="1"/>
  <c r="AC66" i="1"/>
  <c r="AD66" i="1" s="1"/>
  <c r="AC67" i="1"/>
  <c r="AD67" i="1" s="1"/>
  <c r="AC68" i="1"/>
  <c r="AD68" i="1" s="1"/>
  <c r="AF68" i="1" s="1"/>
  <c r="AC69" i="1"/>
  <c r="AD69" i="1" s="1"/>
  <c r="AF69" i="1" s="1"/>
  <c r="AC70" i="1"/>
  <c r="AD70" i="1" s="1"/>
  <c r="AC71" i="1"/>
  <c r="AD71" i="1" s="1"/>
  <c r="AF71" i="1" s="1"/>
  <c r="AC72" i="1"/>
  <c r="AD72" i="1" s="1"/>
  <c r="AC73" i="1"/>
  <c r="AC74" i="1"/>
  <c r="AC75" i="1"/>
  <c r="AD75" i="1" s="1"/>
  <c r="AE75" i="1" s="1"/>
  <c r="AC76" i="1"/>
  <c r="AD76" i="1" s="1"/>
  <c r="AC77" i="1"/>
  <c r="AD77" i="1" s="1"/>
  <c r="AC78" i="1"/>
  <c r="AD78" i="1" s="1"/>
  <c r="AF78" i="1" s="1"/>
  <c r="AC79" i="1"/>
  <c r="AD79" i="1" s="1"/>
  <c r="AC80" i="1"/>
  <c r="AD80" i="1" s="1"/>
  <c r="AC81" i="1"/>
  <c r="AC82" i="1"/>
  <c r="AD82" i="1" s="1"/>
  <c r="AC83" i="1"/>
  <c r="AD83" i="1" s="1"/>
  <c r="AE83" i="1" s="1"/>
  <c r="AC84" i="1"/>
  <c r="AD84" i="1" s="1"/>
  <c r="AC85" i="1"/>
  <c r="AD85" i="1" s="1"/>
  <c r="AF85" i="1" s="1"/>
  <c r="AC86" i="1"/>
  <c r="AD86" i="1" s="1"/>
  <c r="AC87" i="1"/>
  <c r="AD87" i="1" s="1"/>
  <c r="AF87" i="1" s="1"/>
  <c r="AC88" i="1"/>
  <c r="AD88" i="1" s="1"/>
  <c r="AC89" i="1"/>
  <c r="AD89" i="1" s="1"/>
  <c r="AC90" i="1"/>
  <c r="AD90" i="1" s="1"/>
  <c r="AE90" i="1" s="1"/>
  <c r="AC91" i="1"/>
  <c r="AD91" i="1" s="1"/>
  <c r="AE91" i="1" s="1"/>
  <c r="AC92" i="1"/>
  <c r="AD92" i="1" s="1"/>
  <c r="AF92" i="1" s="1"/>
  <c r="AC93" i="1"/>
  <c r="AD93" i="1" s="1"/>
  <c r="AC94" i="1"/>
  <c r="AD94" i="1" s="1"/>
  <c r="AF94" i="1" s="1"/>
  <c r="AC95" i="1"/>
  <c r="AD95" i="1" s="1"/>
  <c r="AF95" i="1" s="1"/>
  <c r="AC96" i="1"/>
  <c r="AC97" i="1"/>
  <c r="AC98" i="1"/>
  <c r="AC99" i="1"/>
  <c r="AD99" i="1" s="1"/>
  <c r="AC100" i="1"/>
  <c r="AD100" i="1" s="1"/>
  <c r="AC101" i="1"/>
  <c r="AD101" i="1" s="1"/>
  <c r="AC102" i="1"/>
  <c r="AD102" i="1" s="1"/>
  <c r="AF102" i="1" s="1"/>
  <c r="AC103" i="1"/>
  <c r="AD103" i="1" s="1"/>
  <c r="AC104" i="1"/>
  <c r="AD104" i="1" s="1"/>
  <c r="AC105" i="1"/>
  <c r="AC106" i="1"/>
  <c r="AD106" i="1" s="1"/>
  <c r="AE106" i="1" s="1"/>
  <c r="AC107" i="1"/>
  <c r="AD107" i="1" s="1"/>
  <c r="AC108" i="1"/>
  <c r="AD108" i="1" s="1"/>
  <c r="AC109" i="1"/>
  <c r="AD109" i="1" s="1"/>
  <c r="AC110" i="1"/>
  <c r="AD110" i="1" s="1"/>
  <c r="AF110" i="1" s="1"/>
  <c r="AC111" i="1"/>
  <c r="AD111" i="1" s="1"/>
  <c r="AF111" i="1" s="1"/>
  <c r="AC112" i="1"/>
  <c r="AD112" i="1" s="1"/>
  <c r="AC113" i="1"/>
  <c r="AD113" i="1" s="1"/>
  <c r="AC114" i="1"/>
  <c r="AD114" i="1" s="1"/>
  <c r="AC115" i="1"/>
  <c r="AD115" i="1" s="1"/>
  <c r="AC116" i="1"/>
  <c r="AD116" i="1" s="1"/>
  <c r="AF116" i="1" s="1"/>
  <c r="AC117" i="1"/>
  <c r="AC118" i="1"/>
  <c r="AD118" i="1" s="1"/>
  <c r="AF118" i="1" s="1"/>
  <c r="AC119" i="1"/>
  <c r="AD119" i="1" s="1"/>
  <c r="AC120" i="1"/>
  <c r="AD120" i="1" s="1"/>
  <c r="AC121" i="1"/>
  <c r="AC122" i="1"/>
  <c r="AD122" i="1" s="1"/>
  <c r="AE122" i="1" s="1"/>
  <c r="AC123" i="1"/>
  <c r="AD123" i="1" s="1"/>
  <c r="AC124" i="1"/>
  <c r="AD124" i="1" s="1"/>
  <c r="AF124" i="1" s="1"/>
  <c r="AC125" i="1"/>
  <c r="AD125" i="1" s="1"/>
  <c r="AE125" i="1" s="1"/>
  <c r="AC126" i="1"/>
  <c r="AD126" i="1" s="1"/>
  <c r="AC127" i="1"/>
  <c r="AD127" i="1" s="1"/>
  <c r="AC128" i="1"/>
  <c r="AD128" i="1" s="1"/>
  <c r="AC129" i="1"/>
  <c r="AD129" i="1" s="1"/>
  <c r="AC130" i="1"/>
  <c r="AD130" i="1" s="1"/>
  <c r="AE130" i="1" s="1"/>
  <c r="AC131" i="1"/>
  <c r="AD131" i="1" s="1"/>
  <c r="AC132" i="1"/>
  <c r="AD132" i="1" s="1"/>
  <c r="AF132" i="1" s="1"/>
  <c r="AC133" i="1"/>
  <c r="AD133" i="1" s="1"/>
  <c r="AF133" i="1" s="1"/>
  <c r="AC134" i="1"/>
  <c r="AD134" i="1" s="1"/>
  <c r="AC135" i="1"/>
  <c r="AD135" i="1" s="1"/>
  <c r="AC136" i="1"/>
  <c r="AD136" i="1" s="1"/>
  <c r="AC137" i="1"/>
  <c r="AC138" i="1"/>
  <c r="AC139" i="1"/>
  <c r="AD139" i="1" s="1"/>
  <c r="AE139" i="1" s="1"/>
  <c r="AC140" i="1"/>
  <c r="AD140" i="1" s="1"/>
  <c r="AC141" i="1"/>
  <c r="AD141" i="1" s="1"/>
  <c r="AC142" i="1"/>
  <c r="AD142" i="1" s="1"/>
  <c r="AF142" i="1" s="1"/>
  <c r="AC143" i="1"/>
  <c r="AD143" i="1" s="1"/>
  <c r="AF143" i="1" s="1"/>
  <c r="AC144" i="1"/>
  <c r="AD144" i="1" s="1"/>
  <c r="AC145" i="1"/>
  <c r="AD145" i="1" s="1"/>
  <c r="AE145" i="1" s="1"/>
  <c r="AC146" i="1"/>
  <c r="AC147" i="1"/>
  <c r="AD147" i="1" s="1"/>
  <c r="AE147" i="1" s="1"/>
  <c r="AC148" i="1"/>
  <c r="AD148" i="1" s="1"/>
  <c r="AC149" i="1"/>
  <c r="AD149" i="1" s="1"/>
  <c r="AC150" i="1"/>
  <c r="AD150" i="1" s="1"/>
  <c r="AC151" i="1"/>
  <c r="AD151" i="1" s="1"/>
  <c r="AF151" i="1" s="1"/>
  <c r="AC152" i="1"/>
  <c r="AD152" i="1" s="1"/>
  <c r="AC153" i="1"/>
  <c r="AD153" i="1" s="1"/>
  <c r="AF153" i="1" s="1"/>
  <c r="AC154" i="1"/>
  <c r="AD154" i="1" s="1"/>
  <c r="AE154" i="1" s="1"/>
  <c r="AC155" i="1"/>
  <c r="AD155" i="1" s="1"/>
  <c r="AE155" i="1" s="1"/>
  <c r="AC156" i="1"/>
  <c r="AD156" i="1" s="1"/>
  <c r="AF156" i="1" s="1"/>
  <c r="AC157" i="1"/>
  <c r="AD157" i="1" s="1"/>
  <c r="AF157" i="1" s="1"/>
  <c r="AC158" i="1"/>
  <c r="AD158" i="1" s="1"/>
  <c r="AF158" i="1" s="1"/>
  <c r="AC159" i="1"/>
  <c r="AD159" i="1" s="1"/>
  <c r="AF159" i="1" s="1"/>
  <c r="AC160" i="1"/>
  <c r="AD160" i="1" s="1"/>
  <c r="AC161" i="1"/>
  <c r="AC162" i="1"/>
  <c r="AC163" i="1"/>
  <c r="AD163" i="1" s="1"/>
  <c r="AC164" i="1"/>
  <c r="AD164" i="1" s="1"/>
  <c r="AC165" i="1"/>
  <c r="AD165" i="1" s="1"/>
  <c r="AC166" i="1"/>
  <c r="AD166" i="1" s="1"/>
  <c r="AF166" i="1" s="1"/>
  <c r="AC167" i="1"/>
  <c r="AD167" i="1" s="1"/>
  <c r="AF167" i="1" s="1"/>
  <c r="AC168" i="1"/>
  <c r="AD168" i="1" s="1"/>
  <c r="AC169" i="1"/>
  <c r="AC170" i="1"/>
  <c r="AD170" i="1" s="1"/>
  <c r="AE170" i="1" s="1"/>
  <c r="AC171" i="1"/>
  <c r="AD171" i="1" s="1"/>
  <c r="AC172" i="1"/>
  <c r="AD172" i="1" s="1"/>
  <c r="AF172" i="1" s="1"/>
  <c r="AC173" i="1"/>
  <c r="AD173" i="1" s="1"/>
  <c r="AC174" i="1"/>
  <c r="AD174" i="1" s="1"/>
  <c r="AF174" i="1" s="1"/>
  <c r="AC175" i="1"/>
  <c r="AD175" i="1" s="1"/>
  <c r="AF175" i="1" s="1"/>
  <c r="AC176" i="1"/>
  <c r="AD176" i="1" s="1"/>
  <c r="AC177" i="1"/>
  <c r="AD177" i="1" s="1"/>
  <c r="AC178" i="1"/>
  <c r="AC179" i="1"/>
  <c r="AD179" i="1" s="1"/>
  <c r="AC180" i="1"/>
  <c r="AD180" i="1" s="1"/>
  <c r="AF180" i="1" s="1"/>
  <c r="AC181" i="1"/>
  <c r="AD181" i="1" s="1"/>
  <c r="AE181" i="1" s="1"/>
  <c r="AC182" i="1"/>
  <c r="AD182" i="1" s="1"/>
  <c r="AF182" i="1" s="1"/>
  <c r="AC183" i="1"/>
  <c r="AD183" i="1" s="1"/>
  <c r="AC184" i="1"/>
  <c r="AD184" i="1" s="1"/>
  <c r="AC185" i="1"/>
  <c r="AC186" i="1"/>
  <c r="AC187" i="1"/>
  <c r="AD187" i="1" s="1"/>
  <c r="AC188" i="1"/>
  <c r="AD188" i="1" s="1"/>
  <c r="AF188" i="1" s="1"/>
  <c r="AC189" i="1"/>
  <c r="AD189" i="1" s="1"/>
  <c r="AE189" i="1" s="1"/>
  <c r="AC190" i="1"/>
  <c r="AD190" i="1" s="1"/>
  <c r="AC191" i="1"/>
  <c r="AD191" i="1" s="1"/>
  <c r="AC192" i="1"/>
  <c r="AD192" i="1" s="1"/>
  <c r="AE192" i="1" s="1"/>
  <c r="AC193" i="1"/>
  <c r="AD193" i="1" s="1"/>
  <c r="AF193" i="1" s="1"/>
  <c r="AC194" i="1"/>
  <c r="AD194" i="1" s="1"/>
  <c r="AE194" i="1" s="1"/>
  <c r="AC195" i="1"/>
  <c r="AD195" i="1" s="1"/>
  <c r="AC196" i="1"/>
  <c r="AD196" i="1" s="1"/>
  <c r="AF196" i="1" s="1"/>
  <c r="AC197" i="1"/>
  <c r="AD197" i="1" s="1"/>
  <c r="AF197" i="1" s="1"/>
  <c r="AC198" i="1"/>
  <c r="AD198" i="1" s="1"/>
  <c r="AC199" i="1"/>
  <c r="AD199" i="1" s="1"/>
  <c r="AC200" i="1"/>
  <c r="AD200" i="1" s="1"/>
  <c r="AC201" i="1"/>
  <c r="AC202" i="1"/>
  <c r="AC203" i="1"/>
  <c r="AD203" i="1" s="1"/>
  <c r="AE203" i="1" s="1"/>
  <c r="AC204" i="1"/>
  <c r="AD204" i="1" s="1"/>
  <c r="AC205" i="1"/>
  <c r="AC206" i="1"/>
  <c r="AD206" i="1" s="1"/>
  <c r="AF206" i="1" s="1"/>
  <c r="AC207" i="1"/>
  <c r="AD207" i="1" s="1"/>
  <c r="AC208" i="1"/>
  <c r="AD208" i="1" s="1"/>
  <c r="AC209" i="1"/>
  <c r="AD209" i="1" s="1"/>
  <c r="AF209" i="1" s="1"/>
  <c r="AC210" i="1"/>
  <c r="AD210" i="1" s="1"/>
  <c r="AC211" i="1"/>
  <c r="AD211" i="1" s="1"/>
  <c r="AE211" i="1" s="1"/>
  <c r="AC212" i="1"/>
  <c r="AD212" i="1" s="1"/>
  <c r="AC213" i="1"/>
  <c r="AD213" i="1" s="1"/>
  <c r="AF213" i="1" s="1"/>
  <c r="AC214" i="1"/>
  <c r="AD214" i="1" s="1"/>
  <c r="AC215" i="1"/>
  <c r="AD215" i="1" s="1"/>
  <c r="AF215" i="1" s="1"/>
  <c r="AC216" i="1"/>
  <c r="AD216" i="1" s="1"/>
  <c r="AC217" i="1"/>
  <c r="AD217" i="1" s="1"/>
  <c r="AC218" i="1"/>
  <c r="AD218" i="1" s="1"/>
  <c r="AE218" i="1" s="1"/>
  <c r="AC219" i="1"/>
  <c r="AD219" i="1" s="1"/>
  <c r="AC220" i="1"/>
  <c r="AD220" i="1" s="1"/>
  <c r="AF220" i="1" s="1"/>
  <c r="AC221" i="1"/>
  <c r="AC222" i="1"/>
  <c r="AD222" i="1" s="1"/>
  <c r="AF222" i="1" s="1"/>
  <c r="AC223" i="1"/>
  <c r="AD223" i="1" s="1"/>
  <c r="AF223" i="1" s="1"/>
  <c r="AC224" i="1"/>
  <c r="AD224" i="1" s="1"/>
  <c r="AC225" i="1"/>
  <c r="AC226" i="1"/>
  <c r="AD226" i="1" s="1"/>
  <c r="AC227" i="1"/>
  <c r="AD227" i="1" s="1"/>
  <c r="AC228" i="1"/>
  <c r="AD228" i="1" s="1"/>
  <c r="AC229" i="1"/>
  <c r="AD229" i="1" s="1"/>
  <c r="AC230" i="1"/>
  <c r="AD230" i="1" s="1"/>
  <c r="AF230" i="1" s="1"/>
  <c r="AC231" i="1"/>
  <c r="AD231" i="1" s="1"/>
  <c r="AC232" i="1"/>
  <c r="AD232" i="1" s="1"/>
  <c r="AE232" i="1" s="1"/>
  <c r="AC233" i="1"/>
  <c r="AD233" i="1" s="1"/>
  <c r="AF233" i="1" s="1"/>
  <c r="AC234" i="1"/>
  <c r="AC235" i="1"/>
  <c r="AD235" i="1" s="1"/>
  <c r="AC236" i="1"/>
  <c r="AD236" i="1" s="1"/>
  <c r="AF236" i="1" s="1"/>
  <c r="AC237" i="1"/>
  <c r="AD237" i="1" s="1"/>
  <c r="AC238" i="1"/>
  <c r="AD238" i="1" s="1"/>
  <c r="AF238" i="1" s="1"/>
  <c r="AC239" i="1"/>
  <c r="AD239" i="1" s="1"/>
  <c r="AF239" i="1" s="1"/>
  <c r="AC240" i="1"/>
  <c r="AD240" i="1" s="1"/>
  <c r="AC241" i="1"/>
  <c r="AD241" i="1" s="1"/>
  <c r="AC242" i="1"/>
  <c r="AD242" i="1" s="1"/>
  <c r="AE242" i="1" s="1"/>
  <c r="AC243" i="1"/>
  <c r="AD243" i="1" s="1"/>
  <c r="AC244" i="1"/>
  <c r="AD244" i="1" s="1"/>
  <c r="AF244" i="1" s="1"/>
  <c r="AC245" i="1"/>
  <c r="AD245" i="1" s="1"/>
  <c r="AC246" i="1"/>
  <c r="AD246" i="1" s="1"/>
  <c r="AA48" i="1"/>
  <c r="AA98" i="1"/>
  <c r="AA105" i="1"/>
  <c r="AA107" i="1"/>
  <c r="AA178" i="1"/>
  <c r="AA189" i="1"/>
  <c r="Z43" i="1"/>
  <c r="Z45" i="1"/>
  <c r="Z59" i="1"/>
  <c r="Z117" i="1"/>
  <c r="Z171" i="1"/>
  <c r="Z235" i="1"/>
  <c r="Z237" i="1"/>
  <c r="Y47" i="1"/>
  <c r="Y55" i="1"/>
  <c r="Y56" i="1"/>
  <c r="Y58" i="1"/>
  <c r="Y63" i="1"/>
  <c r="Y64" i="1"/>
  <c r="AA64" i="1" s="1"/>
  <c r="Y71" i="1"/>
  <c r="Y73" i="1"/>
  <c r="Y74" i="1"/>
  <c r="Y79" i="1"/>
  <c r="Y82" i="1"/>
  <c r="Y87" i="1"/>
  <c r="Y90" i="1"/>
  <c r="Z90" i="1" s="1"/>
  <c r="Y95" i="1"/>
  <c r="Y96" i="1"/>
  <c r="Y103" i="1"/>
  <c r="Y111" i="1"/>
  <c r="Y113" i="1"/>
  <c r="Y119" i="1"/>
  <c r="Y127" i="1"/>
  <c r="Y129" i="1"/>
  <c r="Z129" i="1" s="1"/>
  <c r="Y135" i="1"/>
  <c r="Y136" i="1"/>
  <c r="Z136" i="1" s="1"/>
  <c r="Y138" i="1"/>
  <c r="Z138" i="1" s="1"/>
  <c r="Y143" i="1"/>
  <c r="Y151" i="1"/>
  <c r="Y154" i="1"/>
  <c r="Z154" i="1" s="1"/>
  <c r="Y159" i="1"/>
  <c r="Y160" i="1"/>
  <c r="Y169" i="1"/>
  <c r="Z169" i="1" s="1"/>
  <c r="Y170" i="1"/>
  <c r="Y175" i="1"/>
  <c r="Y178" i="1"/>
  <c r="Z178" i="1" s="1"/>
  <c r="Y183" i="1"/>
  <c r="Y191" i="1"/>
  <c r="Y192" i="1"/>
  <c r="AA192" i="1" s="1"/>
  <c r="Y193" i="1"/>
  <c r="Z193" i="1" s="1"/>
  <c r="Y199" i="1"/>
  <c r="Y207" i="1"/>
  <c r="Y208" i="1"/>
  <c r="Y210" i="1"/>
  <c r="Y215" i="1"/>
  <c r="Y218" i="1"/>
  <c r="Z218" i="1" s="1"/>
  <c r="Y223" i="1"/>
  <c r="Y231" i="1"/>
  <c r="Z231" i="1" s="1"/>
  <c r="Y232" i="1"/>
  <c r="AA232" i="1" s="1"/>
  <c r="Y239" i="1"/>
  <c r="X43" i="1"/>
  <c r="Y43" i="1" s="1"/>
  <c r="AA43" i="1" s="1"/>
  <c r="X44" i="1"/>
  <c r="Y44" i="1" s="1"/>
  <c r="X45" i="1"/>
  <c r="Y45" i="1" s="1"/>
  <c r="AA45" i="1" s="1"/>
  <c r="X46" i="1"/>
  <c r="Y46" i="1" s="1"/>
  <c r="X47" i="1"/>
  <c r="X48" i="1"/>
  <c r="Y48" i="1" s="1"/>
  <c r="Z48" i="1" s="1"/>
  <c r="X49" i="1"/>
  <c r="Y49" i="1" s="1"/>
  <c r="Z49" i="1" s="1"/>
  <c r="X50" i="1"/>
  <c r="Y50" i="1" s="1"/>
  <c r="Z50" i="1" s="1"/>
  <c r="X51" i="1"/>
  <c r="Y51" i="1" s="1"/>
  <c r="AA51" i="1" s="1"/>
  <c r="X52" i="1"/>
  <c r="Y52" i="1" s="1"/>
  <c r="X53" i="1"/>
  <c r="Y53" i="1" s="1"/>
  <c r="X54" i="1"/>
  <c r="Y54" i="1" s="1"/>
  <c r="AA54" i="1" s="1"/>
  <c r="X55" i="1"/>
  <c r="X56" i="1"/>
  <c r="X57" i="1"/>
  <c r="Y57" i="1" s="1"/>
  <c r="X58" i="1"/>
  <c r="X59" i="1"/>
  <c r="Y59" i="1" s="1"/>
  <c r="AA59" i="1" s="1"/>
  <c r="X60" i="1"/>
  <c r="Y60" i="1" s="1"/>
  <c r="Z60" i="1" s="1"/>
  <c r="X61" i="1"/>
  <c r="Y61" i="1" s="1"/>
  <c r="Z61" i="1" s="1"/>
  <c r="X62" i="1"/>
  <c r="Y62" i="1" s="1"/>
  <c r="X63" i="1"/>
  <c r="X64" i="1"/>
  <c r="X65" i="1"/>
  <c r="Y65" i="1" s="1"/>
  <c r="Z65" i="1" s="1"/>
  <c r="X66" i="1"/>
  <c r="Y66" i="1" s="1"/>
  <c r="X67" i="1"/>
  <c r="Y67" i="1" s="1"/>
  <c r="AA67" i="1" s="1"/>
  <c r="X68" i="1"/>
  <c r="Y68" i="1" s="1"/>
  <c r="X69" i="1"/>
  <c r="Y69" i="1" s="1"/>
  <c r="X70" i="1"/>
  <c r="Y70" i="1" s="1"/>
  <c r="X71" i="1"/>
  <c r="X72" i="1"/>
  <c r="Y72" i="1" s="1"/>
  <c r="X73" i="1"/>
  <c r="X74" i="1"/>
  <c r="X75" i="1"/>
  <c r="Y75" i="1" s="1"/>
  <c r="AA75" i="1" s="1"/>
  <c r="X76" i="1"/>
  <c r="Y76" i="1" s="1"/>
  <c r="X77" i="1"/>
  <c r="Y77" i="1" s="1"/>
  <c r="AA77" i="1" s="1"/>
  <c r="X78" i="1"/>
  <c r="Y78" i="1" s="1"/>
  <c r="Z78" i="1" s="1"/>
  <c r="X79" i="1"/>
  <c r="X80" i="1"/>
  <c r="Y80" i="1" s="1"/>
  <c r="X81" i="1"/>
  <c r="Y81" i="1" s="1"/>
  <c r="X82" i="1"/>
  <c r="X83" i="1"/>
  <c r="Y83" i="1" s="1"/>
  <c r="AA83" i="1" s="1"/>
  <c r="X84" i="1"/>
  <c r="Y84" i="1" s="1"/>
  <c r="AA84" i="1" s="1"/>
  <c r="X85" i="1"/>
  <c r="Y85" i="1" s="1"/>
  <c r="AA85" i="1" s="1"/>
  <c r="X86" i="1"/>
  <c r="Y86" i="1" s="1"/>
  <c r="X87" i="1"/>
  <c r="X88" i="1"/>
  <c r="Y88" i="1" s="1"/>
  <c r="X89" i="1"/>
  <c r="Y89" i="1" s="1"/>
  <c r="X90" i="1"/>
  <c r="X91" i="1"/>
  <c r="Y91" i="1" s="1"/>
  <c r="AA91" i="1" s="1"/>
  <c r="X92" i="1"/>
  <c r="Y92" i="1" s="1"/>
  <c r="Z92" i="1" s="1"/>
  <c r="X93" i="1"/>
  <c r="Y93" i="1" s="1"/>
  <c r="X94" i="1"/>
  <c r="Y94" i="1" s="1"/>
  <c r="X95" i="1"/>
  <c r="X96" i="1"/>
  <c r="X97" i="1"/>
  <c r="Y97" i="1" s="1"/>
  <c r="X98" i="1"/>
  <c r="Y98" i="1" s="1"/>
  <c r="Z98" i="1" s="1"/>
  <c r="X99" i="1"/>
  <c r="Y99" i="1" s="1"/>
  <c r="X100" i="1"/>
  <c r="Y100" i="1" s="1"/>
  <c r="X101" i="1"/>
  <c r="Y101" i="1" s="1"/>
  <c r="Z101" i="1" s="1"/>
  <c r="X102" i="1"/>
  <c r="Y102" i="1" s="1"/>
  <c r="X103" i="1"/>
  <c r="X104" i="1"/>
  <c r="Y104" i="1" s="1"/>
  <c r="AA104" i="1" s="1"/>
  <c r="X105" i="1"/>
  <c r="Y105" i="1" s="1"/>
  <c r="Z105" i="1" s="1"/>
  <c r="X106" i="1"/>
  <c r="Y106" i="1" s="1"/>
  <c r="X107" i="1"/>
  <c r="Y107" i="1" s="1"/>
  <c r="Z107" i="1" s="1"/>
  <c r="X108" i="1"/>
  <c r="Y108" i="1" s="1"/>
  <c r="X109" i="1"/>
  <c r="Y109" i="1" s="1"/>
  <c r="AA109" i="1" s="1"/>
  <c r="X110" i="1"/>
  <c r="Y110" i="1" s="1"/>
  <c r="X111" i="1"/>
  <c r="X112" i="1"/>
  <c r="Y112" i="1" s="1"/>
  <c r="X113" i="1"/>
  <c r="X114" i="1"/>
  <c r="Y114" i="1" s="1"/>
  <c r="Z114" i="1" s="1"/>
  <c r="X115" i="1"/>
  <c r="Y115" i="1" s="1"/>
  <c r="X116" i="1"/>
  <c r="Y116" i="1" s="1"/>
  <c r="X117" i="1"/>
  <c r="Y117" i="1" s="1"/>
  <c r="AA117" i="1" s="1"/>
  <c r="X118" i="1"/>
  <c r="Y118" i="1" s="1"/>
  <c r="X119" i="1"/>
  <c r="X120" i="1"/>
  <c r="Y120" i="1" s="1"/>
  <c r="X121" i="1"/>
  <c r="Y121" i="1" s="1"/>
  <c r="X122" i="1"/>
  <c r="Y122" i="1" s="1"/>
  <c r="X123" i="1"/>
  <c r="Y123" i="1" s="1"/>
  <c r="AA123" i="1" s="1"/>
  <c r="X124" i="1"/>
  <c r="Y124" i="1" s="1"/>
  <c r="X125" i="1"/>
  <c r="Y125" i="1" s="1"/>
  <c r="AA125" i="1" s="1"/>
  <c r="X126" i="1"/>
  <c r="Y126" i="1" s="1"/>
  <c r="X127" i="1"/>
  <c r="X128" i="1"/>
  <c r="Y128" i="1" s="1"/>
  <c r="AA128" i="1" s="1"/>
  <c r="X129" i="1"/>
  <c r="X130" i="1"/>
  <c r="Y130" i="1" s="1"/>
  <c r="X131" i="1"/>
  <c r="Y131" i="1" s="1"/>
  <c r="X132" i="1"/>
  <c r="Y132" i="1" s="1"/>
  <c r="X133" i="1"/>
  <c r="Y133" i="1" s="1"/>
  <c r="Z133" i="1" s="1"/>
  <c r="X134" i="1"/>
  <c r="Y134" i="1" s="1"/>
  <c r="AA134" i="1" s="1"/>
  <c r="X135" i="1"/>
  <c r="X136" i="1"/>
  <c r="X137" i="1"/>
  <c r="Y137" i="1" s="1"/>
  <c r="X138" i="1"/>
  <c r="X139" i="1"/>
  <c r="Y139" i="1" s="1"/>
  <c r="X140" i="1"/>
  <c r="Y140" i="1" s="1"/>
  <c r="X141" i="1"/>
  <c r="Y141" i="1" s="1"/>
  <c r="AA141" i="1" s="1"/>
  <c r="X142" i="1"/>
  <c r="Y142" i="1" s="1"/>
  <c r="X143" i="1"/>
  <c r="X144" i="1"/>
  <c r="Y144" i="1" s="1"/>
  <c r="X145" i="1"/>
  <c r="Y145" i="1" s="1"/>
  <c r="X146" i="1"/>
  <c r="Y146" i="1" s="1"/>
  <c r="X147" i="1"/>
  <c r="Y147" i="1" s="1"/>
  <c r="Z147" i="1" s="1"/>
  <c r="X148" i="1"/>
  <c r="Y148" i="1" s="1"/>
  <c r="X149" i="1"/>
  <c r="Y149" i="1" s="1"/>
  <c r="AA149" i="1" s="1"/>
  <c r="X150" i="1"/>
  <c r="Y150" i="1" s="1"/>
  <c r="X151" i="1"/>
  <c r="X152" i="1"/>
  <c r="Y152" i="1" s="1"/>
  <c r="Z152" i="1" s="1"/>
  <c r="X153" i="1"/>
  <c r="Y153" i="1" s="1"/>
  <c r="Z153" i="1" s="1"/>
  <c r="X154" i="1"/>
  <c r="X155" i="1"/>
  <c r="Y155" i="1" s="1"/>
  <c r="X156" i="1"/>
  <c r="Y156" i="1" s="1"/>
  <c r="X157" i="1"/>
  <c r="Y157" i="1" s="1"/>
  <c r="X158" i="1"/>
  <c r="Y158" i="1" s="1"/>
  <c r="X159" i="1"/>
  <c r="X160" i="1"/>
  <c r="X161" i="1"/>
  <c r="Y161" i="1" s="1"/>
  <c r="X162" i="1"/>
  <c r="Y162" i="1" s="1"/>
  <c r="X163" i="1"/>
  <c r="Y163" i="1" s="1"/>
  <c r="X164" i="1"/>
  <c r="Y164" i="1" s="1"/>
  <c r="X165" i="1"/>
  <c r="Y165" i="1" s="1"/>
  <c r="Z165" i="1" s="1"/>
  <c r="X166" i="1"/>
  <c r="Y166" i="1" s="1"/>
  <c r="X167" i="1"/>
  <c r="Y167" i="1" s="1"/>
  <c r="X168" i="1"/>
  <c r="Y168" i="1" s="1"/>
  <c r="AA168" i="1" s="1"/>
  <c r="X169" i="1"/>
  <c r="X170" i="1"/>
  <c r="X171" i="1"/>
  <c r="Y171" i="1" s="1"/>
  <c r="AA171" i="1" s="1"/>
  <c r="X172" i="1"/>
  <c r="Y172" i="1" s="1"/>
  <c r="X173" i="1"/>
  <c r="Y173" i="1" s="1"/>
  <c r="AA173" i="1" s="1"/>
  <c r="X174" i="1"/>
  <c r="Y174" i="1" s="1"/>
  <c r="X175" i="1"/>
  <c r="X176" i="1"/>
  <c r="Y176" i="1" s="1"/>
  <c r="X177" i="1"/>
  <c r="Y177" i="1" s="1"/>
  <c r="X178" i="1"/>
  <c r="X179" i="1"/>
  <c r="Y179" i="1" s="1"/>
  <c r="X180" i="1"/>
  <c r="Y180" i="1" s="1"/>
  <c r="Z180" i="1" s="1"/>
  <c r="X181" i="1"/>
  <c r="Y181" i="1" s="1"/>
  <c r="AA181" i="1" s="1"/>
  <c r="X182" i="1"/>
  <c r="Y182" i="1" s="1"/>
  <c r="X183" i="1"/>
  <c r="X184" i="1"/>
  <c r="Y184" i="1" s="1"/>
  <c r="X185" i="1"/>
  <c r="Y185" i="1" s="1"/>
  <c r="X186" i="1"/>
  <c r="Y186" i="1" s="1"/>
  <c r="X187" i="1"/>
  <c r="Y187" i="1" s="1"/>
  <c r="AA187" i="1" s="1"/>
  <c r="X188" i="1"/>
  <c r="Y188" i="1" s="1"/>
  <c r="X189" i="1"/>
  <c r="Y189" i="1" s="1"/>
  <c r="Z189" i="1" s="1"/>
  <c r="X190" i="1"/>
  <c r="Y190" i="1" s="1"/>
  <c r="Z190" i="1" s="1"/>
  <c r="X191" i="1"/>
  <c r="X192" i="1"/>
  <c r="X193" i="1"/>
  <c r="X194" i="1"/>
  <c r="Y194" i="1" s="1"/>
  <c r="X195" i="1"/>
  <c r="Y195" i="1" s="1"/>
  <c r="X196" i="1"/>
  <c r="Y196" i="1" s="1"/>
  <c r="X197" i="1"/>
  <c r="Y197" i="1" s="1"/>
  <c r="AA197" i="1" s="1"/>
  <c r="X198" i="1"/>
  <c r="Y198" i="1" s="1"/>
  <c r="AA198" i="1" s="1"/>
  <c r="X199" i="1"/>
  <c r="X200" i="1"/>
  <c r="Y200" i="1" s="1"/>
  <c r="X201" i="1"/>
  <c r="Y201" i="1" s="1"/>
  <c r="X202" i="1"/>
  <c r="Y202" i="1" s="1"/>
  <c r="X203" i="1"/>
  <c r="Y203" i="1" s="1"/>
  <c r="X204" i="1"/>
  <c r="Y204" i="1" s="1"/>
  <c r="X205" i="1"/>
  <c r="Y205" i="1" s="1"/>
  <c r="X206" i="1"/>
  <c r="Y206" i="1" s="1"/>
  <c r="Z206" i="1" s="1"/>
  <c r="X207" i="1"/>
  <c r="X208" i="1"/>
  <c r="X209" i="1"/>
  <c r="Y209" i="1" s="1"/>
  <c r="Z209" i="1" s="1"/>
  <c r="X210" i="1"/>
  <c r="X211" i="1"/>
  <c r="Y211" i="1" s="1"/>
  <c r="X212" i="1"/>
  <c r="Y212" i="1" s="1"/>
  <c r="X213" i="1"/>
  <c r="Y213" i="1" s="1"/>
  <c r="AA213" i="1" s="1"/>
  <c r="X214" i="1"/>
  <c r="Y214" i="1" s="1"/>
  <c r="X215" i="1"/>
  <c r="X216" i="1"/>
  <c r="Y216" i="1" s="1"/>
  <c r="X217" i="1"/>
  <c r="Y217" i="1" s="1"/>
  <c r="Z217" i="1" s="1"/>
  <c r="X218" i="1"/>
  <c r="X219" i="1"/>
  <c r="Y219" i="1" s="1"/>
  <c r="X220" i="1"/>
  <c r="Y220" i="1" s="1"/>
  <c r="Z220" i="1" s="1"/>
  <c r="X221" i="1"/>
  <c r="Y221" i="1" s="1"/>
  <c r="X222" i="1"/>
  <c r="Y222" i="1" s="1"/>
  <c r="X223" i="1"/>
  <c r="X224" i="1"/>
  <c r="Y224" i="1" s="1"/>
  <c r="AA224" i="1" s="1"/>
  <c r="X225" i="1"/>
  <c r="Y225" i="1" s="1"/>
  <c r="X226" i="1"/>
  <c r="Y226" i="1" s="1"/>
  <c r="X227" i="1"/>
  <c r="Y227" i="1" s="1"/>
  <c r="X228" i="1"/>
  <c r="Y228" i="1" s="1"/>
  <c r="X229" i="1"/>
  <c r="Y229" i="1" s="1"/>
  <c r="AA229" i="1" s="1"/>
  <c r="X230" i="1"/>
  <c r="Y230" i="1" s="1"/>
  <c r="X231" i="1"/>
  <c r="X232" i="1"/>
  <c r="X233" i="1"/>
  <c r="Y233" i="1" s="1"/>
  <c r="X234" i="1"/>
  <c r="Y234" i="1" s="1"/>
  <c r="X235" i="1"/>
  <c r="Y235" i="1" s="1"/>
  <c r="AA235" i="1" s="1"/>
  <c r="X236" i="1"/>
  <c r="Y236" i="1" s="1"/>
  <c r="Z236" i="1" s="1"/>
  <c r="X237" i="1"/>
  <c r="Y237" i="1" s="1"/>
  <c r="AA237" i="1" s="1"/>
  <c r="X238" i="1"/>
  <c r="Y238" i="1" s="1"/>
  <c r="X239" i="1"/>
  <c r="X240" i="1"/>
  <c r="Y240" i="1" s="1"/>
  <c r="X241" i="1"/>
  <c r="Y241" i="1" s="1"/>
  <c r="X242" i="1"/>
  <c r="Y242" i="1" s="1"/>
  <c r="Z242" i="1" s="1"/>
  <c r="X243" i="1"/>
  <c r="Y243" i="1" s="1"/>
  <c r="X244" i="1"/>
  <c r="Y244" i="1" s="1"/>
  <c r="X245" i="1"/>
  <c r="Y245" i="1" s="1"/>
  <c r="X246" i="1"/>
  <c r="Y246" i="1" s="1"/>
  <c r="AA246" i="1" s="1"/>
  <c r="V130" i="1"/>
  <c r="V152" i="1"/>
  <c r="V194" i="1"/>
  <c r="V207" i="1"/>
  <c r="V239" i="1"/>
  <c r="U98" i="1"/>
  <c r="U138" i="1"/>
  <c r="U170" i="1"/>
  <c r="U202" i="1"/>
  <c r="T47" i="1"/>
  <c r="T55" i="1"/>
  <c r="T58" i="1"/>
  <c r="T62" i="1"/>
  <c r="T71" i="1"/>
  <c r="T72" i="1"/>
  <c r="U72" i="1" s="1"/>
  <c r="T82" i="1"/>
  <c r="T90" i="1"/>
  <c r="V90" i="1" s="1"/>
  <c r="T96" i="1"/>
  <c r="U96" i="1" s="1"/>
  <c r="T111" i="1"/>
  <c r="T114" i="1"/>
  <c r="U114" i="1" s="1"/>
  <c r="T122" i="1"/>
  <c r="U122" i="1" s="1"/>
  <c r="T127" i="1"/>
  <c r="U127" i="1" s="1"/>
  <c r="T143" i="1"/>
  <c r="T146" i="1"/>
  <c r="V146" i="1" s="1"/>
  <c r="T151" i="1"/>
  <c r="U151" i="1" s="1"/>
  <c r="T159" i="1"/>
  <c r="T160" i="1"/>
  <c r="T178" i="1"/>
  <c r="V178" i="1" s="1"/>
  <c r="T183" i="1"/>
  <c r="T186" i="1"/>
  <c r="U186" i="1" s="1"/>
  <c r="T192" i="1"/>
  <c r="U192" i="1" s="1"/>
  <c r="T199" i="1"/>
  <c r="U199" i="1" s="1"/>
  <c r="T210" i="1"/>
  <c r="V210" i="1" s="1"/>
  <c r="T215" i="1"/>
  <c r="U215" i="1" s="1"/>
  <c r="T216" i="1"/>
  <c r="T218" i="1"/>
  <c r="T231" i="1"/>
  <c r="T242" i="1"/>
  <c r="U242" i="1" s="1"/>
  <c r="S43" i="1"/>
  <c r="T43" i="1" s="1"/>
  <c r="S44" i="1"/>
  <c r="T44" i="1" s="1"/>
  <c r="S45" i="1"/>
  <c r="T45" i="1" s="1"/>
  <c r="S46" i="1"/>
  <c r="T46" i="1" s="1"/>
  <c r="V46" i="1" s="1"/>
  <c r="S47" i="1"/>
  <c r="S48" i="1"/>
  <c r="T48" i="1" s="1"/>
  <c r="U48" i="1" s="1"/>
  <c r="S49" i="1"/>
  <c r="T49" i="1" s="1"/>
  <c r="S50" i="1"/>
  <c r="T50" i="1" s="1"/>
  <c r="S51" i="1"/>
  <c r="T51" i="1" s="1"/>
  <c r="V51" i="1" s="1"/>
  <c r="S52" i="1"/>
  <c r="T52" i="1" s="1"/>
  <c r="S53" i="1"/>
  <c r="T53" i="1" s="1"/>
  <c r="S54" i="1"/>
  <c r="T54" i="1" s="1"/>
  <c r="V54" i="1" s="1"/>
  <c r="S55" i="1"/>
  <c r="S56" i="1"/>
  <c r="T56" i="1" s="1"/>
  <c r="S57" i="1"/>
  <c r="T57" i="1" s="1"/>
  <c r="S58" i="1"/>
  <c r="S59" i="1"/>
  <c r="T59" i="1" s="1"/>
  <c r="V59" i="1" s="1"/>
  <c r="S60" i="1"/>
  <c r="T60" i="1" s="1"/>
  <c r="S61" i="1"/>
  <c r="T61" i="1" s="1"/>
  <c r="S62" i="1"/>
  <c r="S63" i="1"/>
  <c r="T63" i="1" s="1"/>
  <c r="U63" i="1" s="1"/>
  <c r="S64" i="1"/>
  <c r="T64" i="1" s="1"/>
  <c r="U64" i="1" s="1"/>
  <c r="S65" i="1"/>
  <c r="T65" i="1" s="1"/>
  <c r="S66" i="1"/>
  <c r="T66" i="1" s="1"/>
  <c r="U66" i="1" s="1"/>
  <c r="S67" i="1"/>
  <c r="T67" i="1" s="1"/>
  <c r="V67" i="1" s="1"/>
  <c r="S68" i="1"/>
  <c r="T68" i="1" s="1"/>
  <c r="V68" i="1" s="1"/>
  <c r="S69" i="1"/>
  <c r="T69" i="1" s="1"/>
  <c r="S70" i="1"/>
  <c r="T70" i="1" s="1"/>
  <c r="S71" i="1"/>
  <c r="S72" i="1"/>
  <c r="S73" i="1"/>
  <c r="T73" i="1" s="1"/>
  <c r="S74" i="1"/>
  <c r="T74" i="1" s="1"/>
  <c r="V74" i="1" s="1"/>
  <c r="S75" i="1"/>
  <c r="T75" i="1" s="1"/>
  <c r="V75" i="1" s="1"/>
  <c r="S76" i="1"/>
  <c r="T76" i="1" s="1"/>
  <c r="V76" i="1" s="1"/>
  <c r="S77" i="1"/>
  <c r="T77" i="1" s="1"/>
  <c r="U77" i="1" s="1"/>
  <c r="S78" i="1"/>
  <c r="T78" i="1" s="1"/>
  <c r="S79" i="1"/>
  <c r="T79" i="1" s="1"/>
  <c r="S80" i="1"/>
  <c r="T80" i="1" s="1"/>
  <c r="S81" i="1"/>
  <c r="T81" i="1" s="1"/>
  <c r="S82" i="1"/>
  <c r="S83" i="1"/>
  <c r="T83" i="1" s="1"/>
  <c r="S84" i="1"/>
  <c r="T84" i="1" s="1"/>
  <c r="V84" i="1" s="1"/>
  <c r="S85" i="1"/>
  <c r="T85" i="1" s="1"/>
  <c r="S86" i="1"/>
  <c r="T86" i="1" s="1"/>
  <c r="V86" i="1" s="1"/>
  <c r="S87" i="1"/>
  <c r="T87" i="1" s="1"/>
  <c r="U87" i="1" s="1"/>
  <c r="S88" i="1"/>
  <c r="T88" i="1" s="1"/>
  <c r="S89" i="1"/>
  <c r="T89" i="1" s="1"/>
  <c r="V89" i="1" s="1"/>
  <c r="S90" i="1"/>
  <c r="S91" i="1"/>
  <c r="T91" i="1" s="1"/>
  <c r="S92" i="1"/>
  <c r="T92" i="1" s="1"/>
  <c r="V92" i="1" s="1"/>
  <c r="S93" i="1"/>
  <c r="T93" i="1" s="1"/>
  <c r="S94" i="1"/>
  <c r="T94" i="1" s="1"/>
  <c r="S95" i="1"/>
  <c r="T95" i="1" s="1"/>
  <c r="S96" i="1"/>
  <c r="S97" i="1"/>
  <c r="T97" i="1" s="1"/>
  <c r="S98" i="1"/>
  <c r="T98" i="1" s="1"/>
  <c r="V98" i="1" s="1"/>
  <c r="S99" i="1"/>
  <c r="T99" i="1" s="1"/>
  <c r="V99" i="1" s="1"/>
  <c r="S100" i="1"/>
  <c r="T100" i="1" s="1"/>
  <c r="S101" i="1"/>
  <c r="T101" i="1" s="1"/>
  <c r="U101" i="1" s="1"/>
  <c r="S102" i="1"/>
  <c r="T102" i="1" s="1"/>
  <c r="V102" i="1" s="1"/>
  <c r="S103" i="1"/>
  <c r="T103" i="1" s="1"/>
  <c r="S104" i="1"/>
  <c r="T104" i="1" s="1"/>
  <c r="U104" i="1" s="1"/>
  <c r="S105" i="1"/>
  <c r="T105" i="1" s="1"/>
  <c r="S106" i="1"/>
  <c r="T106" i="1" s="1"/>
  <c r="V106" i="1" s="1"/>
  <c r="S107" i="1"/>
  <c r="T107" i="1" s="1"/>
  <c r="S108" i="1"/>
  <c r="T108" i="1" s="1"/>
  <c r="V108" i="1" s="1"/>
  <c r="S109" i="1"/>
  <c r="T109" i="1" s="1"/>
  <c r="S110" i="1"/>
  <c r="T110" i="1" s="1"/>
  <c r="V110" i="1" s="1"/>
  <c r="S111" i="1"/>
  <c r="S112" i="1"/>
  <c r="T112" i="1" s="1"/>
  <c r="S113" i="1"/>
  <c r="T113" i="1" s="1"/>
  <c r="S114" i="1"/>
  <c r="S115" i="1"/>
  <c r="T115" i="1" s="1"/>
  <c r="V115" i="1" s="1"/>
  <c r="S116" i="1"/>
  <c r="T116" i="1" s="1"/>
  <c r="S117" i="1"/>
  <c r="T117" i="1" s="1"/>
  <c r="S118" i="1"/>
  <c r="T118" i="1" s="1"/>
  <c r="U118" i="1" s="1"/>
  <c r="S119" i="1"/>
  <c r="T119" i="1" s="1"/>
  <c r="S120" i="1"/>
  <c r="T120" i="1" s="1"/>
  <c r="S121" i="1"/>
  <c r="T121" i="1" s="1"/>
  <c r="S122" i="1"/>
  <c r="S123" i="1"/>
  <c r="T123" i="1" s="1"/>
  <c r="V123" i="1" s="1"/>
  <c r="S124" i="1"/>
  <c r="T124" i="1" s="1"/>
  <c r="S125" i="1"/>
  <c r="T125" i="1" s="1"/>
  <c r="U125" i="1" s="1"/>
  <c r="S126" i="1"/>
  <c r="T126" i="1" s="1"/>
  <c r="U126" i="1" s="1"/>
  <c r="S127" i="1"/>
  <c r="S128" i="1"/>
  <c r="T128" i="1" s="1"/>
  <c r="U128" i="1" s="1"/>
  <c r="S129" i="1"/>
  <c r="T129" i="1" s="1"/>
  <c r="S130" i="1"/>
  <c r="T130" i="1" s="1"/>
  <c r="U130" i="1" s="1"/>
  <c r="S131" i="1"/>
  <c r="T131" i="1" s="1"/>
  <c r="V131" i="1" s="1"/>
  <c r="S132" i="1"/>
  <c r="T132" i="1" s="1"/>
  <c r="V132" i="1" s="1"/>
  <c r="S133" i="1"/>
  <c r="T133" i="1" s="1"/>
  <c r="S134" i="1"/>
  <c r="T134" i="1" s="1"/>
  <c r="V134" i="1" s="1"/>
  <c r="S135" i="1"/>
  <c r="T135" i="1" s="1"/>
  <c r="S136" i="1"/>
  <c r="T136" i="1" s="1"/>
  <c r="S137" i="1"/>
  <c r="T137" i="1" s="1"/>
  <c r="S138" i="1"/>
  <c r="T138" i="1" s="1"/>
  <c r="V138" i="1" s="1"/>
  <c r="S139" i="1"/>
  <c r="T139" i="1" s="1"/>
  <c r="V139" i="1" s="1"/>
  <c r="S140" i="1"/>
  <c r="T140" i="1" s="1"/>
  <c r="V140" i="1" s="1"/>
  <c r="S141" i="1"/>
  <c r="T141" i="1" s="1"/>
  <c r="U141" i="1" s="1"/>
  <c r="S142" i="1"/>
  <c r="T142" i="1" s="1"/>
  <c r="S143" i="1"/>
  <c r="S144" i="1"/>
  <c r="T144" i="1" s="1"/>
  <c r="S145" i="1"/>
  <c r="T145" i="1" s="1"/>
  <c r="S146" i="1"/>
  <c r="S147" i="1"/>
  <c r="T147" i="1" s="1"/>
  <c r="V147" i="1" s="1"/>
  <c r="S148" i="1"/>
  <c r="T148" i="1" s="1"/>
  <c r="V148" i="1" s="1"/>
  <c r="S149" i="1"/>
  <c r="T149" i="1" s="1"/>
  <c r="S150" i="1"/>
  <c r="T150" i="1" s="1"/>
  <c r="U150" i="1" s="1"/>
  <c r="S151" i="1"/>
  <c r="S152" i="1"/>
  <c r="T152" i="1" s="1"/>
  <c r="U152" i="1" s="1"/>
  <c r="S153" i="1"/>
  <c r="T153" i="1" s="1"/>
  <c r="V153" i="1" s="1"/>
  <c r="S154" i="1"/>
  <c r="T154" i="1" s="1"/>
  <c r="S155" i="1"/>
  <c r="T155" i="1" s="1"/>
  <c r="S156" i="1"/>
  <c r="T156" i="1" s="1"/>
  <c r="S157" i="1"/>
  <c r="T157" i="1" s="1"/>
  <c r="V157" i="1" s="1"/>
  <c r="S158" i="1"/>
  <c r="T158" i="1" s="1"/>
  <c r="V158" i="1" s="1"/>
  <c r="S159" i="1"/>
  <c r="S160" i="1"/>
  <c r="S161" i="1"/>
  <c r="T161" i="1" s="1"/>
  <c r="S162" i="1"/>
  <c r="T162" i="1" s="1"/>
  <c r="U162" i="1" s="1"/>
  <c r="S163" i="1"/>
  <c r="T163" i="1" s="1"/>
  <c r="V163" i="1" s="1"/>
  <c r="S164" i="1"/>
  <c r="T164" i="1" s="1"/>
  <c r="V164" i="1" s="1"/>
  <c r="S165" i="1"/>
  <c r="T165" i="1" s="1"/>
  <c r="U165" i="1" s="1"/>
  <c r="S166" i="1"/>
  <c r="T166" i="1" s="1"/>
  <c r="S167" i="1"/>
  <c r="T167" i="1" s="1"/>
  <c r="S168" i="1"/>
  <c r="T168" i="1" s="1"/>
  <c r="S169" i="1"/>
  <c r="T169" i="1" s="1"/>
  <c r="S170" i="1"/>
  <c r="T170" i="1" s="1"/>
  <c r="V170" i="1" s="1"/>
  <c r="S171" i="1"/>
  <c r="T171" i="1" s="1"/>
  <c r="V171" i="1" s="1"/>
  <c r="S172" i="1"/>
  <c r="T172" i="1" s="1"/>
  <c r="S173" i="1"/>
  <c r="T173" i="1" s="1"/>
  <c r="V173" i="1" s="1"/>
  <c r="S174" i="1"/>
  <c r="T174" i="1" s="1"/>
  <c r="S175" i="1"/>
  <c r="T175" i="1" s="1"/>
  <c r="S176" i="1"/>
  <c r="T176" i="1" s="1"/>
  <c r="U176" i="1" s="1"/>
  <c r="S177" i="1"/>
  <c r="T177" i="1" s="1"/>
  <c r="S178" i="1"/>
  <c r="S179" i="1"/>
  <c r="T179" i="1" s="1"/>
  <c r="V179" i="1" s="1"/>
  <c r="S180" i="1"/>
  <c r="T180" i="1" s="1"/>
  <c r="S181" i="1"/>
  <c r="T181" i="1" s="1"/>
  <c r="S182" i="1"/>
  <c r="T182" i="1" s="1"/>
  <c r="U182" i="1" s="1"/>
  <c r="S183" i="1"/>
  <c r="S184" i="1"/>
  <c r="T184" i="1" s="1"/>
  <c r="S185" i="1"/>
  <c r="T185" i="1" s="1"/>
  <c r="V185" i="1" s="1"/>
  <c r="S186" i="1"/>
  <c r="S187" i="1"/>
  <c r="T187" i="1" s="1"/>
  <c r="S188" i="1"/>
  <c r="T188" i="1" s="1"/>
  <c r="V188" i="1" s="1"/>
  <c r="S189" i="1"/>
  <c r="T189" i="1" s="1"/>
  <c r="V189" i="1" s="1"/>
  <c r="S190" i="1"/>
  <c r="T190" i="1" s="1"/>
  <c r="U190" i="1" s="1"/>
  <c r="S191" i="1"/>
  <c r="T191" i="1" s="1"/>
  <c r="U191" i="1" s="1"/>
  <c r="S192" i="1"/>
  <c r="S193" i="1"/>
  <c r="T193" i="1" s="1"/>
  <c r="S194" i="1"/>
  <c r="T194" i="1" s="1"/>
  <c r="U194" i="1" s="1"/>
  <c r="S195" i="1"/>
  <c r="T195" i="1" s="1"/>
  <c r="V195" i="1" s="1"/>
  <c r="S196" i="1"/>
  <c r="T196" i="1" s="1"/>
  <c r="V196" i="1" s="1"/>
  <c r="S197" i="1"/>
  <c r="T197" i="1" s="1"/>
  <c r="S198" i="1"/>
  <c r="T198" i="1" s="1"/>
  <c r="V198" i="1" s="1"/>
  <c r="S199" i="1"/>
  <c r="S200" i="1"/>
  <c r="T200" i="1" s="1"/>
  <c r="U200" i="1" s="1"/>
  <c r="S201" i="1"/>
  <c r="T201" i="1" s="1"/>
  <c r="S202" i="1"/>
  <c r="T202" i="1" s="1"/>
  <c r="V202" i="1" s="1"/>
  <c r="S203" i="1"/>
  <c r="T203" i="1" s="1"/>
  <c r="V203" i="1" s="1"/>
  <c r="S204" i="1"/>
  <c r="T204" i="1" s="1"/>
  <c r="S205" i="1"/>
  <c r="T205" i="1" s="1"/>
  <c r="U205" i="1" s="1"/>
  <c r="S206" i="1"/>
  <c r="T206" i="1" s="1"/>
  <c r="S207" i="1"/>
  <c r="T207" i="1" s="1"/>
  <c r="U207" i="1" s="1"/>
  <c r="S208" i="1"/>
  <c r="T208" i="1" s="1"/>
  <c r="S209" i="1"/>
  <c r="T209" i="1" s="1"/>
  <c r="S210" i="1"/>
  <c r="S211" i="1"/>
  <c r="T211" i="1" s="1"/>
  <c r="V211" i="1" s="1"/>
  <c r="S212" i="1"/>
  <c r="T212" i="1" s="1"/>
  <c r="V212" i="1" s="1"/>
  <c r="S213" i="1"/>
  <c r="T213" i="1" s="1"/>
  <c r="U213" i="1" s="1"/>
  <c r="S214" i="1"/>
  <c r="T214" i="1" s="1"/>
  <c r="U214" i="1" s="1"/>
  <c r="S215" i="1"/>
  <c r="S216" i="1"/>
  <c r="S217" i="1"/>
  <c r="T217" i="1" s="1"/>
  <c r="V217" i="1" s="1"/>
  <c r="S218" i="1"/>
  <c r="S219" i="1"/>
  <c r="T219" i="1" s="1"/>
  <c r="S220" i="1"/>
  <c r="T220" i="1" s="1"/>
  <c r="S221" i="1"/>
  <c r="T221" i="1" s="1"/>
  <c r="S222" i="1"/>
  <c r="T222" i="1" s="1"/>
  <c r="S223" i="1"/>
  <c r="T223" i="1" s="1"/>
  <c r="S224" i="1"/>
  <c r="T224" i="1" s="1"/>
  <c r="S225" i="1"/>
  <c r="T225" i="1" s="1"/>
  <c r="S226" i="1"/>
  <c r="T226" i="1" s="1"/>
  <c r="U226" i="1" s="1"/>
  <c r="S227" i="1"/>
  <c r="T227" i="1" s="1"/>
  <c r="V227" i="1" s="1"/>
  <c r="S228" i="1"/>
  <c r="T228" i="1" s="1"/>
  <c r="V228" i="1" s="1"/>
  <c r="S229" i="1"/>
  <c r="T229" i="1" s="1"/>
  <c r="U229" i="1" s="1"/>
  <c r="S230" i="1"/>
  <c r="T230" i="1" s="1"/>
  <c r="U230" i="1" s="1"/>
  <c r="S231" i="1"/>
  <c r="S232" i="1"/>
  <c r="T232" i="1" s="1"/>
  <c r="U232" i="1" s="1"/>
  <c r="S233" i="1"/>
  <c r="T233" i="1" s="1"/>
  <c r="S234" i="1"/>
  <c r="T234" i="1" s="1"/>
  <c r="V234" i="1" s="1"/>
  <c r="S235" i="1"/>
  <c r="T235" i="1" s="1"/>
  <c r="V235" i="1" s="1"/>
  <c r="S236" i="1"/>
  <c r="T236" i="1" s="1"/>
  <c r="V236" i="1" s="1"/>
  <c r="S237" i="1"/>
  <c r="T237" i="1" s="1"/>
  <c r="V237" i="1" s="1"/>
  <c r="S238" i="1"/>
  <c r="T238" i="1" s="1"/>
  <c r="U238" i="1" s="1"/>
  <c r="S239" i="1"/>
  <c r="T239" i="1" s="1"/>
  <c r="U239" i="1" s="1"/>
  <c r="S240" i="1"/>
  <c r="T240" i="1" s="1"/>
  <c r="U240" i="1" s="1"/>
  <c r="S241" i="1"/>
  <c r="T241" i="1" s="1"/>
  <c r="S242" i="1"/>
  <c r="S243" i="1"/>
  <c r="T243" i="1" s="1"/>
  <c r="V243" i="1" s="1"/>
  <c r="S244" i="1"/>
  <c r="T244" i="1" s="1"/>
  <c r="V244" i="1" s="1"/>
  <c r="S245" i="1"/>
  <c r="T245" i="1" s="1"/>
  <c r="V245" i="1" s="1"/>
  <c r="S246" i="1"/>
  <c r="T246" i="1" s="1"/>
  <c r="U246" i="1" s="1"/>
  <c r="Q108" i="1"/>
  <c r="Q123" i="1"/>
  <c r="Q140" i="1"/>
  <c r="Q203" i="1"/>
  <c r="Q212" i="1"/>
  <c r="Q219" i="1"/>
  <c r="P83" i="1"/>
  <c r="P107" i="1"/>
  <c r="P188" i="1"/>
  <c r="P234" i="1"/>
  <c r="P235" i="1"/>
  <c r="O51" i="1"/>
  <c r="Q51" i="1" s="1"/>
  <c r="O62" i="1"/>
  <c r="P62" i="1" s="1"/>
  <c r="O68" i="1"/>
  <c r="O91" i="1"/>
  <c r="O98" i="1"/>
  <c r="O101" i="1"/>
  <c r="P101" i="1" s="1"/>
  <c r="O106" i="1"/>
  <c r="Q106" i="1" s="1"/>
  <c r="O107" i="1"/>
  <c r="Q107" i="1" s="1"/>
  <c r="O121" i="1"/>
  <c r="Q121" i="1" s="1"/>
  <c r="O123" i="1"/>
  <c r="P123" i="1" s="1"/>
  <c r="O130" i="1"/>
  <c r="O131" i="1"/>
  <c r="Q131" i="1" s="1"/>
  <c r="O146" i="1"/>
  <c r="Q146" i="1" s="1"/>
  <c r="O148" i="1"/>
  <c r="P148" i="1" s="1"/>
  <c r="O155" i="1"/>
  <c r="P155" i="1" s="1"/>
  <c r="O162" i="1"/>
  <c r="O164" i="1"/>
  <c r="P164" i="1" s="1"/>
  <c r="O170" i="1"/>
  <c r="Q170" i="1" s="1"/>
  <c r="O171" i="1"/>
  <c r="Q171" i="1" s="1"/>
  <c r="O185" i="1"/>
  <c r="Q185" i="1" s="1"/>
  <c r="O186" i="1"/>
  <c r="O187" i="1"/>
  <c r="P187" i="1" s="1"/>
  <c r="O204" i="1"/>
  <c r="P204" i="1" s="1"/>
  <c r="O210" i="1"/>
  <c r="Q210" i="1" s="1"/>
  <c r="O212" i="1"/>
  <c r="P212" i="1" s="1"/>
  <c r="O227" i="1"/>
  <c r="Q227" i="1" s="1"/>
  <c r="O228" i="1"/>
  <c r="P228" i="1" s="1"/>
  <c r="O236" i="1"/>
  <c r="P236" i="1" s="1"/>
  <c r="N45" i="1"/>
  <c r="O45" i="1" s="1"/>
  <c r="P45" i="1" s="1"/>
  <c r="N46" i="1"/>
  <c r="O46" i="1" s="1"/>
  <c r="N47" i="1"/>
  <c r="O47" i="1" s="1"/>
  <c r="Q47" i="1" s="1"/>
  <c r="N48" i="1"/>
  <c r="O48" i="1" s="1"/>
  <c r="N49" i="1"/>
  <c r="O49" i="1" s="1"/>
  <c r="N50" i="1"/>
  <c r="O50" i="1" s="1"/>
  <c r="Q50" i="1" s="1"/>
  <c r="N51" i="1"/>
  <c r="N52" i="1"/>
  <c r="O52" i="1" s="1"/>
  <c r="P52" i="1" s="1"/>
  <c r="N53" i="1"/>
  <c r="O53" i="1" s="1"/>
  <c r="P53" i="1" s="1"/>
  <c r="N54" i="1"/>
  <c r="O54" i="1" s="1"/>
  <c r="P54" i="1" s="1"/>
  <c r="N55" i="1"/>
  <c r="O55" i="1" s="1"/>
  <c r="N56" i="1"/>
  <c r="O56" i="1" s="1"/>
  <c r="N57" i="1"/>
  <c r="O57" i="1" s="1"/>
  <c r="Q57" i="1" s="1"/>
  <c r="N58" i="1"/>
  <c r="O58" i="1" s="1"/>
  <c r="Q58" i="1" s="1"/>
  <c r="N59" i="1"/>
  <c r="O59" i="1" s="1"/>
  <c r="P59" i="1" s="1"/>
  <c r="N60" i="1"/>
  <c r="O60" i="1" s="1"/>
  <c r="N61" i="1"/>
  <c r="O61" i="1" s="1"/>
  <c r="N62" i="1"/>
  <c r="N63" i="1"/>
  <c r="O63" i="1" s="1"/>
  <c r="N64" i="1"/>
  <c r="O64" i="1" s="1"/>
  <c r="Q64" i="1" s="1"/>
  <c r="N65" i="1"/>
  <c r="O65" i="1" s="1"/>
  <c r="N66" i="1"/>
  <c r="O66" i="1" s="1"/>
  <c r="Q66" i="1" s="1"/>
  <c r="N67" i="1"/>
  <c r="O67" i="1" s="1"/>
  <c r="P67" i="1" s="1"/>
  <c r="N68" i="1"/>
  <c r="N69" i="1"/>
  <c r="O69" i="1" s="1"/>
  <c r="P69" i="1" s="1"/>
  <c r="N70" i="1"/>
  <c r="O70" i="1" s="1"/>
  <c r="N71" i="1"/>
  <c r="O71" i="1" s="1"/>
  <c r="N72" i="1"/>
  <c r="O72" i="1" s="1"/>
  <c r="Q72" i="1" s="1"/>
  <c r="N73" i="1"/>
  <c r="O73" i="1" s="1"/>
  <c r="Q73" i="1" s="1"/>
  <c r="N74" i="1"/>
  <c r="O74" i="1" s="1"/>
  <c r="N75" i="1"/>
  <c r="O75" i="1" s="1"/>
  <c r="Q75" i="1" s="1"/>
  <c r="N76" i="1"/>
  <c r="O76" i="1" s="1"/>
  <c r="P76" i="1" s="1"/>
  <c r="N77" i="1"/>
  <c r="O77" i="1" s="1"/>
  <c r="P77" i="1" s="1"/>
  <c r="N78" i="1"/>
  <c r="O78" i="1" s="1"/>
  <c r="N79" i="1"/>
  <c r="O79" i="1" s="1"/>
  <c r="N80" i="1"/>
  <c r="O80" i="1" s="1"/>
  <c r="N81" i="1"/>
  <c r="O81" i="1" s="1"/>
  <c r="N82" i="1"/>
  <c r="O82" i="1" s="1"/>
  <c r="N83" i="1"/>
  <c r="O83" i="1" s="1"/>
  <c r="Q83" i="1" s="1"/>
  <c r="N84" i="1"/>
  <c r="O84" i="1" s="1"/>
  <c r="P84" i="1" s="1"/>
  <c r="N85" i="1"/>
  <c r="O85" i="1" s="1"/>
  <c r="P85" i="1" s="1"/>
  <c r="N86" i="1"/>
  <c r="O86" i="1" s="1"/>
  <c r="P86" i="1" s="1"/>
  <c r="N87" i="1"/>
  <c r="O87" i="1" s="1"/>
  <c r="N88" i="1"/>
  <c r="O88" i="1" s="1"/>
  <c r="N89" i="1"/>
  <c r="O89" i="1" s="1"/>
  <c r="Q89" i="1" s="1"/>
  <c r="N90" i="1"/>
  <c r="O90" i="1" s="1"/>
  <c r="Q90" i="1" s="1"/>
  <c r="N91" i="1"/>
  <c r="N92" i="1"/>
  <c r="O92" i="1" s="1"/>
  <c r="N93" i="1"/>
  <c r="O93" i="1" s="1"/>
  <c r="N94" i="1"/>
  <c r="O94" i="1" s="1"/>
  <c r="P94" i="1" s="1"/>
  <c r="N95" i="1"/>
  <c r="O95" i="1" s="1"/>
  <c r="P95" i="1" s="1"/>
  <c r="N96" i="1"/>
  <c r="O96" i="1" s="1"/>
  <c r="N97" i="1"/>
  <c r="O97" i="1" s="1"/>
  <c r="N98" i="1"/>
  <c r="N99" i="1"/>
  <c r="O99" i="1" s="1"/>
  <c r="Q99" i="1" s="1"/>
  <c r="N100" i="1"/>
  <c r="O100" i="1" s="1"/>
  <c r="P100" i="1" s="1"/>
  <c r="N101" i="1"/>
  <c r="N102" i="1"/>
  <c r="O102" i="1" s="1"/>
  <c r="N103" i="1"/>
  <c r="O103" i="1" s="1"/>
  <c r="N104" i="1"/>
  <c r="O104" i="1" s="1"/>
  <c r="P104" i="1" s="1"/>
  <c r="N105" i="1"/>
  <c r="O105" i="1" s="1"/>
  <c r="N106" i="1"/>
  <c r="N107" i="1"/>
  <c r="N108" i="1"/>
  <c r="O108" i="1" s="1"/>
  <c r="P108" i="1" s="1"/>
  <c r="N109" i="1"/>
  <c r="O109" i="1" s="1"/>
  <c r="P109" i="1" s="1"/>
  <c r="N110" i="1"/>
  <c r="O110" i="1" s="1"/>
  <c r="N111" i="1"/>
  <c r="O111" i="1" s="1"/>
  <c r="P111" i="1" s="1"/>
  <c r="N112" i="1"/>
  <c r="O112" i="1" s="1"/>
  <c r="N113" i="1"/>
  <c r="O113" i="1" s="1"/>
  <c r="N114" i="1"/>
  <c r="O114" i="1" s="1"/>
  <c r="N115" i="1"/>
  <c r="O115" i="1" s="1"/>
  <c r="N116" i="1"/>
  <c r="O116" i="1" s="1"/>
  <c r="N117" i="1"/>
  <c r="O117" i="1" s="1"/>
  <c r="N118" i="1"/>
  <c r="O118" i="1" s="1"/>
  <c r="P118" i="1" s="1"/>
  <c r="N119" i="1"/>
  <c r="O119" i="1" s="1"/>
  <c r="P119" i="1" s="1"/>
  <c r="N120" i="1"/>
  <c r="O120" i="1" s="1"/>
  <c r="N121" i="1"/>
  <c r="N122" i="1"/>
  <c r="O122" i="1" s="1"/>
  <c r="N123" i="1"/>
  <c r="N124" i="1"/>
  <c r="O124" i="1" s="1"/>
  <c r="N125" i="1"/>
  <c r="O125" i="1" s="1"/>
  <c r="N126" i="1"/>
  <c r="O126" i="1" s="1"/>
  <c r="P126" i="1" s="1"/>
  <c r="N127" i="1"/>
  <c r="O127" i="1" s="1"/>
  <c r="P127" i="1" s="1"/>
  <c r="N128" i="1"/>
  <c r="O128" i="1" s="1"/>
  <c r="N129" i="1"/>
  <c r="O129" i="1" s="1"/>
  <c r="N130" i="1"/>
  <c r="N131" i="1"/>
  <c r="N132" i="1"/>
  <c r="O132" i="1" s="1"/>
  <c r="P132" i="1" s="1"/>
  <c r="N133" i="1"/>
  <c r="O133" i="1" s="1"/>
  <c r="N134" i="1"/>
  <c r="O134" i="1" s="1"/>
  <c r="N135" i="1"/>
  <c r="O135" i="1" s="1"/>
  <c r="N136" i="1"/>
  <c r="O136" i="1" s="1"/>
  <c r="Q136" i="1" s="1"/>
  <c r="N137" i="1"/>
  <c r="O137" i="1" s="1"/>
  <c r="N138" i="1"/>
  <c r="O138" i="1" s="1"/>
  <c r="Q138" i="1" s="1"/>
  <c r="N139" i="1"/>
  <c r="O139" i="1" s="1"/>
  <c r="Q139" i="1" s="1"/>
  <c r="N140" i="1"/>
  <c r="O140" i="1" s="1"/>
  <c r="P140" i="1" s="1"/>
  <c r="N141" i="1"/>
  <c r="O141" i="1" s="1"/>
  <c r="P141" i="1" s="1"/>
  <c r="N142" i="1"/>
  <c r="O142" i="1" s="1"/>
  <c r="N143" i="1"/>
  <c r="O143" i="1" s="1"/>
  <c r="P143" i="1" s="1"/>
  <c r="N144" i="1"/>
  <c r="O144" i="1" s="1"/>
  <c r="N145" i="1"/>
  <c r="O145" i="1" s="1"/>
  <c r="N146" i="1"/>
  <c r="N147" i="1"/>
  <c r="O147" i="1" s="1"/>
  <c r="N148" i="1"/>
  <c r="N149" i="1"/>
  <c r="O149" i="1" s="1"/>
  <c r="P149" i="1" s="1"/>
  <c r="N150" i="1"/>
  <c r="O150" i="1" s="1"/>
  <c r="P150" i="1" s="1"/>
  <c r="N151" i="1"/>
  <c r="O151" i="1" s="1"/>
  <c r="Q151" i="1" s="1"/>
  <c r="N152" i="1"/>
  <c r="O152" i="1" s="1"/>
  <c r="N153" i="1"/>
  <c r="O153" i="1" s="1"/>
  <c r="Q153" i="1" s="1"/>
  <c r="N154" i="1"/>
  <c r="O154" i="1" s="1"/>
  <c r="N155" i="1"/>
  <c r="N156" i="1"/>
  <c r="O156" i="1" s="1"/>
  <c r="N157" i="1"/>
  <c r="O157" i="1" s="1"/>
  <c r="N158" i="1"/>
  <c r="O158" i="1" s="1"/>
  <c r="P158" i="1" s="1"/>
  <c r="N159" i="1"/>
  <c r="O159" i="1" s="1"/>
  <c r="P159" i="1" s="1"/>
  <c r="N160" i="1"/>
  <c r="O160" i="1" s="1"/>
  <c r="N161" i="1"/>
  <c r="O161" i="1" s="1"/>
  <c r="N162" i="1"/>
  <c r="N163" i="1"/>
  <c r="O163" i="1" s="1"/>
  <c r="Q163" i="1" s="1"/>
  <c r="N164" i="1"/>
  <c r="N165" i="1"/>
  <c r="O165" i="1" s="1"/>
  <c r="P165" i="1" s="1"/>
  <c r="N166" i="1"/>
  <c r="O166" i="1" s="1"/>
  <c r="N167" i="1"/>
  <c r="O167" i="1" s="1"/>
  <c r="N168" i="1"/>
  <c r="O168" i="1" s="1"/>
  <c r="P168" i="1" s="1"/>
  <c r="N169" i="1"/>
  <c r="O169" i="1" s="1"/>
  <c r="N170" i="1"/>
  <c r="N171" i="1"/>
  <c r="N172" i="1"/>
  <c r="O172" i="1" s="1"/>
  <c r="N173" i="1"/>
  <c r="O173" i="1" s="1"/>
  <c r="P173" i="1" s="1"/>
  <c r="N174" i="1"/>
  <c r="O174" i="1" s="1"/>
  <c r="N175" i="1"/>
  <c r="O175" i="1" s="1"/>
  <c r="P175" i="1" s="1"/>
  <c r="N176" i="1"/>
  <c r="O176" i="1" s="1"/>
  <c r="N177" i="1"/>
  <c r="O177" i="1" s="1"/>
  <c r="N178" i="1"/>
  <c r="O178" i="1" s="1"/>
  <c r="Q178" i="1" s="1"/>
  <c r="N179" i="1"/>
  <c r="O179" i="1" s="1"/>
  <c r="N180" i="1"/>
  <c r="O180" i="1" s="1"/>
  <c r="Q180" i="1" s="1"/>
  <c r="N181" i="1"/>
  <c r="O181" i="1" s="1"/>
  <c r="N182" i="1"/>
  <c r="O182" i="1" s="1"/>
  <c r="P182" i="1" s="1"/>
  <c r="N183" i="1"/>
  <c r="O183" i="1" s="1"/>
  <c r="P183" i="1" s="1"/>
  <c r="N184" i="1"/>
  <c r="O184" i="1" s="1"/>
  <c r="N185" i="1"/>
  <c r="N186" i="1"/>
  <c r="N187" i="1"/>
  <c r="N188" i="1"/>
  <c r="O188" i="1" s="1"/>
  <c r="Q188" i="1" s="1"/>
  <c r="N189" i="1"/>
  <c r="O189" i="1" s="1"/>
  <c r="N190" i="1"/>
  <c r="O190" i="1" s="1"/>
  <c r="P190" i="1" s="1"/>
  <c r="N191" i="1"/>
  <c r="O191" i="1" s="1"/>
  <c r="P191" i="1" s="1"/>
  <c r="N192" i="1"/>
  <c r="O192" i="1" s="1"/>
  <c r="N193" i="1"/>
  <c r="O193" i="1" s="1"/>
  <c r="N194" i="1"/>
  <c r="O194" i="1" s="1"/>
  <c r="N195" i="1"/>
  <c r="O195" i="1" s="1"/>
  <c r="P195" i="1" s="1"/>
  <c r="N196" i="1"/>
  <c r="O196" i="1" s="1"/>
  <c r="P196" i="1" s="1"/>
  <c r="N197" i="1"/>
  <c r="O197" i="1" s="1"/>
  <c r="N198" i="1"/>
  <c r="O198" i="1" s="1"/>
  <c r="N199" i="1"/>
  <c r="O199" i="1" s="1"/>
  <c r="N200" i="1"/>
  <c r="O200" i="1" s="1"/>
  <c r="N201" i="1"/>
  <c r="O201" i="1" s="1"/>
  <c r="N202" i="1"/>
  <c r="O202" i="1" s="1"/>
  <c r="N203" i="1"/>
  <c r="O203" i="1" s="1"/>
  <c r="P203" i="1" s="1"/>
  <c r="N204" i="1"/>
  <c r="N205" i="1"/>
  <c r="O205" i="1" s="1"/>
  <c r="P205" i="1" s="1"/>
  <c r="N206" i="1"/>
  <c r="O206" i="1" s="1"/>
  <c r="N207" i="1"/>
  <c r="O207" i="1" s="1"/>
  <c r="Q207" i="1" s="1"/>
  <c r="N208" i="1"/>
  <c r="O208" i="1" s="1"/>
  <c r="N209" i="1"/>
  <c r="O209" i="1" s="1"/>
  <c r="N210" i="1"/>
  <c r="N211" i="1"/>
  <c r="O211" i="1" s="1"/>
  <c r="N212" i="1"/>
  <c r="N213" i="1"/>
  <c r="O213" i="1" s="1"/>
  <c r="N214" i="1"/>
  <c r="O214" i="1" s="1"/>
  <c r="P214" i="1" s="1"/>
  <c r="N215" i="1"/>
  <c r="O215" i="1" s="1"/>
  <c r="P215" i="1" s="1"/>
  <c r="N216" i="1"/>
  <c r="O216" i="1" s="1"/>
  <c r="N217" i="1"/>
  <c r="O217" i="1" s="1"/>
  <c r="Q217" i="1" s="1"/>
  <c r="N218" i="1"/>
  <c r="O218" i="1" s="1"/>
  <c r="N219" i="1"/>
  <c r="O219" i="1" s="1"/>
  <c r="P219" i="1" s="1"/>
  <c r="N220" i="1"/>
  <c r="O220" i="1" s="1"/>
  <c r="N221" i="1"/>
  <c r="O221" i="1" s="1"/>
  <c r="N222" i="1"/>
  <c r="O222" i="1" s="1"/>
  <c r="P222" i="1" s="1"/>
  <c r="N223" i="1"/>
  <c r="O223" i="1" s="1"/>
  <c r="P223" i="1" s="1"/>
  <c r="N224" i="1"/>
  <c r="O224" i="1" s="1"/>
  <c r="N225" i="1"/>
  <c r="O225" i="1" s="1"/>
  <c r="N226" i="1"/>
  <c r="O226" i="1" s="1"/>
  <c r="N227" i="1"/>
  <c r="N228" i="1"/>
  <c r="N229" i="1"/>
  <c r="O229" i="1" s="1"/>
  <c r="N230" i="1"/>
  <c r="O230" i="1" s="1"/>
  <c r="N231" i="1"/>
  <c r="O231" i="1" s="1"/>
  <c r="N232" i="1"/>
  <c r="O232" i="1" s="1"/>
  <c r="N233" i="1"/>
  <c r="O233" i="1" s="1"/>
  <c r="N234" i="1"/>
  <c r="O234" i="1" s="1"/>
  <c r="Q234" i="1" s="1"/>
  <c r="N235" i="1"/>
  <c r="O235" i="1" s="1"/>
  <c r="Q235" i="1" s="1"/>
  <c r="N236" i="1"/>
  <c r="N237" i="1"/>
  <c r="O237" i="1" s="1"/>
  <c r="P237" i="1" s="1"/>
  <c r="N238" i="1"/>
  <c r="O238" i="1" s="1"/>
  <c r="N239" i="1"/>
  <c r="O239" i="1" s="1"/>
  <c r="P239" i="1" s="1"/>
  <c r="N240" i="1"/>
  <c r="O240" i="1" s="1"/>
  <c r="N241" i="1"/>
  <c r="O241" i="1" s="1"/>
  <c r="N242" i="1"/>
  <c r="O242" i="1" s="1"/>
  <c r="Q242" i="1" s="1"/>
  <c r="N243" i="1"/>
  <c r="O243" i="1" s="1"/>
  <c r="N244" i="1"/>
  <c r="O244" i="1" s="1"/>
  <c r="P244" i="1" s="1"/>
  <c r="N245" i="1"/>
  <c r="O245" i="1" s="1"/>
  <c r="N246" i="1"/>
  <c r="O246" i="1" s="1"/>
  <c r="P246" i="1" s="1"/>
  <c r="N43" i="1"/>
  <c r="O43" i="1" s="1"/>
  <c r="N44" i="1"/>
  <c r="O44" i="1" s="1"/>
  <c r="L86" i="1"/>
  <c r="L166" i="1"/>
  <c r="L175" i="1"/>
  <c r="L239" i="1"/>
  <c r="K45" i="1"/>
  <c r="K61" i="1"/>
  <c r="K74" i="1"/>
  <c r="K77" i="1"/>
  <c r="K93" i="1"/>
  <c r="K98" i="1"/>
  <c r="K101" i="1"/>
  <c r="K117" i="1"/>
  <c r="K125" i="1"/>
  <c r="K138" i="1"/>
  <c r="K155" i="1"/>
  <c r="K165" i="1"/>
  <c r="K181" i="1"/>
  <c r="K189" i="1"/>
  <c r="K213" i="1"/>
  <c r="K218" i="1"/>
  <c r="K219" i="1"/>
  <c r="K221" i="1"/>
  <c r="K237" i="1"/>
  <c r="K239" i="1"/>
  <c r="K244" i="1"/>
  <c r="J43" i="1"/>
  <c r="L43" i="1" s="1"/>
  <c r="J51" i="1"/>
  <c r="K51" i="1" s="1"/>
  <c r="J54" i="1"/>
  <c r="K54" i="1" s="1"/>
  <c r="J55" i="1"/>
  <c r="L55" i="1" s="1"/>
  <c r="J62" i="1"/>
  <c r="K62" i="1" s="1"/>
  <c r="J63" i="1"/>
  <c r="K63" i="1" s="1"/>
  <c r="J66" i="1"/>
  <c r="J70" i="1"/>
  <c r="K70" i="1" s="1"/>
  <c r="J79" i="1"/>
  <c r="J81" i="1"/>
  <c r="K81" i="1" s="1"/>
  <c r="J82" i="1"/>
  <c r="J86" i="1"/>
  <c r="K86" i="1" s="1"/>
  <c r="J94" i="1"/>
  <c r="K94" i="1" s="1"/>
  <c r="J95" i="1"/>
  <c r="L95" i="1" s="1"/>
  <c r="J105" i="1"/>
  <c r="K105" i="1" s="1"/>
  <c r="J106" i="1"/>
  <c r="J107" i="1"/>
  <c r="L107" i="1" s="1"/>
  <c r="J118" i="1"/>
  <c r="K118" i="1" s="1"/>
  <c r="J119" i="1"/>
  <c r="L119" i="1" s="1"/>
  <c r="J126" i="1"/>
  <c r="K126" i="1" s="1"/>
  <c r="J134" i="1"/>
  <c r="K134" i="1" s="1"/>
  <c r="J135" i="1"/>
  <c r="L135" i="1" s="1"/>
  <c r="J136" i="1"/>
  <c r="K136" i="1" s="1"/>
  <c r="J146" i="1"/>
  <c r="J150" i="1"/>
  <c r="J158" i="1"/>
  <c r="K158" i="1" s="1"/>
  <c r="J159" i="1"/>
  <c r="L159" i="1" s="1"/>
  <c r="J161" i="1"/>
  <c r="K161" i="1" s="1"/>
  <c r="J162" i="1"/>
  <c r="L162" i="1" s="1"/>
  <c r="J166" i="1"/>
  <c r="K166" i="1" s="1"/>
  <c r="J171" i="1"/>
  <c r="L171" i="1" s="1"/>
  <c r="J175" i="1"/>
  <c r="K175" i="1" s="1"/>
  <c r="J190" i="1"/>
  <c r="K190" i="1" s="1"/>
  <c r="J198" i="1"/>
  <c r="K198" i="1" s="1"/>
  <c r="J199" i="1"/>
  <c r="L199" i="1" s="1"/>
  <c r="J200" i="1"/>
  <c r="K200" i="1" s="1"/>
  <c r="J214" i="1"/>
  <c r="J215" i="1"/>
  <c r="L215" i="1" s="1"/>
  <c r="J217" i="1"/>
  <c r="J226" i="1"/>
  <c r="J230" i="1"/>
  <c r="J231" i="1"/>
  <c r="J239" i="1"/>
  <c r="I246" i="1"/>
  <c r="J246" i="1" s="1"/>
  <c r="I45" i="1"/>
  <c r="J45" i="1" s="1"/>
  <c r="L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I52" i="1"/>
  <c r="J52" i="1" s="1"/>
  <c r="I53" i="1"/>
  <c r="J53" i="1" s="1"/>
  <c r="L53" i="1" s="1"/>
  <c r="I54" i="1"/>
  <c r="I55" i="1"/>
  <c r="I56" i="1"/>
  <c r="J56" i="1" s="1"/>
  <c r="I57" i="1"/>
  <c r="J57" i="1" s="1"/>
  <c r="K57" i="1" s="1"/>
  <c r="I58" i="1"/>
  <c r="J58" i="1" s="1"/>
  <c r="I59" i="1"/>
  <c r="J59" i="1" s="1"/>
  <c r="L59" i="1" s="1"/>
  <c r="I60" i="1"/>
  <c r="J60" i="1" s="1"/>
  <c r="L60" i="1" s="1"/>
  <c r="I61" i="1"/>
  <c r="J61" i="1" s="1"/>
  <c r="L61" i="1" s="1"/>
  <c r="I62" i="1"/>
  <c r="I63" i="1"/>
  <c r="I64" i="1"/>
  <c r="J64" i="1" s="1"/>
  <c r="I65" i="1"/>
  <c r="J65" i="1" s="1"/>
  <c r="K65" i="1" s="1"/>
  <c r="I66" i="1"/>
  <c r="I67" i="1"/>
  <c r="J67" i="1" s="1"/>
  <c r="I68" i="1"/>
  <c r="J68" i="1" s="1"/>
  <c r="L68" i="1" s="1"/>
  <c r="I69" i="1"/>
  <c r="J69" i="1" s="1"/>
  <c r="L69" i="1" s="1"/>
  <c r="I70" i="1"/>
  <c r="I71" i="1"/>
  <c r="J71" i="1" s="1"/>
  <c r="L71" i="1" s="1"/>
  <c r="I72" i="1"/>
  <c r="J72" i="1" s="1"/>
  <c r="K72" i="1" s="1"/>
  <c r="I73" i="1"/>
  <c r="J73" i="1" s="1"/>
  <c r="K73" i="1" s="1"/>
  <c r="I74" i="1"/>
  <c r="J74" i="1" s="1"/>
  <c r="L74" i="1" s="1"/>
  <c r="I75" i="1"/>
  <c r="J75" i="1" s="1"/>
  <c r="I76" i="1"/>
  <c r="J76" i="1" s="1"/>
  <c r="L76" i="1" s="1"/>
  <c r="I77" i="1"/>
  <c r="J77" i="1" s="1"/>
  <c r="L77" i="1" s="1"/>
  <c r="I78" i="1"/>
  <c r="J78" i="1" s="1"/>
  <c r="I79" i="1"/>
  <c r="I80" i="1"/>
  <c r="J80" i="1" s="1"/>
  <c r="I81" i="1"/>
  <c r="I82" i="1"/>
  <c r="I83" i="1"/>
  <c r="J83" i="1" s="1"/>
  <c r="K83" i="1" s="1"/>
  <c r="I84" i="1"/>
  <c r="J84" i="1" s="1"/>
  <c r="L84" i="1" s="1"/>
  <c r="I85" i="1"/>
  <c r="J85" i="1" s="1"/>
  <c r="L85" i="1" s="1"/>
  <c r="I86" i="1"/>
  <c r="I87" i="1"/>
  <c r="J87" i="1" s="1"/>
  <c r="K87" i="1" s="1"/>
  <c r="I88" i="1"/>
  <c r="J88" i="1" s="1"/>
  <c r="I89" i="1"/>
  <c r="J89" i="1" s="1"/>
  <c r="I90" i="1"/>
  <c r="J90" i="1" s="1"/>
  <c r="I91" i="1"/>
  <c r="J91" i="1" s="1"/>
  <c r="I92" i="1"/>
  <c r="J92" i="1" s="1"/>
  <c r="L92" i="1" s="1"/>
  <c r="I93" i="1"/>
  <c r="J93" i="1" s="1"/>
  <c r="L93" i="1" s="1"/>
  <c r="I94" i="1"/>
  <c r="I95" i="1"/>
  <c r="I96" i="1"/>
  <c r="J96" i="1" s="1"/>
  <c r="I97" i="1"/>
  <c r="J97" i="1" s="1"/>
  <c r="K97" i="1" s="1"/>
  <c r="I98" i="1"/>
  <c r="J98" i="1" s="1"/>
  <c r="L98" i="1" s="1"/>
  <c r="I99" i="1"/>
  <c r="J99" i="1" s="1"/>
  <c r="I100" i="1"/>
  <c r="J100" i="1" s="1"/>
  <c r="L100" i="1" s="1"/>
  <c r="I101" i="1"/>
  <c r="J101" i="1" s="1"/>
  <c r="L101" i="1" s="1"/>
  <c r="I102" i="1"/>
  <c r="J102" i="1" s="1"/>
  <c r="I103" i="1"/>
  <c r="J103" i="1" s="1"/>
  <c r="K103" i="1" s="1"/>
  <c r="I104" i="1"/>
  <c r="J104" i="1" s="1"/>
  <c r="K104" i="1" s="1"/>
  <c r="I105" i="1"/>
  <c r="I106" i="1"/>
  <c r="I107" i="1"/>
  <c r="I108" i="1"/>
  <c r="J108" i="1" s="1"/>
  <c r="L108" i="1" s="1"/>
  <c r="I109" i="1"/>
  <c r="J109" i="1" s="1"/>
  <c r="L109" i="1" s="1"/>
  <c r="I110" i="1"/>
  <c r="J110" i="1" s="1"/>
  <c r="I111" i="1"/>
  <c r="J111" i="1" s="1"/>
  <c r="K111" i="1" s="1"/>
  <c r="I112" i="1"/>
  <c r="J112" i="1" s="1"/>
  <c r="I113" i="1"/>
  <c r="J113" i="1" s="1"/>
  <c r="I114" i="1"/>
  <c r="J114" i="1" s="1"/>
  <c r="I115" i="1"/>
  <c r="J115" i="1" s="1"/>
  <c r="K115" i="1" s="1"/>
  <c r="I116" i="1"/>
  <c r="J116" i="1" s="1"/>
  <c r="L116" i="1" s="1"/>
  <c r="I117" i="1"/>
  <c r="J117" i="1" s="1"/>
  <c r="L117" i="1" s="1"/>
  <c r="I118" i="1"/>
  <c r="I119" i="1"/>
  <c r="I120" i="1"/>
  <c r="J120" i="1" s="1"/>
  <c r="I121" i="1"/>
  <c r="J121" i="1" s="1"/>
  <c r="K121" i="1" s="1"/>
  <c r="I122" i="1"/>
  <c r="J122" i="1" s="1"/>
  <c r="I123" i="1"/>
  <c r="J123" i="1" s="1"/>
  <c r="L123" i="1" s="1"/>
  <c r="I124" i="1"/>
  <c r="J124" i="1" s="1"/>
  <c r="L124" i="1" s="1"/>
  <c r="I125" i="1"/>
  <c r="J125" i="1" s="1"/>
  <c r="L125" i="1" s="1"/>
  <c r="I126" i="1"/>
  <c r="I127" i="1"/>
  <c r="J127" i="1" s="1"/>
  <c r="L127" i="1" s="1"/>
  <c r="I128" i="1"/>
  <c r="J128" i="1" s="1"/>
  <c r="I129" i="1"/>
  <c r="J129" i="1" s="1"/>
  <c r="K129" i="1" s="1"/>
  <c r="I130" i="1"/>
  <c r="J130" i="1" s="1"/>
  <c r="I131" i="1"/>
  <c r="J131" i="1" s="1"/>
  <c r="I132" i="1"/>
  <c r="J132" i="1" s="1"/>
  <c r="L132" i="1" s="1"/>
  <c r="I133" i="1"/>
  <c r="J133" i="1" s="1"/>
  <c r="L133" i="1" s="1"/>
  <c r="I134" i="1"/>
  <c r="I135" i="1"/>
  <c r="I136" i="1"/>
  <c r="I137" i="1"/>
  <c r="J137" i="1" s="1"/>
  <c r="K137" i="1" s="1"/>
  <c r="I138" i="1"/>
  <c r="J138" i="1" s="1"/>
  <c r="L138" i="1" s="1"/>
  <c r="I139" i="1"/>
  <c r="J139" i="1" s="1"/>
  <c r="I140" i="1"/>
  <c r="J140" i="1" s="1"/>
  <c r="L140" i="1" s="1"/>
  <c r="I141" i="1"/>
  <c r="J141" i="1" s="1"/>
  <c r="L141" i="1" s="1"/>
  <c r="I142" i="1"/>
  <c r="J142" i="1" s="1"/>
  <c r="I143" i="1"/>
  <c r="J143" i="1" s="1"/>
  <c r="I144" i="1"/>
  <c r="J144" i="1" s="1"/>
  <c r="I145" i="1"/>
  <c r="J145" i="1" s="1"/>
  <c r="K145" i="1" s="1"/>
  <c r="I146" i="1"/>
  <c r="I147" i="1"/>
  <c r="J147" i="1" s="1"/>
  <c r="K147" i="1" s="1"/>
  <c r="I148" i="1"/>
  <c r="J148" i="1" s="1"/>
  <c r="L148" i="1" s="1"/>
  <c r="I149" i="1"/>
  <c r="J149" i="1" s="1"/>
  <c r="L149" i="1" s="1"/>
  <c r="I150" i="1"/>
  <c r="I151" i="1"/>
  <c r="J151" i="1" s="1"/>
  <c r="L151" i="1" s="1"/>
  <c r="I152" i="1"/>
  <c r="J152" i="1" s="1"/>
  <c r="I153" i="1"/>
  <c r="J153" i="1" s="1"/>
  <c r="I154" i="1"/>
  <c r="J154" i="1" s="1"/>
  <c r="I155" i="1"/>
  <c r="J155" i="1" s="1"/>
  <c r="L155" i="1" s="1"/>
  <c r="I156" i="1"/>
  <c r="J156" i="1" s="1"/>
  <c r="L156" i="1" s="1"/>
  <c r="I157" i="1"/>
  <c r="J157" i="1" s="1"/>
  <c r="I158" i="1"/>
  <c r="I159" i="1"/>
  <c r="I160" i="1"/>
  <c r="J160" i="1" s="1"/>
  <c r="I161" i="1"/>
  <c r="I162" i="1"/>
  <c r="I163" i="1"/>
  <c r="J163" i="1" s="1"/>
  <c r="I164" i="1"/>
  <c r="J164" i="1" s="1"/>
  <c r="L164" i="1" s="1"/>
  <c r="I165" i="1"/>
  <c r="J165" i="1" s="1"/>
  <c r="L165" i="1" s="1"/>
  <c r="I166" i="1"/>
  <c r="I167" i="1"/>
  <c r="J167" i="1" s="1"/>
  <c r="I168" i="1"/>
  <c r="J168" i="1" s="1"/>
  <c r="K168" i="1" s="1"/>
  <c r="I169" i="1"/>
  <c r="J169" i="1" s="1"/>
  <c r="K169" i="1" s="1"/>
  <c r="I170" i="1"/>
  <c r="J170" i="1" s="1"/>
  <c r="I171" i="1"/>
  <c r="I172" i="1"/>
  <c r="J172" i="1" s="1"/>
  <c r="L172" i="1" s="1"/>
  <c r="I173" i="1"/>
  <c r="J173" i="1" s="1"/>
  <c r="L173" i="1" s="1"/>
  <c r="I174" i="1"/>
  <c r="J174" i="1" s="1"/>
  <c r="I175" i="1"/>
  <c r="I176" i="1"/>
  <c r="J176" i="1" s="1"/>
  <c r="I177" i="1"/>
  <c r="J177" i="1" s="1"/>
  <c r="I178" i="1"/>
  <c r="J178" i="1" s="1"/>
  <c r="I179" i="1"/>
  <c r="J179" i="1" s="1"/>
  <c r="K179" i="1" s="1"/>
  <c r="I180" i="1"/>
  <c r="J180" i="1" s="1"/>
  <c r="I181" i="1"/>
  <c r="J181" i="1" s="1"/>
  <c r="L181" i="1" s="1"/>
  <c r="I182" i="1"/>
  <c r="J182" i="1" s="1"/>
  <c r="K182" i="1" s="1"/>
  <c r="I183" i="1"/>
  <c r="J183" i="1" s="1"/>
  <c r="L183" i="1" s="1"/>
  <c r="I184" i="1"/>
  <c r="J184" i="1" s="1"/>
  <c r="I185" i="1"/>
  <c r="J185" i="1" s="1"/>
  <c r="K185" i="1" s="1"/>
  <c r="I186" i="1"/>
  <c r="J186" i="1" s="1"/>
  <c r="I187" i="1"/>
  <c r="J187" i="1" s="1"/>
  <c r="K187" i="1" s="1"/>
  <c r="I188" i="1"/>
  <c r="J188" i="1" s="1"/>
  <c r="L188" i="1" s="1"/>
  <c r="I189" i="1"/>
  <c r="J189" i="1" s="1"/>
  <c r="L189" i="1" s="1"/>
  <c r="I190" i="1"/>
  <c r="I191" i="1"/>
  <c r="J191" i="1" s="1"/>
  <c r="L191" i="1" s="1"/>
  <c r="I192" i="1"/>
  <c r="J192" i="1" s="1"/>
  <c r="I193" i="1"/>
  <c r="J193" i="1" s="1"/>
  <c r="K193" i="1" s="1"/>
  <c r="I194" i="1"/>
  <c r="J194" i="1" s="1"/>
  <c r="I195" i="1"/>
  <c r="J195" i="1" s="1"/>
  <c r="I196" i="1"/>
  <c r="J196" i="1" s="1"/>
  <c r="L196" i="1" s="1"/>
  <c r="I197" i="1"/>
  <c r="J197" i="1" s="1"/>
  <c r="L197" i="1" s="1"/>
  <c r="I198" i="1"/>
  <c r="I199" i="1"/>
  <c r="I200" i="1"/>
  <c r="I201" i="1"/>
  <c r="J201" i="1" s="1"/>
  <c r="K201" i="1" s="1"/>
  <c r="I202" i="1"/>
  <c r="J202" i="1" s="1"/>
  <c r="I203" i="1"/>
  <c r="J203" i="1" s="1"/>
  <c r="I204" i="1"/>
  <c r="J204" i="1" s="1"/>
  <c r="L204" i="1" s="1"/>
  <c r="I205" i="1"/>
  <c r="J205" i="1" s="1"/>
  <c r="L205" i="1" s="1"/>
  <c r="I206" i="1"/>
  <c r="J206" i="1" s="1"/>
  <c r="I207" i="1"/>
  <c r="J207" i="1" s="1"/>
  <c r="I208" i="1"/>
  <c r="J208" i="1" s="1"/>
  <c r="I209" i="1"/>
  <c r="J209" i="1" s="1"/>
  <c r="K209" i="1" s="1"/>
  <c r="I210" i="1"/>
  <c r="J210" i="1" s="1"/>
  <c r="I211" i="1"/>
  <c r="J211" i="1" s="1"/>
  <c r="K211" i="1" s="1"/>
  <c r="I212" i="1"/>
  <c r="J212" i="1" s="1"/>
  <c r="L212" i="1" s="1"/>
  <c r="I213" i="1"/>
  <c r="J213" i="1" s="1"/>
  <c r="L213" i="1" s="1"/>
  <c r="I214" i="1"/>
  <c r="I215" i="1"/>
  <c r="I216" i="1"/>
  <c r="J216" i="1" s="1"/>
  <c r="I217" i="1"/>
  <c r="I218" i="1"/>
  <c r="J218" i="1" s="1"/>
  <c r="L218" i="1" s="1"/>
  <c r="I219" i="1"/>
  <c r="J219" i="1" s="1"/>
  <c r="L219" i="1" s="1"/>
  <c r="I220" i="1"/>
  <c r="J220" i="1" s="1"/>
  <c r="L220" i="1" s="1"/>
  <c r="I221" i="1"/>
  <c r="J221" i="1" s="1"/>
  <c r="L221" i="1" s="1"/>
  <c r="I222" i="1"/>
  <c r="J222" i="1" s="1"/>
  <c r="K222" i="1" s="1"/>
  <c r="I223" i="1"/>
  <c r="J223" i="1" s="1"/>
  <c r="L223" i="1" s="1"/>
  <c r="I224" i="1"/>
  <c r="J224" i="1" s="1"/>
  <c r="I225" i="1"/>
  <c r="J225" i="1" s="1"/>
  <c r="K225" i="1" s="1"/>
  <c r="I226" i="1"/>
  <c r="I227" i="1"/>
  <c r="J227" i="1" s="1"/>
  <c r="I228" i="1"/>
  <c r="J228" i="1" s="1"/>
  <c r="L228" i="1" s="1"/>
  <c r="I229" i="1"/>
  <c r="J229" i="1" s="1"/>
  <c r="L229" i="1" s="1"/>
  <c r="I230" i="1"/>
  <c r="I231" i="1"/>
  <c r="I232" i="1"/>
  <c r="J232" i="1" s="1"/>
  <c r="K232" i="1" s="1"/>
  <c r="I233" i="1"/>
  <c r="J233" i="1" s="1"/>
  <c r="K233" i="1" s="1"/>
  <c r="I234" i="1"/>
  <c r="J234" i="1" s="1"/>
  <c r="I235" i="1"/>
  <c r="J235" i="1" s="1"/>
  <c r="L235" i="1" s="1"/>
  <c r="I236" i="1"/>
  <c r="J236" i="1" s="1"/>
  <c r="L236" i="1" s="1"/>
  <c r="I237" i="1"/>
  <c r="J237" i="1" s="1"/>
  <c r="L237" i="1" s="1"/>
  <c r="I238" i="1"/>
  <c r="J238" i="1" s="1"/>
  <c r="I239" i="1"/>
  <c r="I240" i="1"/>
  <c r="J240" i="1" s="1"/>
  <c r="I241" i="1"/>
  <c r="J241" i="1" s="1"/>
  <c r="I242" i="1"/>
  <c r="J242" i="1" s="1"/>
  <c r="I243" i="1"/>
  <c r="J243" i="1" s="1"/>
  <c r="K243" i="1" s="1"/>
  <c r="I244" i="1"/>
  <c r="J244" i="1" s="1"/>
  <c r="L244" i="1" s="1"/>
  <c r="I245" i="1"/>
  <c r="J245" i="1" s="1"/>
  <c r="L245" i="1" s="1"/>
  <c r="I43" i="1"/>
  <c r="I44" i="1"/>
  <c r="J44" i="1" s="1"/>
  <c r="L44" i="1" s="1"/>
  <c r="G58" i="1"/>
  <c r="G74" i="1"/>
  <c r="G79" i="1"/>
  <c r="G93" i="1"/>
  <c r="G95" i="1"/>
  <c r="G106" i="1"/>
  <c r="G122" i="1"/>
  <c r="G138" i="1"/>
  <c r="G186" i="1"/>
  <c r="G202" i="1"/>
  <c r="D231" i="1"/>
  <c r="E231" i="1" s="1"/>
  <c r="D234" i="1"/>
  <c r="E234" i="1" s="1"/>
  <c r="F234" i="1" s="1"/>
  <c r="F58" i="1"/>
  <c r="F82" i="1"/>
  <c r="F98" i="1"/>
  <c r="F104" i="1"/>
  <c r="F122" i="1"/>
  <c r="F130" i="1"/>
  <c r="F146" i="1"/>
  <c r="F152" i="1"/>
  <c r="F170" i="1"/>
  <c r="F194" i="1"/>
  <c r="F215" i="1"/>
  <c r="F218" i="1"/>
  <c r="E44" i="1"/>
  <c r="E55" i="1"/>
  <c r="F55" i="1" s="1"/>
  <c r="E56" i="1"/>
  <c r="G56" i="1" s="1"/>
  <c r="E60" i="1"/>
  <c r="G60" i="1" s="1"/>
  <c r="E68" i="1"/>
  <c r="G68" i="1" s="1"/>
  <c r="E69" i="1"/>
  <c r="E77" i="1"/>
  <c r="F77" i="1" s="1"/>
  <c r="E85" i="1"/>
  <c r="E87" i="1"/>
  <c r="E92" i="1"/>
  <c r="G92" i="1" s="1"/>
  <c r="E93" i="1"/>
  <c r="F93" i="1" s="1"/>
  <c r="E100" i="1"/>
  <c r="G100" i="1" s="1"/>
  <c r="E101" i="1"/>
  <c r="E103" i="1"/>
  <c r="G103" i="1" s="1"/>
  <c r="E117" i="1"/>
  <c r="F117" i="1" s="1"/>
  <c r="E124" i="1"/>
  <c r="G124" i="1" s="1"/>
  <c r="E128" i="1"/>
  <c r="G128" i="1" s="1"/>
  <c r="E132" i="1"/>
  <c r="G132" i="1" s="1"/>
  <c r="E133" i="1"/>
  <c r="E149" i="1"/>
  <c r="E151" i="1"/>
  <c r="G151" i="1" s="1"/>
  <c r="E159" i="1"/>
  <c r="F159" i="1" s="1"/>
  <c r="E160" i="1"/>
  <c r="F160" i="1" s="1"/>
  <c r="E164" i="1"/>
  <c r="G164" i="1" s="1"/>
  <c r="E173" i="1"/>
  <c r="F173" i="1" s="1"/>
  <c r="E181" i="1"/>
  <c r="F181" i="1" s="1"/>
  <c r="E188" i="1"/>
  <c r="G188" i="1" s="1"/>
  <c r="E189" i="1"/>
  <c r="F189" i="1" s="1"/>
  <c r="E191" i="1"/>
  <c r="G191" i="1" s="1"/>
  <c r="E196" i="1"/>
  <c r="G196" i="1" s="1"/>
  <c r="E197" i="1"/>
  <c r="F197" i="1" s="1"/>
  <c r="E205" i="1"/>
  <c r="F205" i="1" s="1"/>
  <c r="E207" i="1"/>
  <c r="F207" i="1" s="1"/>
  <c r="E208" i="1"/>
  <c r="F208" i="1" s="1"/>
  <c r="E220" i="1"/>
  <c r="G220" i="1" s="1"/>
  <c r="E221" i="1"/>
  <c r="E228" i="1"/>
  <c r="G228" i="1" s="1"/>
  <c r="E233" i="1"/>
  <c r="E236" i="1"/>
  <c r="E237" i="1"/>
  <c r="E238" i="1"/>
  <c r="F238" i="1" s="1"/>
  <c r="D45" i="1"/>
  <c r="E45" i="1" s="1"/>
  <c r="D46" i="1"/>
  <c r="E46" i="1" s="1"/>
  <c r="D47" i="1"/>
  <c r="E47" i="1" s="1"/>
  <c r="G47" i="1" s="1"/>
  <c r="D48" i="1"/>
  <c r="E48" i="1" s="1"/>
  <c r="F48" i="1" s="1"/>
  <c r="D49" i="1"/>
  <c r="E49" i="1" s="1"/>
  <c r="D50" i="1"/>
  <c r="E50" i="1" s="1"/>
  <c r="G50" i="1" s="1"/>
  <c r="D51" i="1"/>
  <c r="E51" i="1" s="1"/>
  <c r="D52" i="1"/>
  <c r="E52" i="1" s="1"/>
  <c r="D53" i="1"/>
  <c r="E53" i="1" s="1"/>
  <c r="F53" i="1" s="1"/>
  <c r="D54" i="1"/>
  <c r="E54" i="1" s="1"/>
  <c r="D55" i="1"/>
  <c r="D56" i="1"/>
  <c r="D57" i="1"/>
  <c r="E57" i="1" s="1"/>
  <c r="D58" i="1"/>
  <c r="E58" i="1" s="1"/>
  <c r="D59" i="1"/>
  <c r="E59" i="1" s="1"/>
  <c r="D60" i="1"/>
  <c r="D61" i="1"/>
  <c r="E61" i="1" s="1"/>
  <c r="D62" i="1"/>
  <c r="E62" i="1" s="1"/>
  <c r="D63" i="1"/>
  <c r="E63" i="1" s="1"/>
  <c r="G63" i="1" s="1"/>
  <c r="D64" i="1"/>
  <c r="E64" i="1" s="1"/>
  <c r="D65" i="1"/>
  <c r="E65" i="1" s="1"/>
  <c r="G65" i="1" s="1"/>
  <c r="D66" i="1"/>
  <c r="E66" i="1" s="1"/>
  <c r="F66" i="1" s="1"/>
  <c r="D67" i="1"/>
  <c r="E67" i="1" s="1"/>
  <c r="D68" i="1"/>
  <c r="D69" i="1"/>
  <c r="D70" i="1"/>
  <c r="E70" i="1" s="1"/>
  <c r="D71" i="1"/>
  <c r="E71" i="1" s="1"/>
  <c r="D72" i="1"/>
  <c r="E72" i="1" s="1"/>
  <c r="D73" i="1"/>
  <c r="E73" i="1" s="1"/>
  <c r="D74" i="1"/>
  <c r="E74" i="1" s="1"/>
  <c r="F74" i="1" s="1"/>
  <c r="D75" i="1"/>
  <c r="E75" i="1" s="1"/>
  <c r="D76" i="1"/>
  <c r="E76" i="1" s="1"/>
  <c r="D77" i="1"/>
  <c r="D78" i="1"/>
  <c r="E78" i="1" s="1"/>
  <c r="D79" i="1"/>
  <c r="E79" i="1" s="1"/>
  <c r="F79" i="1" s="1"/>
  <c r="D80" i="1"/>
  <c r="E80" i="1" s="1"/>
  <c r="G80" i="1" s="1"/>
  <c r="D81" i="1"/>
  <c r="E81" i="1" s="1"/>
  <c r="D82" i="1"/>
  <c r="E82" i="1" s="1"/>
  <c r="G82" i="1" s="1"/>
  <c r="D83" i="1"/>
  <c r="E83" i="1" s="1"/>
  <c r="D84" i="1"/>
  <c r="E84" i="1" s="1"/>
  <c r="D85" i="1"/>
  <c r="D86" i="1"/>
  <c r="E86" i="1" s="1"/>
  <c r="D87" i="1"/>
  <c r="D88" i="1"/>
  <c r="E88" i="1" s="1"/>
  <c r="D89" i="1"/>
  <c r="E89" i="1" s="1"/>
  <c r="G89" i="1" s="1"/>
  <c r="D90" i="1"/>
  <c r="E90" i="1" s="1"/>
  <c r="G90" i="1" s="1"/>
  <c r="D91" i="1"/>
  <c r="E91" i="1" s="1"/>
  <c r="D92" i="1"/>
  <c r="D93" i="1"/>
  <c r="D94" i="1"/>
  <c r="E94" i="1" s="1"/>
  <c r="D95" i="1"/>
  <c r="E95" i="1" s="1"/>
  <c r="F95" i="1" s="1"/>
  <c r="D96" i="1"/>
  <c r="E96" i="1" s="1"/>
  <c r="F96" i="1" s="1"/>
  <c r="D97" i="1"/>
  <c r="E97" i="1" s="1"/>
  <c r="G97" i="1" s="1"/>
  <c r="D98" i="1"/>
  <c r="E98" i="1" s="1"/>
  <c r="G98" i="1" s="1"/>
  <c r="D99" i="1"/>
  <c r="E99" i="1" s="1"/>
  <c r="D100" i="1"/>
  <c r="D101" i="1"/>
  <c r="D102" i="1"/>
  <c r="E102" i="1" s="1"/>
  <c r="D103" i="1"/>
  <c r="D104" i="1"/>
  <c r="E104" i="1" s="1"/>
  <c r="G104" i="1" s="1"/>
  <c r="D105" i="1"/>
  <c r="E105" i="1" s="1"/>
  <c r="D106" i="1"/>
  <c r="E106" i="1" s="1"/>
  <c r="F106" i="1" s="1"/>
  <c r="D107" i="1"/>
  <c r="E107" i="1" s="1"/>
  <c r="D108" i="1"/>
  <c r="E108" i="1" s="1"/>
  <c r="D109" i="1"/>
  <c r="E109" i="1" s="1"/>
  <c r="F109" i="1" s="1"/>
  <c r="D110" i="1"/>
  <c r="E110" i="1" s="1"/>
  <c r="D111" i="1"/>
  <c r="E111" i="1" s="1"/>
  <c r="G111" i="1" s="1"/>
  <c r="D112" i="1"/>
  <c r="E112" i="1" s="1"/>
  <c r="D113" i="1"/>
  <c r="E113" i="1" s="1"/>
  <c r="D114" i="1"/>
  <c r="E114" i="1" s="1"/>
  <c r="G114" i="1" s="1"/>
  <c r="D115" i="1"/>
  <c r="E115" i="1" s="1"/>
  <c r="D116" i="1"/>
  <c r="E116" i="1" s="1"/>
  <c r="D117" i="1"/>
  <c r="D118" i="1"/>
  <c r="E118" i="1" s="1"/>
  <c r="D119" i="1"/>
  <c r="E119" i="1" s="1"/>
  <c r="G119" i="1" s="1"/>
  <c r="D120" i="1"/>
  <c r="E120" i="1" s="1"/>
  <c r="D121" i="1"/>
  <c r="E121" i="1" s="1"/>
  <c r="G121" i="1" s="1"/>
  <c r="D122" i="1"/>
  <c r="E122" i="1" s="1"/>
  <c r="D123" i="1"/>
  <c r="E123" i="1" s="1"/>
  <c r="D124" i="1"/>
  <c r="D125" i="1"/>
  <c r="E125" i="1" s="1"/>
  <c r="D126" i="1"/>
  <c r="E126" i="1" s="1"/>
  <c r="D127" i="1"/>
  <c r="E127" i="1" s="1"/>
  <c r="G127" i="1" s="1"/>
  <c r="D128" i="1"/>
  <c r="D129" i="1"/>
  <c r="E129" i="1" s="1"/>
  <c r="G129" i="1" s="1"/>
  <c r="D130" i="1"/>
  <c r="E130" i="1" s="1"/>
  <c r="G130" i="1" s="1"/>
  <c r="D131" i="1"/>
  <c r="E131" i="1" s="1"/>
  <c r="D132" i="1"/>
  <c r="D133" i="1"/>
  <c r="D134" i="1"/>
  <c r="E134" i="1" s="1"/>
  <c r="D135" i="1"/>
  <c r="E135" i="1" s="1"/>
  <c r="D136" i="1"/>
  <c r="E136" i="1" s="1"/>
  <c r="F136" i="1" s="1"/>
  <c r="D137" i="1"/>
  <c r="E137" i="1" s="1"/>
  <c r="D138" i="1"/>
  <c r="E138" i="1" s="1"/>
  <c r="F138" i="1" s="1"/>
  <c r="D139" i="1"/>
  <c r="E139" i="1" s="1"/>
  <c r="D140" i="1"/>
  <c r="E140" i="1" s="1"/>
  <c r="D141" i="1"/>
  <c r="E141" i="1" s="1"/>
  <c r="F141" i="1" s="1"/>
  <c r="D142" i="1"/>
  <c r="E142" i="1" s="1"/>
  <c r="D143" i="1"/>
  <c r="E143" i="1" s="1"/>
  <c r="D144" i="1"/>
  <c r="E144" i="1" s="1"/>
  <c r="D145" i="1"/>
  <c r="E145" i="1" s="1"/>
  <c r="D146" i="1"/>
  <c r="E146" i="1" s="1"/>
  <c r="G146" i="1" s="1"/>
  <c r="D147" i="1"/>
  <c r="E147" i="1" s="1"/>
  <c r="D148" i="1"/>
  <c r="E148" i="1" s="1"/>
  <c r="D149" i="1"/>
  <c r="D150" i="1"/>
  <c r="E150" i="1" s="1"/>
  <c r="D151" i="1"/>
  <c r="D152" i="1"/>
  <c r="E152" i="1" s="1"/>
  <c r="G152" i="1" s="1"/>
  <c r="D153" i="1"/>
  <c r="E153" i="1" s="1"/>
  <c r="G153" i="1" s="1"/>
  <c r="D154" i="1"/>
  <c r="E154" i="1" s="1"/>
  <c r="G154" i="1" s="1"/>
  <c r="D155" i="1"/>
  <c r="E155" i="1" s="1"/>
  <c r="D156" i="1"/>
  <c r="E156" i="1" s="1"/>
  <c r="G156" i="1" s="1"/>
  <c r="D157" i="1"/>
  <c r="E157" i="1" s="1"/>
  <c r="F157" i="1" s="1"/>
  <c r="D158" i="1"/>
  <c r="E158" i="1" s="1"/>
  <c r="D159" i="1"/>
  <c r="D160" i="1"/>
  <c r="D161" i="1"/>
  <c r="E161" i="1" s="1"/>
  <c r="G161" i="1" s="1"/>
  <c r="D162" i="1"/>
  <c r="E162" i="1" s="1"/>
  <c r="G162" i="1" s="1"/>
  <c r="D163" i="1"/>
  <c r="E163" i="1" s="1"/>
  <c r="D164" i="1"/>
  <c r="D165" i="1"/>
  <c r="E165" i="1" s="1"/>
  <c r="D166" i="1"/>
  <c r="E166" i="1" s="1"/>
  <c r="D167" i="1"/>
  <c r="E167" i="1" s="1"/>
  <c r="D168" i="1"/>
  <c r="E168" i="1" s="1"/>
  <c r="G168" i="1" s="1"/>
  <c r="D169" i="1"/>
  <c r="E169" i="1" s="1"/>
  <c r="G169" i="1" s="1"/>
  <c r="D170" i="1"/>
  <c r="E170" i="1" s="1"/>
  <c r="G170" i="1" s="1"/>
  <c r="D171" i="1"/>
  <c r="E171" i="1" s="1"/>
  <c r="D172" i="1"/>
  <c r="E172" i="1" s="1"/>
  <c r="D173" i="1"/>
  <c r="D174" i="1"/>
  <c r="E174" i="1" s="1"/>
  <c r="D175" i="1"/>
  <c r="E175" i="1" s="1"/>
  <c r="G175" i="1" s="1"/>
  <c r="D176" i="1"/>
  <c r="E176" i="1" s="1"/>
  <c r="D177" i="1"/>
  <c r="E177" i="1" s="1"/>
  <c r="D178" i="1"/>
  <c r="E178" i="1" s="1"/>
  <c r="G178" i="1" s="1"/>
  <c r="D179" i="1"/>
  <c r="E179" i="1" s="1"/>
  <c r="D180" i="1"/>
  <c r="E180" i="1" s="1"/>
  <c r="D181" i="1"/>
  <c r="D182" i="1"/>
  <c r="E182" i="1" s="1"/>
  <c r="D183" i="1"/>
  <c r="E183" i="1" s="1"/>
  <c r="G183" i="1" s="1"/>
  <c r="D184" i="1"/>
  <c r="E184" i="1" s="1"/>
  <c r="F184" i="1" s="1"/>
  <c r="D185" i="1"/>
  <c r="E185" i="1" s="1"/>
  <c r="D186" i="1"/>
  <c r="E186" i="1" s="1"/>
  <c r="F186" i="1" s="1"/>
  <c r="D187" i="1"/>
  <c r="E187" i="1" s="1"/>
  <c r="D188" i="1"/>
  <c r="D189" i="1"/>
  <c r="D190" i="1"/>
  <c r="E190" i="1" s="1"/>
  <c r="D191" i="1"/>
  <c r="D192" i="1"/>
  <c r="E192" i="1" s="1"/>
  <c r="D193" i="1"/>
  <c r="E193" i="1" s="1"/>
  <c r="G193" i="1" s="1"/>
  <c r="D194" i="1"/>
  <c r="E194" i="1" s="1"/>
  <c r="G194" i="1" s="1"/>
  <c r="D195" i="1"/>
  <c r="E195" i="1" s="1"/>
  <c r="D196" i="1"/>
  <c r="D197" i="1"/>
  <c r="D198" i="1"/>
  <c r="E198" i="1" s="1"/>
  <c r="D199" i="1"/>
  <c r="E199" i="1" s="1"/>
  <c r="G199" i="1" s="1"/>
  <c r="D200" i="1"/>
  <c r="E200" i="1" s="1"/>
  <c r="G200" i="1" s="1"/>
  <c r="D201" i="1"/>
  <c r="E201" i="1" s="1"/>
  <c r="D202" i="1"/>
  <c r="E202" i="1" s="1"/>
  <c r="F202" i="1" s="1"/>
  <c r="D203" i="1"/>
  <c r="E203" i="1" s="1"/>
  <c r="D204" i="1"/>
  <c r="E204" i="1" s="1"/>
  <c r="D205" i="1"/>
  <c r="D206" i="1"/>
  <c r="E206" i="1" s="1"/>
  <c r="D207" i="1"/>
  <c r="D208" i="1"/>
  <c r="D209" i="1"/>
  <c r="E209" i="1" s="1"/>
  <c r="D210" i="1"/>
  <c r="E210" i="1" s="1"/>
  <c r="F210" i="1" s="1"/>
  <c r="D211" i="1"/>
  <c r="E211" i="1" s="1"/>
  <c r="D212" i="1"/>
  <c r="E212" i="1" s="1"/>
  <c r="D213" i="1"/>
  <c r="E213" i="1" s="1"/>
  <c r="D214" i="1"/>
  <c r="E214" i="1" s="1"/>
  <c r="D215" i="1"/>
  <c r="E215" i="1" s="1"/>
  <c r="G215" i="1" s="1"/>
  <c r="D216" i="1"/>
  <c r="E216" i="1" s="1"/>
  <c r="G216" i="1" s="1"/>
  <c r="D217" i="1"/>
  <c r="E217" i="1" s="1"/>
  <c r="G217" i="1" s="1"/>
  <c r="D218" i="1"/>
  <c r="E218" i="1" s="1"/>
  <c r="G218" i="1" s="1"/>
  <c r="D219" i="1"/>
  <c r="E219" i="1" s="1"/>
  <c r="D220" i="1"/>
  <c r="D221" i="1"/>
  <c r="D222" i="1"/>
  <c r="E222" i="1" s="1"/>
  <c r="D223" i="1"/>
  <c r="E223" i="1" s="1"/>
  <c r="D224" i="1"/>
  <c r="E224" i="1" s="1"/>
  <c r="D225" i="1"/>
  <c r="E225" i="1" s="1"/>
  <c r="G225" i="1" s="1"/>
  <c r="D226" i="1"/>
  <c r="E226" i="1" s="1"/>
  <c r="G226" i="1" s="1"/>
  <c r="D227" i="1"/>
  <c r="E227" i="1" s="1"/>
  <c r="D228" i="1"/>
  <c r="D229" i="1"/>
  <c r="E229" i="1" s="1"/>
  <c r="F229" i="1" s="1"/>
  <c r="D230" i="1"/>
  <c r="E230" i="1" s="1"/>
  <c r="D232" i="1"/>
  <c r="E232" i="1" s="1"/>
  <c r="D233" i="1"/>
  <c r="D235" i="1"/>
  <c r="E235" i="1" s="1"/>
  <c r="G235" i="1" s="1"/>
  <c r="D236" i="1"/>
  <c r="D237" i="1"/>
  <c r="D238" i="1"/>
  <c r="D239" i="1"/>
  <c r="E239" i="1" s="1"/>
  <c r="F239" i="1" s="1"/>
  <c r="D240" i="1"/>
  <c r="E240" i="1" s="1"/>
  <c r="F240" i="1" s="1"/>
  <c r="D241" i="1"/>
  <c r="E241" i="1" s="1"/>
  <c r="G241" i="1" s="1"/>
  <c r="D242" i="1"/>
  <c r="E242" i="1" s="1"/>
  <c r="G242" i="1" s="1"/>
  <c r="D243" i="1"/>
  <c r="E243" i="1" s="1"/>
  <c r="G243" i="1" s="1"/>
  <c r="D244" i="1"/>
  <c r="E244" i="1" s="1"/>
  <c r="D245" i="1"/>
  <c r="E245" i="1" s="1"/>
  <c r="D246" i="1"/>
  <c r="E246" i="1" s="1"/>
  <c r="D44" i="1"/>
  <c r="D43" i="1"/>
  <c r="E43" i="1" s="1"/>
  <c r="D42" i="1"/>
  <c r="E42" i="1" s="1"/>
  <c r="BB40" i="1"/>
  <c r="BB41" i="1"/>
  <c r="L202" i="1" l="1"/>
  <c r="K202" i="1"/>
  <c r="G201" i="1"/>
  <c r="F201" i="1"/>
  <c r="G57" i="1"/>
  <c r="F57" i="1"/>
  <c r="F224" i="1"/>
  <c r="G224" i="1"/>
  <c r="G192" i="1"/>
  <c r="F192" i="1"/>
  <c r="G176" i="1"/>
  <c r="F176" i="1"/>
  <c r="F144" i="1"/>
  <c r="G144" i="1"/>
  <c r="F120" i="1"/>
  <c r="G120" i="1"/>
  <c r="F112" i="1"/>
  <c r="G112" i="1"/>
  <c r="F88" i="1"/>
  <c r="G88" i="1"/>
  <c r="F72" i="1"/>
  <c r="G72" i="1"/>
  <c r="G223" i="1"/>
  <c r="F223" i="1"/>
  <c r="L91" i="1"/>
  <c r="K91" i="1"/>
  <c r="F143" i="1"/>
  <c r="G143" i="1"/>
  <c r="F71" i="1"/>
  <c r="G71" i="1"/>
  <c r="L186" i="1"/>
  <c r="K186" i="1"/>
  <c r="K241" i="1"/>
  <c r="L241" i="1"/>
  <c r="K177" i="1"/>
  <c r="L177" i="1"/>
  <c r="L242" i="1"/>
  <c r="K242" i="1"/>
  <c r="L122" i="1"/>
  <c r="K122" i="1"/>
  <c r="G73" i="1"/>
  <c r="F73" i="1"/>
  <c r="F133" i="1"/>
  <c r="G133" i="1"/>
  <c r="G208" i="1"/>
  <c r="G157" i="1"/>
  <c r="G96" i="1"/>
  <c r="G48" i="1"/>
  <c r="U168" i="1"/>
  <c r="V168" i="1"/>
  <c r="U112" i="1"/>
  <c r="V112" i="1"/>
  <c r="U88" i="1"/>
  <c r="V88" i="1"/>
  <c r="U56" i="1"/>
  <c r="V56" i="1"/>
  <c r="G87" i="1"/>
  <c r="F87" i="1"/>
  <c r="F169" i="1"/>
  <c r="F121" i="1"/>
  <c r="G207" i="1"/>
  <c r="L207" i="1"/>
  <c r="K207" i="1"/>
  <c r="L167" i="1"/>
  <c r="K167" i="1"/>
  <c r="K143" i="1"/>
  <c r="L143" i="1"/>
  <c r="L47" i="1"/>
  <c r="K47" i="1"/>
  <c r="K231" i="1"/>
  <c r="L231" i="1"/>
  <c r="L146" i="1"/>
  <c r="K146" i="1"/>
  <c r="L82" i="1"/>
  <c r="K82" i="1"/>
  <c r="K162" i="1"/>
  <c r="Z241" i="1"/>
  <c r="AA241" i="1"/>
  <c r="Z233" i="1"/>
  <c r="AA233" i="1"/>
  <c r="F101" i="1"/>
  <c r="G101" i="1"/>
  <c r="F85" i="1"/>
  <c r="G85" i="1"/>
  <c r="F216" i="1"/>
  <c r="F168" i="1"/>
  <c r="F56" i="1"/>
  <c r="K102" i="1"/>
  <c r="L102" i="1"/>
  <c r="K230" i="1"/>
  <c r="L230" i="1"/>
  <c r="P245" i="1"/>
  <c r="Q245" i="1"/>
  <c r="P213" i="1"/>
  <c r="Q213" i="1"/>
  <c r="P197" i="1"/>
  <c r="Q197" i="1"/>
  <c r="P133" i="1"/>
  <c r="Q133" i="1"/>
  <c r="P117" i="1"/>
  <c r="Q117" i="1"/>
  <c r="G105" i="1"/>
  <c r="F105" i="1"/>
  <c r="G233" i="1"/>
  <c r="F233" i="1"/>
  <c r="F103" i="1"/>
  <c r="G189" i="1"/>
  <c r="G136" i="1"/>
  <c r="L226" i="1"/>
  <c r="K226" i="1"/>
  <c r="L106" i="1"/>
  <c r="K106" i="1"/>
  <c r="L79" i="1"/>
  <c r="K79" i="1"/>
  <c r="P172" i="1"/>
  <c r="Q172" i="1"/>
  <c r="Q156" i="1"/>
  <c r="P156" i="1"/>
  <c r="Q116" i="1"/>
  <c r="P116" i="1"/>
  <c r="Q92" i="1"/>
  <c r="P92" i="1"/>
  <c r="Q60" i="1"/>
  <c r="P60" i="1"/>
  <c r="V221" i="1"/>
  <c r="U221" i="1"/>
  <c r="V181" i="1"/>
  <c r="U181" i="1"/>
  <c r="U93" i="1"/>
  <c r="V93" i="1"/>
  <c r="L111" i="1"/>
  <c r="G185" i="1"/>
  <c r="F185" i="1"/>
  <c r="G64" i="1"/>
  <c r="F64" i="1"/>
  <c r="F232" i="1"/>
  <c r="G232" i="1"/>
  <c r="G167" i="1"/>
  <c r="F167" i="1"/>
  <c r="G135" i="1"/>
  <c r="F135" i="1"/>
  <c r="F149" i="1"/>
  <c r="G149" i="1"/>
  <c r="F243" i="1"/>
  <c r="F199" i="1"/>
  <c r="G229" i="1"/>
  <c r="G184" i="1"/>
  <c r="K203" i="1"/>
  <c r="L203" i="1"/>
  <c r="K139" i="1"/>
  <c r="L139" i="1"/>
  <c r="K75" i="1"/>
  <c r="L75" i="1"/>
  <c r="L66" i="1"/>
  <c r="K66" i="1"/>
  <c r="L103" i="1"/>
  <c r="Q202" i="1"/>
  <c r="P202" i="1"/>
  <c r="AF245" i="1"/>
  <c r="AE245" i="1"/>
  <c r="G44" i="1"/>
  <c r="F44" i="1"/>
  <c r="F200" i="1"/>
  <c r="F151" i="1"/>
  <c r="K217" i="1"/>
  <c r="L217" i="1"/>
  <c r="F69" i="1"/>
  <c r="G69" i="1"/>
  <c r="F237" i="1"/>
  <c r="F80" i="1"/>
  <c r="G160" i="1"/>
  <c r="L234" i="1"/>
  <c r="K234" i="1"/>
  <c r="L210" i="1"/>
  <c r="K210" i="1"/>
  <c r="L194" i="1"/>
  <c r="K194" i="1"/>
  <c r="L178" i="1"/>
  <c r="K178" i="1"/>
  <c r="L170" i="1"/>
  <c r="K170" i="1"/>
  <c r="L154" i="1"/>
  <c r="K154" i="1"/>
  <c r="L130" i="1"/>
  <c r="K130" i="1"/>
  <c r="L114" i="1"/>
  <c r="K114" i="1"/>
  <c r="L90" i="1"/>
  <c r="K90" i="1"/>
  <c r="L58" i="1"/>
  <c r="K58" i="1"/>
  <c r="L50" i="1"/>
  <c r="K50" i="1"/>
  <c r="K214" i="1"/>
  <c r="L214" i="1"/>
  <c r="G137" i="1"/>
  <c r="F137" i="1"/>
  <c r="F213" i="1"/>
  <c r="G213" i="1"/>
  <c r="F165" i="1"/>
  <c r="G165" i="1"/>
  <c r="F125" i="1"/>
  <c r="G125" i="1"/>
  <c r="F61" i="1"/>
  <c r="G61" i="1"/>
  <c r="F45" i="1"/>
  <c r="G45" i="1"/>
  <c r="F221" i="1"/>
  <c r="G221" i="1"/>
  <c r="F235" i="1"/>
  <c r="F128" i="1"/>
  <c r="G159" i="1"/>
  <c r="K153" i="1"/>
  <c r="L153" i="1"/>
  <c r="K113" i="1"/>
  <c r="L113" i="1"/>
  <c r="K89" i="1"/>
  <c r="L89" i="1"/>
  <c r="K49" i="1"/>
  <c r="L49" i="1"/>
  <c r="K150" i="1"/>
  <c r="L150" i="1"/>
  <c r="P44" i="1"/>
  <c r="Q44" i="1"/>
  <c r="Q232" i="1"/>
  <c r="P232" i="1"/>
  <c r="Q200" i="1"/>
  <c r="P200" i="1"/>
  <c r="AJ135" i="1"/>
  <c r="AK135" i="1"/>
  <c r="AK103" i="1"/>
  <c r="AJ103" i="1"/>
  <c r="AT68" i="1"/>
  <c r="AU68" i="1"/>
  <c r="F154" i="1"/>
  <c r="G210" i="1"/>
  <c r="L180" i="1"/>
  <c r="K180" i="1"/>
  <c r="L52" i="1"/>
  <c r="K52" i="1"/>
  <c r="K245" i="1"/>
  <c r="K141" i="1"/>
  <c r="K109" i="1"/>
  <c r="Q244" i="1"/>
  <c r="Q148" i="1"/>
  <c r="Q52" i="1"/>
  <c r="U175" i="1"/>
  <c r="V175" i="1"/>
  <c r="U135" i="1"/>
  <c r="V135" i="1"/>
  <c r="U79" i="1"/>
  <c r="V79" i="1"/>
  <c r="U111" i="1"/>
  <c r="V111" i="1"/>
  <c r="U245" i="1"/>
  <c r="U148" i="1"/>
  <c r="U46" i="1"/>
  <c r="V165" i="1"/>
  <c r="V63" i="1"/>
  <c r="AA144" i="1"/>
  <c r="Z144" i="1"/>
  <c r="AA80" i="1"/>
  <c r="Z80" i="1"/>
  <c r="AA208" i="1"/>
  <c r="Z208" i="1"/>
  <c r="Z181" i="1"/>
  <c r="AE178" i="1"/>
  <c r="AF178" i="1"/>
  <c r="AK48" i="1"/>
  <c r="AJ48" i="1"/>
  <c r="AO54" i="1"/>
  <c r="AP54" i="1"/>
  <c r="Q236" i="1"/>
  <c r="U174" i="1"/>
  <c r="V174" i="1"/>
  <c r="U160" i="1"/>
  <c r="V160" i="1"/>
  <c r="U244" i="1"/>
  <c r="U140" i="1"/>
  <c r="Z74" i="1"/>
  <c r="AA74" i="1"/>
  <c r="Z173" i="1"/>
  <c r="AE114" i="1"/>
  <c r="AF114" i="1"/>
  <c r="AF169" i="1"/>
  <c r="AE169" i="1"/>
  <c r="AE65" i="1"/>
  <c r="AJ231" i="1"/>
  <c r="AK231" i="1"/>
  <c r="AJ223" i="1"/>
  <c r="AK223" i="1"/>
  <c r="AK111" i="1"/>
  <c r="AJ111" i="1"/>
  <c r="AK47" i="1"/>
  <c r="AJ47" i="1"/>
  <c r="AZ240" i="1"/>
  <c r="AY240" i="1"/>
  <c r="P68" i="1"/>
  <c r="Q68" i="1"/>
  <c r="P106" i="1"/>
  <c r="V149" i="1"/>
  <c r="U149" i="1"/>
  <c r="U236" i="1"/>
  <c r="V238" i="1"/>
  <c r="V151" i="1"/>
  <c r="AA182" i="1"/>
  <c r="Z182" i="1"/>
  <c r="AA118" i="1"/>
  <c r="Z118" i="1"/>
  <c r="AA70" i="1"/>
  <c r="Z70" i="1"/>
  <c r="Z62" i="1"/>
  <c r="AA62" i="1"/>
  <c r="AA101" i="1"/>
  <c r="AE167" i="1"/>
  <c r="AF122" i="1"/>
  <c r="V220" i="1"/>
  <c r="U220" i="1"/>
  <c r="V204" i="1"/>
  <c r="U204" i="1"/>
  <c r="V180" i="1"/>
  <c r="U180" i="1"/>
  <c r="V172" i="1"/>
  <c r="U172" i="1"/>
  <c r="V156" i="1"/>
  <c r="U156" i="1"/>
  <c r="V124" i="1"/>
  <c r="U124" i="1"/>
  <c r="V116" i="1"/>
  <c r="U116" i="1"/>
  <c r="V100" i="1"/>
  <c r="U100" i="1"/>
  <c r="V60" i="1"/>
  <c r="U60" i="1"/>
  <c r="V52" i="1"/>
  <c r="U52" i="1"/>
  <c r="V44" i="1"/>
  <c r="U44" i="1"/>
  <c r="U62" i="1"/>
  <c r="V62" i="1"/>
  <c r="U212" i="1"/>
  <c r="U108" i="1"/>
  <c r="V229" i="1"/>
  <c r="V150" i="1"/>
  <c r="AA245" i="1"/>
  <c r="Z245" i="1"/>
  <c r="AA221" i="1"/>
  <c r="Z221" i="1"/>
  <c r="Z205" i="1"/>
  <c r="AA205" i="1"/>
  <c r="AA157" i="1"/>
  <c r="Z157" i="1"/>
  <c r="AA93" i="1"/>
  <c r="Z93" i="1"/>
  <c r="Z69" i="1"/>
  <c r="AA69" i="1"/>
  <c r="AA53" i="1"/>
  <c r="Z53" i="1"/>
  <c r="AA160" i="1"/>
  <c r="Z160" i="1"/>
  <c r="AA96" i="1"/>
  <c r="Z96" i="1"/>
  <c r="Z246" i="1"/>
  <c r="Z141" i="1"/>
  <c r="AA206" i="1"/>
  <c r="AO126" i="1"/>
  <c r="AP126" i="1"/>
  <c r="Q204" i="1"/>
  <c r="U216" i="1"/>
  <c r="V216" i="1"/>
  <c r="AF231" i="1"/>
  <c r="AE231" i="1"/>
  <c r="AF207" i="1"/>
  <c r="AE207" i="1"/>
  <c r="AF199" i="1"/>
  <c r="AE199" i="1"/>
  <c r="AF191" i="1"/>
  <c r="AE191" i="1"/>
  <c r="AF183" i="1"/>
  <c r="AE183" i="1"/>
  <c r="AF135" i="1"/>
  <c r="AE135" i="1"/>
  <c r="AF127" i="1"/>
  <c r="AE127" i="1"/>
  <c r="AF119" i="1"/>
  <c r="AE119" i="1"/>
  <c r="AF103" i="1"/>
  <c r="AE103" i="1"/>
  <c r="AF79" i="1"/>
  <c r="AE79" i="1"/>
  <c r="AF63" i="1"/>
  <c r="AE63" i="1"/>
  <c r="AF55" i="1"/>
  <c r="AE55" i="1"/>
  <c r="AE97" i="1"/>
  <c r="AF97" i="1"/>
  <c r="AE143" i="1"/>
  <c r="AT188" i="1"/>
  <c r="AU188" i="1"/>
  <c r="AT156" i="1"/>
  <c r="AU156" i="1"/>
  <c r="AT140" i="1"/>
  <c r="AU140" i="1"/>
  <c r="AT124" i="1"/>
  <c r="AU124" i="1"/>
  <c r="AT100" i="1"/>
  <c r="AU100" i="1"/>
  <c r="AT92" i="1"/>
  <c r="AU92" i="1"/>
  <c r="AU143" i="1"/>
  <c r="AT143" i="1"/>
  <c r="BD89" i="1"/>
  <c r="BE89" i="1"/>
  <c r="F162" i="1"/>
  <c r="K149" i="1"/>
  <c r="K116" i="1"/>
  <c r="Q220" i="1"/>
  <c r="P220" i="1"/>
  <c r="Q124" i="1"/>
  <c r="P124" i="1"/>
  <c r="P180" i="1"/>
  <c r="Q84" i="1"/>
  <c r="V50" i="1"/>
  <c r="U50" i="1"/>
  <c r="U189" i="1"/>
  <c r="U92" i="1"/>
  <c r="V118" i="1"/>
  <c r="Z109" i="1"/>
  <c r="AJ211" i="1"/>
  <c r="AK211" i="1"/>
  <c r="AK187" i="1"/>
  <c r="AJ187" i="1"/>
  <c r="AK179" i="1"/>
  <c r="AJ179" i="1"/>
  <c r="AJ155" i="1"/>
  <c r="AK155" i="1"/>
  <c r="AK147" i="1"/>
  <c r="AJ147" i="1"/>
  <c r="AJ75" i="1"/>
  <c r="AK75" i="1"/>
  <c r="AP151" i="1"/>
  <c r="AO151" i="1"/>
  <c r="AP95" i="1"/>
  <c r="AO95" i="1"/>
  <c r="AP79" i="1"/>
  <c r="AO79" i="1"/>
  <c r="BE236" i="1"/>
  <c r="BD236" i="1"/>
  <c r="BD212" i="1"/>
  <c r="BE212" i="1"/>
  <c r="BD148" i="1"/>
  <c r="BE148" i="1"/>
  <c r="P229" i="1"/>
  <c r="Q229" i="1"/>
  <c r="P181" i="1"/>
  <c r="Q181" i="1"/>
  <c r="F90" i="1"/>
  <c r="G197" i="1"/>
  <c r="G66" i="1"/>
  <c r="K205" i="1"/>
  <c r="K173" i="1"/>
  <c r="K53" i="1"/>
  <c r="P91" i="1"/>
  <c r="Q91" i="1"/>
  <c r="P163" i="1"/>
  <c r="P50" i="1"/>
  <c r="Q77" i="1"/>
  <c r="U188" i="1"/>
  <c r="U84" i="1"/>
  <c r="V191" i="1"/>
  <c r="Z226" i="1"/>
  <c r="AA226" i="1"/>
  <c r="Z202" i="1"/>
  <c r="AA202" i="1"/>
  <c r="Z162" i="1"/>
  <c r="AA162" i="1"/>
  <c r="Z229" i="1"/>
  <c r="AA165" i="1"/>
  <c r="AE237" i="1"/>
  <c r="AF237" i="1"/>
  <c r="AE229" i="1"/>
  <c r="AF229" i="1"/>
  <c r="AE173" i="1"/>
  <c r="AF173" i="1"/>
  <c r="AE165" i="1"/>
  <c r="AF165" i="1"/>
  <c r="AF149" i="1"/>
  <c r="AE149" i="1"/>
  <c r="AE109" i="1"/>
  <c r="AF109" i="1"/>
  <c r="AE101" i="1"/>
  <c r="AF101" i="1"/>
  <c r="AE93" i="1"/>
  <c r="AF93" i="1"/>
  <c r="AO246" i="1"/>
  <c r="AP246" i="1"/>
  <c r="AO205" i="1"/>
  <c r="AP205" i="1"/>
  <c r="F226" i="1"/>
  <c r="L157" i="1"/>
  <c r="K157" i="1"/>
  <c r="K229" i="1"/>
  <c r="K85" i="1"/>
  <c r="Q114" i="1"/>
  <c r="P114" i="1"/>
  <c r="Q82" i="1"/>
  <c r="P82" i="1"/>
  <c r="Q74" i="1"/>
  <c r="P74" i="1"/>
  <c r="Q76" i="1"/>
  <c r="U224" i="1"/>
  <c r="V224" i="1"/>
  <c r="U184" i="1"/>
  <c r="V184" i="1"/>
  <c r="U136" i="1"/>
  <c r="V136" i="1"/>
  <c r="U120" i="1"/>
  <c r="V120" i="1"/>
  <c r="U143" i="1"/>
  <c r="V143" i="1"/>
  <c r="U47" i="1"/>
  <c r="V47" i="1"/>
  <c r="U76" i="1"/>
  <c r="V96" i="1"/>
  <c r="Z89" i="1"/>
  <c r="AA89" i="1"/>
  <c r="Z198" i="1"/>
  <c r="Z77" i="1"/>
  <c r="AA133" i="1"/>
  <c r="AF108" i="1"/>
  <c r="AE108" i="1"/>
  <c r="AE221" i="1"/>
  <c r="AE71" i="1"/>
  <c r="AF147" i="1"/>
  <c r="AK236" i="1"/>
  <c r="AJ236" i="1"/>
  <c r="AJ182" i="1"/>
  <c r="AO189" i="1"/>
  <c r="AP189" i="1"/>
  <c r="AO173" i="1"/>
  <c r="AP173" i="1"/>
  <c r="AO141" i="1"/>
  <c r="AP141" i="1"/>
  <c r="AO215" i="1"/>
  <c r="AP157" i="1"/>
  <c r="AY121" i="1"/>
  <c r="AP230" i="1"/>
  <c r="AO230" i="1"/>
  <c r="AP198" i="1"/>
  <c r="AO198" i="1"/>
  <c r="AO182" i="1"/>
  <c r="AP182" i="1"/>
  <c r="AO174" i="1"/>
  <c r="AP174" i="1"/>
  <c r="AO118" i="1"/>
  <c r="AP118" i="1"/>
  <c r="AP110" i="1"/>
  <c r="AO110" i="1"/>
  <c r="AT219" i="1"/>
  <c r="AU219" i="1"/>
  <c r="AU195" i="1"/>
  <c r="AT195" i="1"/>
  <c r="AU163" i="1"/>
  <c r="BD171" i="1"/>
  <c r="BE171" i="1"/>
  <c r="BD185" i="1"/>
  <c r="BE185" i="1"/>
  <c r="U234" i="1"/>
  <c r="V226" i="1"/>
  <c r="Z224" i="1"/>
  <c r="AE66" i="1"/>
  <c r="AF66" i="1"/>
  <c r="AE50" i="1"/>
  <c r="AF50" i="1"/>
  <c r="AE46" i="1"/>
  <c r="AK246" i="1"/>
  <c r="AJ246" i="1"/>
  <c r="AJ116" i="1"/>
  <c r="AP170" i="1"/>
  <c r="AO170" i="1"/>
  <c r="AP122" i="1"/>
  <c r="AO122" i="1"/>
  <c r="AP106" i="1"/>
  <c r="AO106" i="1"/>
  <c r="AP82" i="1"/>
  <c r="AO82" i="1"/>
  <c r="AP58" i="1"/>
  <c r="AO58" i="1"/>
  <c r="AP50" i="1"/>
  <c r="AO50" i="1"/>
  <c r="AP156" i="1"/>
  <c r="AO156" i="1"/>
  <c r="AY177" i="1"/>
  <c r="Q67" i="1"/>
  <c r="AF242" i="1"/>
  <c r="AK245" i="1"/>
  <c r="AJ245" i="1"/>
  <c r="AK213" i="1"/>
  <c r="AJ213" i="1"/>
  <c r="AO109" i="1"/>
  <c r="AP109" i="1"/>
  <c r="AU201" i="1"/>
  <c r="AT201" i="1"/>
  <c r="AZ169" i="1"/>
  <c r="AY169" i="1"/>
  <c r="BD238" i="1"/>
  <c r="BE238" i="1"/>
  <c r="BE174" i="1"/>
  <c r="BD174" i="1"/>
  <c r="BD113" i="1"/>
  <c r="BE113" i="1"/>
  <c r="BD46" i="1"/>
  <c r="Q59" i="1"/>
  <c r="AA152" i="1"/>
  <c r="AK148" i="1"/>
  <c r="AJ148" i="1"/>
  <c r="AJ244" i="1"/>
  <c r="AK244" i="1"/>
  <c r="AP186" i="1"/>
  <c r="AO186" i="1"/>
  <c r="AO108" i="1"/>
  <c r="AP108" i="1"/>
  <c r="AY115" i="1"/>
  <c r="AZ115" i="1"/>
  <c r="AY99" i="1"/>
  <c r="AZ99" i="1"/>
  <c r="BE237" i="1"/>
  <c r="BD237" i="1"/>
  <c r="BE125" i="1"/>
  <c r="BD125" i="1"/>
  <c r="BE85" i="1"/>
  <c r="BD85" i="1"/>
  <c r="BE61" i="1"/>
  <c r="BD61" i="1"/>
  <c r="BD153" i="1"/>
  <c r="BE153" i="1"/>
  <c r="AJ98" i="1"/>
  <c r="AK98" i="1"/>
  <c r="AJ70" i="1"/>
  <c r="AP225" i="1"/>
  <c r="AO225" i="1"/>
  <c r="AP49" i="1"/>
  <c r="AO49" i="1"/>
  <c r="AO241" i="1"/>
  <c r="AO97" i="1"/>
  <c r="AU191" i="1"/>
  <c r="AT191" i="1"/>
  <c r="AU95" i="1"/>
  <c r="AT95" i="1"/>
  <c r="AT183" i="1"/>
  <c r="AU183" i="1"/>
  <c r="AT233" i="1"/>
  <c r="AU243" i="1"/>
  <c r="AU103" i="1"/>
  <c r="BE242" i="1"/>
  <c r="BE123" i="1"/>
  <c r="AK86" i="1"/>
  <c r="AJ86" i="1"/>
  <c r="AU211" i="1"/>
  <c r="AT211" i="1"/>
  <c r="AU179" i="1"/>
  <c r="AT179" i="1"/>
  <c r="AU147" i="1"/>
  <c r="AT147" i="1"/>
  <c r="AU115" i="1"/>
  <c r="AT115" i="1"/>
  <c r="AU159" i="1"/>
  <c r="AT159" i="1"/>
  <c r="AU127" i="1"/>
  <c r="AT127" i="1"/>
  <c r="AZ170" i="1"/>
  <c r="AY170" i="1"/>
  <c r="BE58" i="1"/>
  <c r="AJ172" i="1"/>
  <c r="AO45" i="1"/>
  <c r="AP45" i="1"/>
  <c r="AP237" i="1"/>
  <c r="AU234" i="1"/>
  <c r="AT234" i="1"/>
  <c r="AU58" i="1"/>
  <c r="AT58" i="1"/>
  <c r="AT138" i="1"/>
  <c r="AZ233" i="1"/>
  <c r="AY233" i="1"/>
  <c r="AZ225" i="1"/>
  <c r="AY225" i="1"/>
  <c r="AZ161" i="1"/>
  <c r="AY161" i="1"/>
  <c r="AZ64" i="1"/>
  <c r="AY64" i="1"/>
  <c r="AY217" i="1"/>
  <c r="AY153" i="1"/>
  <c r="AY81" i="1"/>
  <c r="AJ156" i="1"/>
  <c r="AJ101" i="1"/>
  <c r="AK92" i="1"/>
  <c r="AP131" i="1"/>
  <c r="AO131" i="1"/>
  <c r="AP92" i="1"/>
  <c r="AO92" i="1"/>
  <c r="AP94" i="1"/>
  <c r="AU121" i="1"/>
  <c r="AT121" i="1"/>
  <c r="AU89" i="1"/>
  <c r="AT89" i="1"/>
  <c r="AT130" i="1"/>
  <c r="AU199" i="1"/>
  <c r="AZ208" i="1"/>
  <c r="AY208" i="1"/>
  <c r="AZ144" i="1"/>
  <c r="AY144" i="1"/>
  <c r="AZ96" i="1"/>
  <c r="AY96" i="1"/>
  <c r="AY216" i="1"/>
  <c r="AY152" i="1"/>
  <c r="AY80" i="1"/>
  <c r="AZ72" i="1"/>
  <c r="BD241" i="1"/>
  <c r="BE241" i="1"/>
  <c r="BD217" i="1"/>
  <c r="BE217" i="1"/>
  <c r="BD177" i="1"/>
  <c r="BE177" i="1"/>
  <c r="BD121" i="1"/>
  <c r="BE121" i="1"/>
  <c r="BD57" i="1"/>
  <c r="BE57" i="1"/>
  <c r="BD150" i="1"/>
  <c r="BE145" i="1"/>
  <c r="AT216" i="1"/>
  <c r="AU118" i="1"/>
  <c r="AU86" i="1"/>
  <c r="AU47" i="1"/>
  <c r="AY236" i="1"/>
  <c r="AY111" i="1"/>
  <c r="AZ55" i="1"/>
  <c r="BD199" i="1"/>
  <c r="AO188" i="1"/>
  <c r="AT184" i="1"/>
  <c r="AT152" i="1"/>
  <c r="AT56" i="1"/>
  <c r="AU144" i="1"/>
  <c r="AU80" i="1"/>
  <c r="AY207" i="1"/>
  <c r="AY143" i="1"/>
  <c r="AY103" i="1"/>
  <c r="AZ116" i="1"/>
  <c r="AZ46" i="1"/>
  <c r="BD191" i="1"/>
  <c r="BD71" i="1"/>
  <c r="AT120" i="1"/>
  <c r="AT88" i="1"/>
  <c r="AU215" i="1"/>
  <c r="AY231" i="1"/>
  <c r="AY199" i="1"/>
  <c r="AY167" i="1"/>
  <c r="AY142" i="1"/>
  <c r="AY102" i="1"/>
  <c r="BD183" i="1"/>
  <c r="BD119" i="1"/>
  <c r="BD63" i="1"/>
  <c r="AU104" i="1"/>
  <c r="AU78" i="1"/>
  <c r="AY135" i="1"/>
  <c r="AY63" i="1"/>
  <c r="AZ110" i="1"/>
  <c r="BD175" i="1"/>
  <c r="BD111" i="1"/>
  <c r="F230" i="1"/>
  <c r="G230" i="1"/>
  <c r="F206" i="1"/>
  <c r="G206" i="1"/>
  <c r="F174" i="1"/>
  <c r="G174" i="1"/>
  <c r="F126" i="1"/>
  <c r="G126" i="1"/>
  <c r="F78" i="1"/>
  <c r="G78" i="1"/>
  <c r="F62" i="1"/>
  <c r="G62" i="1"/>
  <c r="Q241" i="1"/>
  <c r="P241" i="1"/>
  <c r="Q233" i="1"/>
  <c r="P233" i="1"/>
  <c r="Q225" i="1"/>
  <c r="P225" i="1"/>
  <c r="Q209" i="1"/>
  <c r="P209" i="1"/>
  <c r="Q201" i="1"/>
  <c r="P201" i="1"/>
  <c r="Q193" i="1"/>
  <c r="P193" i="1"/>
  <c r="Q177" i="1"/>
  <c r="P177" i="1"/>
  <c r="Q169" i="1"/>
  <c r="P169" i="1"/>
  <c r="Q161" i="1"/>
  <c r="P161" i="1"/>
  <c r="Q145" i="1"/>
  <c r="P145" i="1"/>
  <c r="Q137" i="1"/>
  <c r="P137" i="1"/>
  <c r="Q129" i="1"/>
  <c r="P129" i="1"/>
  <c r="Q113" i="1"/>
  <c r="P113" i="1"/>
  <c r="Q105" i="1"/>
  <c r="P105" i="1"/>
  <c r="Q97" i="1"/>
  <c r="P97" i="1"/>
  <c r="Q81" i="1"/>
  <c r="P81" i="1"/>
  <c r="Q65" i="1"/>
  <c r="P65" i="1"/>
  <c r="P224" i="1"/>
  <c r="Q224" i="1"/>
  <c r="P192" i="1"/>
  <c r="Q192" i="1"/>
  <c r="P160" i="1"/>
  <c r="Q160" i="1"/>
  <c r="P128" i="1"/>
  <c r="Q128" i="1"/>
  <c r="P96" i="1"/>
  <c r="Q96" i="1"/>
  <c r="Q80" i="1"/>
  <c r="P80" i="1"/>
  <c r="Q48" i="1"/>
  <c r="P48" i="1"/>
  <c r="F182" i="1"/>
  <c r="G182" i="1"/>
  <c r="F102" i="1"/>
  <c r="G102" i="1"/>
  <c r="F54" i="1"/>
  <c r="G54" i="1"/>
  <c r="K240" i="1"/>
  <c r="L240" i="1"/>
  <c r="K224" i="1"/>
  <c r="L224" i="1"/>
  <c r="K216" i="1"/>
  <c r="L216" i="1"/>
  <c r="K208" i="1"/>
  <c r="L208" i="1"/>
  <c r="K192" i="1"/>
  <c r="L192" i="1"/>
  <c r="K184" i="1"/>
  <c r="L184" i="1"/>
  <c r="K176" i="1"/>
  <c r="L176" i="1"/>
  <c r="K160" i="1"/>
  <c r="L160" i="1"/>
  <c r="K152" i="1"/>
  <c r="L152" i="1"/>
  <c r="K144" i="1"/>
  <c r="L144" i="1"/>
  <c r="K128" i="1"/>
  <c r="L128" i="1"/>
  <c r="K120" i="1"/>
  <c r="L120" i="1"/>
  <c r="K112" i="1"/>
  <c r="L112" i="1"/>
  <c r="K96" i="1"/>
  <c r="L96" i="1"/>
  <c r="K88" i="1"/>
  <c r="L88" i="1"/>
  <c r="K80" i="1"/>
  <c r="L80" i="1"/>
  <c r="K64" i="1"/>
  <c r="L64" i="1"/>
  <c r="K56" i="1"/>
  <c r="L56" i="1"/>
  <c r="K48" i="1"/>
  <c r="L48" i="1"/>
  <c r="Q43" i="1"/>
  <c r="P43" i="1"/>
  <c r="Q87" i="1"/>
  <c r="P87" i="1"/>
  <c r="P79" i="1"/>
  <c r="Q79" i="1"/>
  <c r="Q71" i="1"/>
  <c r="P71" i="1"/>
  <c r="Q63" i="1"/>
  <c r="P63" i="1"/>
  <c r="Q55" i="1"/>
  <c r="P55" i="1"/>
  <c r="AA212" i="1"/>
  <c r="Z212" i="1"/>
  <c r="AA196" i="1"/>
  <c r="Z196" i="1"/>
  <c r="AA148" i="1"/>
  <c r="Z148" i="1"/>
  <c r="AA132" i="1"/>
  <c r="Z132" i="1"/>
  <c r="AA76" i="1"/>
  <c r="Z76" i="1"/>
  <c r="AA68" i="1"/>
  <c r="Z68" i="1"/>
  <c r="F134" i="1"/>
  <c r="G134" i="1"/>
  <c r="P78" i="1"/>
  <c r="Q78" i="1"/>
  <c r="P70" i="1"/>
  <c r="Q70" i="1"/>
  <c r="F142" i="1"/>
  <c r="G142" i="1"/>
  <c r="V233" i="1"/>
  <c r="U233" i="1"/>
  <c r="V193" i="1"/>
  <c r="U193" i="1"/>
  <c r="V177" i="1"/>
  <c r="U177" i="1"/>
  <c r="V169" i="1"/>
  <c r="U169" i="1"/>
  <c r="V161" i="1"/>
  <c r="U161" i="1"/>
  <c r="V145" i="1"/>
  <c r="U145" i="1"/>
  <c r="V137" i="1"/>
  <c r="U137" i="1"/>
  <c r="V129" i="1"/>
  <c r="U129" i="1"/>
  <c r="V113" i="1"/>
  <c r="U113" i="1"/>
  <c r="V97" i="1"/>
  <c r="U97" i="1"/>
  <c r="V81" i="1"/>
  <c r="U81" i="1"/>
  <c r="V73" i="1"/>
  <c r="U73" i="1"/>
  <c r="V65" i="1"/>
  <c r="U65" i="1"/>
  <c r="V49" i="1"/>
  <c r="U49" i="1"/>
  <c r="F166" i="1"/>
  <c r="G166" i="1"/>
  <c r="F214" i="1"/>
  <c r="G214" i="1"/>
  <c r="F198" i="1"/>
  <c r="G198" i="1"/>
  <c r="F158" i="1"/>
  <c r="G158" i="1"/>
  <c r="F118" i="1"/>
  <c r="G118" i="1"/>
  <c r="F94" i="1"/>
  <c r="G94" i="1"/>
  <c r="F70" i="1"/>
  <c r="G70" i="1"/>
  <c r="G212" i="1"/>
  <c r="F212" i="1"/>
  <c r="G180" i="1"/>
  <c r="F180" i="1"/>
  <c r="G116" i="1"/>
  <c r="F116" i="1"/>
  <c r="G52" i="1"/>
  <c r="F52" i="1"/>
  <c r="K110" i="1"/>
  <c r="L110" i="1"/>
  <c r="K46" i="1"/>
  <c r="L46" i="1"/>
  <c r="V241" i="1"/>
  <c r="U241" i="1"/>
  <c r="V225" i="1"/>
  <c r="U225" i="1"/>
  <c r="V209" i="1"/>
  <c r="U209" i="1"/>
  <c r="V201" i="1"/>
  <c r="U201" i="1"/>
  <c r="F245" i="1"/>
  <c r="G245" i="1"/>
  <c r="G231" i="1"/>
  <c r="F231" i="1"/>
  <c r="G244" i="1"/>
  <c r="F244" i="1"/>
  <c r="K246" i="1"/>
  <c r="L246" i="1"/>
  <c r="Q243" i="1"/>
  <c r="P243" i="1"/>
  <c r="Q211" i="1"/>
  <c r="P211" i="1"/>
  <c r="Q179" i="1"/>
  <c r="P179" i="1"/>
  <c r="Q147" i="1"/>
  <c r="P147" i="1"/>
  <c r="Q115" i="1"/>
  <c r="P115" i="1"/>
  <c r="F222" i="1"/>
  <c r="G222" i="1"/>
  <c r="F190" i="1"/>
  <c r="G190" i="1"/>
  <c r="F150" i="1"/>
  <c r="G150" i="1"/>
  <c r="F110" i="1"/>
  <c r="G110" i="1"/>
  <c r="F86" i="1"/>
  <c r="G86" i="1"/>
  <c r="F46" i="1"/>
  <c r="G46" i="1"/>
  <c r="F246" i="1"/>
  <c r="G246" i="1"/>
  <c r="G204" i="1"/>
  <c r="F204" i="1"/>
  <c r="G172" i="1"/>
  <c r="F172" i="1"/>
  <c r="G148" i="1"/>
  <c r="F148" i="1"/>
  <c r="G140" i="1"/>
  <c r="F140" i="1"/>
  <c r="G108" i="1"/>
  <c r="F108" i="1"/>
  <c r="G84" i="1"/>
  <c r="F84" i="1"/>
  <c r="G76" i="1"/>
  <c r="F76" i="1"/>
  <c r="K238" i="1"/>
  <c r="L238" i="1"/>
  <c r="K206" i="1"/>
  <c r="L206" i="1"/>
  <c r="K174" i="1"/>
  <c r="L174" i="1"/>
  <c r="K142" i="1"/>
  <c r="L142" i="1"/>
  <c r="K78" i="1"/>
  <c r="L78" i="1"/>
  <c r="V105" i="1"/>
  <c r="U105" i="1"/>
  <c r="G209" i="1"/>
  <c r="F209" i="1"/>
  <c r="G177" i="1"/>
  <c r="F177" i="1"/>
  <c r="G145" i="1"/>
  <c r="F145" i="1"/>
  <c r="G113" i="1"/>
  <c r="F113" i="1"/>
  <c r="G81" i="1"/>
  <c r="F81" i="1"/>
  <c r="G49" i="1"/>
  <c r="F49" i="1"/>
  <c r="K227" i="1"/>
  <c r="L227" i="1"/>
  <c r="K195" i="1"/>
  <c r="L195" i="1"/>
  <c r="K163" i="1"/>
  <c r="L163" i="1"/>
  <c r="K131" i="1"/>
  <c r="L131" i="1"/>
  <c r="K99" i="1"/>
  <c r="L99" i="1"/>
  <c r="K67" i="1"/>
  <c r="L67" i="1"/>
  <c r="V222" i="1"/>
  <c r="U222" i="1"/>
  <c r="V166" i="1"/>
  <c r="U166" i="1"/>
  <c r="V94" i="1"/>
  <c r="U94" i="1"/>
  <c r="AE224" i="1"/>
  <c r="AF224" i="1"/>
  <c r="AE160" i="1"/>
  <c r="AF160" i="1"/>
  <c r="F241" i="1"/>
  <c r="F188" i="1"/>
  <c r="F124" i="1"/>
  <c r="F60" i="1"/>
  <c r="G240" i="1"/>
  <c r="K235" i="1"/>
  <c r="K196" i="1"/>
  <c r="K183" i="1"/>
  <c r="K171" i="1"/>
  <c r="K132" i="1"/>
  <c r="K119" i="1"/>
  <c r="K107" i="1"/>
  <c r="K68" i="1"/>
  <c r="K55" i="1"/>
  <c r="K43" i="1"/>
  <c r="L233" i="1"/>
  <c r="L222" i="1"/>
  <c r="L169" i="1"/>
  <c r="L158" i="1"/>
  <c r="L105" i="1"/>
  <c r="L94" i="1"/>
  <c r="Q49" i="1"/>
  <c r="P49" i="1"/>
  <c r="P185" i="1"/>
  <c r="P151" i="1"/>
  <c r="P136" i="1"/>
  <c r="P99" i="1"/>
  <c r="Q183" i="1"/>
  <c r="Q168" i="1"/>
  <c r="Q150" i="1"/>
  <c r="V219" i="1"/>
  <c r="U219" i="1"/>
  <c r="V187" i="1"/>
  <c r="U187" i="1"/>
  <c r="V155" i="1"/>
  <c r="U155" i="1"/>
  <c r="V107" i="1"/>
  <c r="U107" i="1"/>
  <c r="V91" i="1"/>
  <c r="U91" i="1"/>
  <c r="V83" i="1"/>
  <c r="U83" i="1"/>
  <c r="V43" i="1"/>
  <c r="U43" i="1"/>
  <c r="U218" i="1"/>
  <c r="V218" i="1"/>
  <c r="U119" i="1"/>
  <c r="V119" i="1"/>
  <c r="U157" i="1"/>
  <c r="U89" i="1"/>
  <c r="U67" i="1"/>
  <c r="V215" i="1"/>
  <c r="V176" i="1"/>
  <c r="V72" i="1"/>
  <c r="Z234" i="1"/>
  <c r="AA234" i="1"/>
  <c r="AA186" i="1"/>
  <c r="Z186" i="1"/>
  <c r="AA122" i="1"/>
  <c r="Z122" i="1"/>
  <c r="AA220" i="1"/>
  <c r="AA180" i="1"/>
  <c r="AE141" i="1"/>
  <c r="AF141" i="1"/>
  <c r="AE59" i="1"/>
  <c r="AF59" i="1"/>
  <c r="AY203" i="1"/>
  <c r="AZ203" i="1"/>
  <c r="AY155" i="1"/>
  <c r="AZ155" i="1"/>
  <c r="AY221" i="1"/>
  <c r="AZ221" i="1"/>
  <c r="AY195" i="1"/>
  <c r="AZ195" i="1"/>
  <c r="F225" i="1"/>
  <c r="F175" i="1"/>
  <c r="F161" i="1"/>
  <c r="F111" i="1"/>
  <c r="F97" i="1"/>
  <c r="F47" i="1"/>
  <c r="G239" i="1"/>
  <c r="K220" i="1"/>
  <c r="K156" i="1"/>
  <c r="K92" i="1"/>
  <c r="L232" i="1"/>
  <c r="L193" i="1"/>
  <c r="L182" i="1"/>
  <c r="L168" i="1"/>
  <c r="L129" i="1"/>
  <c r="L118" i="1"/>
  <c r="L104" i="1"/>
  <c r="L65" i="1"/>
  <c r="L54" i="1"/>
  <c r="Q56" i="1"/>
  <c r="P56" i="1"/>
  <c r="P217" i="1"/>
  <c r="P131" i="1"/>
  <c r="P64" i="1"/>
  <c r="P47" i="1"/>
  <c r="Q215" i="1"/>
  <c r="Q182" i="1"/>
  <c r="Q165" i="1"/>
  <c r="Q149" i="1"/>
  <c r="U231" i="1"/>
  <c r="V231" i="1"/>
  <c r="U159" i="1"/>
  <c r="V159" i="1"/>
  <c r="U117" i="1"/>
  <c r="V117" i="1"/>
  <c r="U103" i="1"/>
  <c r="V103" i="1"/>
  <c r="U61" i="1"/>
  <c r="V61" i="1"/>
  <c r="U235" i="1"/>
  <c r="U203" i="1"/>
  <c r="U171" i="1"/>
  <c r="U139" i="1"/>
  <c r="U123" i="1"/>
  <c r="U106" i="1"/>
  <c r="U86" i="1"/>
  <c r="V232" i="1"/>
  <c r="V214" i="1"/>
  <c r="V114" i="1"/>
  <c r="V66" i="1"/>
  <c r="AA238" i="1"/>
  <c r="Z238" i="1"/>
  <c r="AA230" i="1"/>
  <c r="Z230" i="1"/>
  <c r="AA222" i="1"/>
  <c r="Z222" i="1"/>
  <c r="AA214" i="1"/>
  <c r="Z214" i="1"/>
  <c r="Z174" i="1"/>
  <c r="AA174" i="1"/>
  <c r="AA166" i="1"/>
  <c r="Z166" i="1"/>
  <c r="AA158" i="1"/>
  <c r="Z158" i="1"/>
  <c r="Z150" i="1"/>
  <c r="AA150" i="1"/>
  <c r="AA142" i="1"/>
  <c r="Z142" i="1"/>
  <c r="AA126" i="1"/>
  <c r="Z126" i="1"/>
  <c r="Z110" i="1"/>
  <c r="AA110" i="1"/>
  <c r="AA102" i="1"/>
  <c r="Z102" i="1"/>
  <c r="AA94" i="1"/>
  <c r="Z94" i="1"/>
  <c r="Z86" i="1"/>
  <c r="AA86" i="1"/>
  <c r="AA46" i="1"/>
  <c r="Z46" i="1"/>
  <c r="Z200" i="1"/>
  <c r="AA200" i="1"/>
  <c r="AA58" i="1"/>
  <c r="Z58" i="1"/>
  <c r="Z123" i="1"/>
  <c r="Z84" i="1"/>
  <c r="AA209" i="1"/>
  <c r="AA78" i="1"/>
  <c r="AE77" i="1"/>
  <c r="AF77" i="1"/>
  <c r="AK192" i="1"/>
  <c r="AJ192" i="1"/>
  <c r="AK176" i="1"/>
  <c r="AJ176" i="1"/>
  <c r="AK136" i="1"/>
  <c r="AJ136" i="1"/>
  <c r="AJ104" i="1"/>
  <c r="AK104" i="1"/>
  <c r="AK96" i="1"/>
  <c r="AJ96" i="1"/>
  <c r="Q199" i="1"/>
  <c r="P199" i="1"/>
  <c r="Q240" i="1"/>
  <c r="P240" i="1"/>
  <c r="Q218" i="1"/>
  <c r="P218" i="1"/>
  <c r="Q208" i="1"/>
  <c r="P208" i="1"/>
  <c r="Q186" i="1"/>
  <c r="P186" i="1"/>
  <c r="Q176" i="1"/>
  <c r="P176" i="1"/>
  <c r="Q154" i="1"/>
  <c r="P154" i="1"/>
  <c r="Q144" i="1"/>
  <c r="P144" i="1"/>
  <c r="Q122" i="1"/>
  <c r="P122" i="1"/>
  <c r="Q112" i="1"/>
  <c r="P112" i="1"/>
  <c r="Q214" i="1"/>
  <c r="Q111" i="1"/>
  <c r="Q95" i="1"/>
  <c r="Q45" i="1"/>
  <c r="V121" i="1"/>
  <c r="U121" i="1"/>
  <c r="V57" i="1"/>
  <c r="U57" i="1"/>
  <c r="U144" i="1"/>
  <c r="V144" i="1"/>
  <c r="U58" i="1"/>
  <c r="V58" i="1"/>
  <c r="U45" i="1"/>
  <c r="V45" i="1"/>
  <c r="U217" i="1"/>
  <c r="U185" i="1"/>
  <c r="U153" i="1"/>
  <c r="U102" i="1"/>
  <c r="V230" i="1"/>
  <c r="V213" i="1"/>
  <c r="V190" i="1"/>
  <c r="AA184" i="1"/>
  <c r="Z184" i="1"/>
  <c r="AA120" i="1"/>
  <c r="Z120" i="1"/>
  <c r="Z72" i="1"/>
  <c r="AA72" i="1"/>
  <c r="AE243" i="1"/>
  <c r="AF243" i="1"/>
  <c r="AE235" i="1"/>
  <c r="AF235" i="1"/>
  <c r="AE219" i="1"/>
  <c r="AF219" i="1"/>
  <c r="AE195" i="1"/>
  <c r="AF195" i="1"/>
  <c r="AE179" i="1"/>
  <c r="AF179" i="1"/>
  <c r="AE171" i="1"/>
  <c r="AF171" i="1"/>
  <c r="AE131" i="1"/>
  <c r="AF131" i="1"/>
  <c r="AE115" i="1"/>
  <c r="AF115" i="1"/>
  <c r="AE107" i="1"/>
  <c r="AF107" i="1"/>
  <c r="AE67" i="1"/>
  <c r="AF67" i="1"/>
  <c r="AE51" i="1"/>
  <c r="AF51" i="1"/>
  <c r="AE96" i="1"/>
  <c r="AF96" i="1"/>
  <c r="AJ130" i="1"/>
  <c r="AK130" i="1"/>
  <c r="AP139" i="1"/>
  <c r="AO139" i="1"/>
  <c r="AO125" i="1"/>
  <c r="AP125" i="1"/>
  <c r="G43" i="1"/>
  <c r="F43" i="1"/>
  <c r="K127" i="1"/>
  <c r="P166" i="1"/>
  <c r="Q166" i="1"/>
  <c r="Q88" i="1"/>
  <c r="P88" i="1"/>
  <c r="P61" i="1"/>
  <c r="Q61" i="1"/>
  <c r="P146" i="1"/>
  <c r="P75" i="1"/>
  <c r="Q246" i="1"/>
  <c r="Q195" i="1"/>
  <c r="Q143" i="1"/>
  <c r="Q127" i="1"/>
  <c r="Q109" i="1"/>
  <c r="Q94" i="1"/>
  <c r="Q62" i="1"/>
  <c r="U85" i="1"/>
  <c r="V85" i="1"/>
  <c r="U71" i="1"/>
  <c r="V71" i="1"/>
  <c r="V127" i="1"/>
  <c r="V87" i="1"/>
  <c r="Z244" i="1"/>
  <c r="AA244" i="1"/>
  <c r="Z228" i="1"/>
  <c r="AA228" i="1"/>
  <c r="AA204" i="1"/>
  <c r="Z204" i="1"/>
  <c r="Z188" i="1"/>
  <c r="AA188" i="1"/>
  <c r="AA172" i="1"/>
  <c r="Z172" i="1"/>
  <c r="AA164" i="1"/>
  <c r="Z164" i="1"/>
  <c r="AA156" i="1"/>
  <c r="Z156" i="1"/>
  <c r="AA140" i="1"/>
  <c r="Z140" i="1"/>
  <c r="AA124" i="1"/>
  <c r="Z124" i="1"/>
  <c r="Z116" i="1"/>
  <c r="AA116" i="1"/>
  <c r="AA108" i="1"/>
  <c r="Z108" i="1"/>
  <c r="AA100" i="1"/>
  <c r="Z100" i="1"/>
  <c r="AA52" i="1"/>
  <c r="Z52" i="1"/>
  <c r="AA44" i="1"/>
  <c r="Z44" i="1"/>
  <c r="AA56" i="1"/>
  <c r="Z56" i="1"/>
  <c r="Q103" i="1"/>
  <c r="P103" i="1"/>
  <c r="P230" i="1"/>
  <c r="Q230" i="1"/>
  <c r="F119" i="1"/>
  <c r="K215" i="1"/>
  <c r="K164" i="1"/>
  <c r="K151" i="1"/>
  <c r="K100" i="1"/>
  <c r="L201" i="1"/>
  <c r="L190" i="1"/>
  <c r="L137" i="1"/>
  <c r="L126" i="1"/>
  <c r="L87" i="1"/>
  <c r="L73" i="1"/>
  <c r="L62" i="1"/>
  <c r="Q226" i="1"/>
  <c r="P226" i="1"/>
  <c r="Q216" i="1"/>
  <c r="P216" i="1"/>
  <c r="Q194" i="1"/>
  <c r="P194" i="1"/>
  <c r="Q184" i="1"/>
  <c r="P184" i="1"/>
  <c r="Q162" i="1"/>
  <c r="P162" i="1"/>
  <c r="Q152" i="1"/>
  <c r="P152" i="1"/>
  <c r="Q130" i="1"/>
  <c r="P130" i="1"/>
  <c r="Q120" i="1"/>
  <c r="P120" i="1"/>
  <c r="Q98" i="1"/>
  <c r="P98" i="1"/>
  <c r="P227" i="1"/>
  <c r="P178" i="1"/>
  <c r="P57" i="1"/>
  <c r="Q175" i="1"/>
  <c r="Q159" i="1"/>
  <c r="Q141" i="1"/>
  <c r="Q126" i="1"/>
  <c r="U183" i="1"/>
  <c r="V183" i="1"/>
  <c r="U154" i="1"/>
  <c r="V154" i="1"/>
  <c r="U82" i="1"/>
  <c r="V82" i="1"/>
  <c r="V70" i="1"/>
  <c r="U70" i="1"/>
  <c r="U55" i="1"/>
  <c r="V55" i="1"/>
  <c r="U198" i="1"/>
  <c r="U134" i="1"/>
  <c r="U115" i="1"/>
  <c r="U99" i="1"/>
  <c r="U59" i="1"/>
  <c r="V246" i="1"/>
  <c r="V205" i="1"/>
  <c r="V186" i="1"/>
  <c r="V126" i="1"/>
  <c r="V104" i="1"/>
  <c r="AA243" i="1"/>
  <c r="Z243" i="1"/>
  <c r="AA227" i="1"/>
  <c r="Z227" i="1"/>
  <c r="AA219" i="1"/>
  <c r="Z219" i="1"/>
  <c r="AA211" i="1"/>
  <c r="Z211" i="1"/>
  <c r="AA203" i="1"/>
  <c r="Z203" i="1"/>
  <c r="AA195" i="1"/>
  <c r="Z195" i="1"/>
  <c r="Z179" i="1"/>
  <c r="AA179" i="1"/>
  <c r="Z163" i="1"/>
  <c r="AA163" i="1"/>
  <c r="AA155" i="1"/>
  <c r="Z155" i="1"/>
  <c r="AA139" i="1"/>
  <c r="Z139" i="1"/>
  <c r="AA131" i="1"/>
  <c r="Z131" i="1"/>
  <c r="Z115" i="1"/>
  <c r="AA115" i="1"/>
  <c r="Z99" i="1"/>
  <c r="AA99" i="1"/>
  <c r="Z161" i="1"/>
  <c r="AA161" i="1"/>
  <c r="Z145" i="1"/>
  <c r="AA145" i="1"/>
  <c r="Z97" i="1"/>
  <c r="AA97" i="1"/>
  <c r="Z81" i="1"/>
  <c r="AA81" i="1"/>
  <c r="Z187" i="1"/>
  <c r="AA236" i="1"/>
  <c r="K76" i="1"/>
  <c r="G171" i="1"/>
  <c r="F171" i="1"/>
  <c r="Q191" i="1"/>
  <c r="U206" i="1"/>
  <c r="V206" i="1"/>
  <c r="U95" i="1"/>
  <c r="V95" i="1"/>
  <c r="U53" i="1"/>
  <c r="V53" i="1"/>
  <c r="U243" i="1"/>
  <c r="U227" i="1"/>
  <c r="U195" i="1"/>
  <c r="U179" i="1"/>
  <c r="U163" i="1"/>
  <c r="U147" i="1"/>
  <c r="U131" i="1"/>
  <c r="U75" i="1"/>
  <c r="U54" i="1"/>
  <c r="V242" i="1"/>
  <c r="V125" i="1"/>
  <c r="Z225" i="1"/>
  <c r="AA225" i="1"/>
  <c r="AA60" i="1"/>
  <c r="AE240" i="1"/>
  <c r="AF240" i="1"/>
  <c r="AE216" i="1"/>
  <c r="AF216" i="1"/>
  <c r="AE208" i="1"/>
  <c r="AF208" i="1"/>
  <c r="AE200" i="1"/>
  <c r="AF200" i="1"/>
  <c r="AE184" i="1"/>
  <c r="AF184" i="1"/>
  <c r="AE176" i="1"/>
  <c r="AF176" i="1"/>
  <c r="AE168" i="1"/>
  <c r="AF168" i="1"/>
  <c r="AE152" i="1"/>
  <c r="AF152" i="1"/>
  <c r="AE144" i="1"/>
  <c r="AF144" i="1"/>
  <c r="AE136" i="1"/>
  <c r="AF136" i="1"/>
  <c r="AE128" i="1"/>
  <c r="AF128" i="1"/>
  <c r="AE120" i="1"/>
  <c r="AF120" i="1"/>
  <c r="AE112" i="1"/>
  <c r="AF112" i="1"/>
  <c r="AE104" i="1"/>
  <c r="AF104" i="1"/>
  <c r="AE88" i="1"/>
  <c r="AF88" i="1"/>
  <c r="AE80" i="1"/>
  <c r="AF80" i="1"/>
  <c r="AE72" i="1"/>
  <c r="AF72" i="1"/>
  <c r="AE64" i="1"/>
  <c r="AF64" i="1"/>
  <c r="AE56" i="1"/>
  <c r="AF56" i="1"/>
  <c r="AE48" i="1"/>
  <c r="AF48" i="1"/>
  <c r="L115" i="1"/>
  <c r="L51" i="1"/>
  <c r="Q135" i="1"/>
  <c r="P135" i="1"/>
  <c r="F196" i="1"/>
  <c r="F132" i="1"/>
  <c r="F68" i="1"/>
  <c r="K191" i="1"/>
  <c r="K140" i="1"/>
  <c r="L63" i="1"/>
  <c r="P206" i="1"/>
  <c r="Q206" i="1"/>
  <c r="P134" i="1"/>
  <c r="Q134" i="1"/>
  <c r="P102" i="1"/>
  <c r="Q102" i="1"/>
  <c r="F183" i="1"/>
  <c r="F156" i="1"/>
  <c r="G55" i="1"/>
  <c r="K228" i="1"/>
  <c r="G227" i="1"/>
  <c r="F227" i="1"/>
  <c r="G211" i="1"/>
  <c r="F211" i="1"/>
  <c r="G203" i="1"/>
  <c r="F203" i="1"/>
  <c r="G187" i="1"/>
  <c r="F187" i="1"/>
  <c r="G163" i="1"/>
  <c r="F163" i="1"/>
  <c r="G147" i="1"/>
  <c r="F147" i="1"/>
  <c r="G131" i="1"/>
  <c r="F131" i="1"/>
  <c r="G115" i="1"/>
  <c r="F115" i="1"/>
  <c r="G99" i="1"/>
  <c r="F99" i="1"/>
  <c r="G83" i="1"/>
  <c r="F83" i="1"/>
  <c r="G67" i="1"/>
  <c r="F67" i="1"/>
  <c r="F193" i="1"/>
  <c r="F65" i="1"/>
  <c r="K188" i="1"/>
  <c r="K60" i="1"/>
  <c r="L187" i="1"/>
  <c r="L161" i="1"/>
  <c r="L136" i="1"/>
  <c r="L72" i="1"/>
  <c r="P210" i="1"/>
  <c r="P139" i="1"/>
  <c r="P89" i="1"/>
  <c r="U211" i="1"/>
  <c r="F217" i="1"/>
  <c r="F178" i="1"/>
  <c r="F153" i="1"/>
  <c r="F114" i="1"/>
  <c r="F89" i="1"/>
  <c r="F50" i="1"/>
  <c r="G181" i="1"/>
  <c r="G117" i="1"/>
  <c r="G53" i="1"/>
  <c r="K212" i="1"/>
  <c r="K199" i="1"/>
  <c r="K148" i="1"/>
  <c r="K135" i="1"/>
  <c r="K123" i="1"/>
  <c r="K84" i="1"/>
  <c r="K71" i="1"/>
  <c r="K59" i="1"/>
  <c r="L211" i="1"/>
  <c r="L185" i="1"/>
  <c r="L147" i="1"/>
  <c r="L121" i="1"/>
  <c r="L83" i="1"/>
  <c r="L57" i="1"/>
  <c r="P242" i="1"/>
  <c r="P207" i="1"/>
  <c r="P171" i="1"/>
  <c r="P138" i="1"/>
  <c r="P121" i="1"/>
  <c r="P72" i="1"/>
  <c r="Q239" i="1"/>
  <c r="Q223" i="1"/>
  <c r="Q205" i="1"/>
  <c r="Q190" i="1"/>
  <c r="Q155" i="1"/>
  <c r="Q119" i="1"/>
  <c r="Q104" i="1"/>
  <c r="Q86" i="1"/>
  <c r="Q69" i="1"/>
  <c r="Q54" i="1"/>
  <c r="V197" i="1"/>
  <c r="U197" i="1"/>
  <c r="V133" i="1"/>
  <c r="U133" i="1"/>
  <c r="U69" i="1"/>
  <c r="V69" i="1"/>
  <c r="U208" i="1"/>
  <c r="V208" i="1"/>
  <c r="U109" i="1"/>
  <c r="V109" i="1"/>
  <c r="U80" i="1"/>
  <c r="V80" i="1"/>
  <c r="U210" i="1"/>
  <c r="U178" i="1"/>
  <c r="U146" i="1"/>
  <c r="U74" i="1"/>
  <c r="V240" i="1"/>
  <c r="V200" i="1"/>
  <c r="V182" i="1"/>
  <c r="V162" i="1"/>
  <c r="V141" i="1"/>
  <c r="V122" i="1"/>
  <c r="V101" i="1"/>
  <c r="V77" i="1"/>
  <c r="Z223" i="1"/>
  <c r="AA223" i="1"/>
  <c r="AA175" i="1"/>
  <c r="Z175" i="1"/>
  <c r="AA159" i="1"/>
  <c r="Z159" i="1"/>
  <c r="AA111" i="1"/>
  <c r="Z111" i="1"/>
  <c r="AA95" i="1"/>
  <c r="Z95" i="1"/>
  <c r="AA190" i="1"/>
  <c r="AA147" i="1"/>
  <c r="AE187" i="1"/>
  <c r="AF187" i="1"/>
  <c r="AK235" i="1"/>
  <c r="AJ235" i="1"/>
  <c r="AJ219" i="1"/>
  <c r="AK219" i="1"/>
  <c r="AK203" i="1"/>
  <c r="AJ203" i="1"/>
  <c r="AK115" i="1"/>
  <c r="AJ115" i="1"/>
  <c r="AK206" i="1"/>
  <c r="AJ206" i="1"/>
  <c r="L243" i="1"/>
  <c r="L179" i="1"/>
  <c r="Q231" i="1"/>
  <c r="P231" i="1"/>
  <c r="Q167" i="1"/>
  <c r="P167" i="1"/>
  <c r="G173" i="1"/>
  <c r="G109" i="1"/>
  <c r="K204" i="1"/>
  <c r="P238" i="1"/>
  <c r="Q238" i="1"/>
  <c r="P198" i="1"/>
  <c r="Q198" i="1"/>
  <c r="P174" i="1"/>
  <c r="Q174" i="1"/>
  <c r="P142" i="1"/>
  <c r="Q142" i="1"/>
  <c r="P110" i="1"/>
  <c r="Q110" i="1"/>
  <c r="P46" i="1"/>
  <c r="Q46" i="1"/>
  <c r="G236" i="1"/>
  <c r="F236" i="1"/>
  <c r="F220" i="1"/>
  <c r="F92" i="1"/>
  <c r="G234" i="1"/>
  <c r="G219" i="1"/>
  <c r="F219" i="1"/>
  <c r="G195" i="1"/>
  <c r="F195" i="1"/>
  <c r="G179" i="1"/>
  <c r="F179" i="1"/>
  <c r="G155" i="1"/>
  <c r="F155" i="1"/>
  <c r="G139" i="1"/>
  <c r="F139" i="1"/>
  <c r="G123" i="1"/>
  <c r="F123" i="1"/>
  <c r="G107" i="1"/>
  <c r="F107" i="1"/>
  <c r="G91" i="1"/>
  <c r="F91" i="1"/>
  <c r="G75" i="1"/>
  <c r="F75" i="1"/>
  <c r="G59" i="1"/>
  <c r="F59" i="1"/>
  <c r="G51" i="1"/>
  <c r="F51" i="1"/>
  <c r="F129" i="1"/>
  <c r="K124" i="1"/>
  <c r="L225" i="1"/>
  <c r="L200" i="1"/>
  <c r="L97" i="1"/>
  <c r="P73" i="1"/>
  <c r="Q173" i="1"/>
  <c r="Q158" i="1"/>
  <c r="U142" i="1"/>
  <c r="V142" i="1"/>
  <c r="V78" i="1"/>
  <c r="U78" i="1"/>
  <c r="U223" i="1"/>
  <c r="V223" i="1"/>
  <c r="U167" i="1"/>
  <c r="V167" i="1"/>
  <c r="F242" i="1"/>
  <c r="F228" i="1"/>
  <c r="F191" i="1"/>
  <c r="F164" i="1"/>
  <c r="F127" i="1"/>
  <c r="F100" i="1"/>
  <c r="F63" i="1"/>
  <c r="G205" i="1"/>
  <c r="G141" i="1"/>
  <c r="G77" i="1"/>
  <c r="K236" i="1"/>
  <c r="K223" i="1"/>
  <c r="K197" i="1"/>
  <c r="K172" i="1"/>
  <c r="K159" i="1"/>
  <c r="K133" i="1"/>
  <c r="K108" i="1"/>
  <c r="K95" i="1"/>
  <c r="K69" i="1"/>
  <c r="K44" i="1"/>
  <c r="L209" i="1"/>
  <c r="L198" i="1"/>
  <c r="L145" i="1"/>
  <c r="L134" i="1"/>
  <c r="L81" i="1"/>
  <c r="L70" i="1"/>
  <c r="P221" i="1"/>
  <c r="Q221" i="1"/>
  <c r="P189" i="1"/>
  <c r="Q189" i="1"/>
  <c r="P157" i="1"/>
  <c r="Q157" i="1"/>
  <c r="P125" i="1"/>
  <c r="Q125" i="1"/>
  <c r="P93" i="1"/>
  <c r="Q93" i="1"/>
  <c r="P170" i="1"/>
  <c r="P153" i="1"/>
  <c r="P51" i="1"/>
  <c r="Q237" i="1"/>
  <c r="Q222" i="1"/>
  <c r="Q187" i="1"/>
  <c r="Q118" i="1"/>
  <c r="Q101" i="1"/>
  <c r="Q85" i="1"/>
  <c r="Q53" i="1"/>
  <c r="U237" i="1"/>
  <c r="U173" i="1"/>
  <c r="U158" i="1"/>
  <c r="U110" i="1"/>
  <c r="U90" i="1"/>
  <c r="U51" i="1"/>
  <c r="V199" i="1"/>
  <c r="V48" i="1"/>
  <c r="AA240" i="1"/>
  <c r="Z240" i="1"/>
  <c r="AA216" i="1"/>
  <c r="Z216" i="1"/>
  <c r="AA176" i="1"/>
  <c r="Z176" i="1"/>
  <c r="AA112" i="1"/>
  <c r="Z112" i="1"/>
  <c r="Z88" i="1"/>
  <c r="AA88" i="1"/>
  <c r="Z239" i="1"/>
  <c r="AA239" i="1"/>
  <c r="Z170" i="1"/>
  <c r="AA170" i="1"/>
  <c r="Z106" i="1"/>
  <c r="AA106" i="1"/>
  <c r="AA47" i="1"/>
  <c r="Z47" i="1"/>
  <c r="Z134" i="1"/>
  <c r="Z54" i="1"/>
  <c r="AA136" i="1"/>
  <c r="AA92" i="1"/>
  <c r="AF246" i="1"/>
  <c r="AE246" i="1"/>
  <c r="AE205" i="1"/>
  <c r="AF205" i="1"/>
  <c r="AE123" i="1"/>
  <c r="AF123" i="1"/>
  <c r="AJ154" i="1"/>
  <c r="AK154" i="1"/>
  <c r="AJ114" i="1"/>
  <c r="AK114" i="1"/>
  <c r="AK80" i="1"/>
  <c r="AJ80" i="1"/>
  <c r="P66" i="1"/>
  <c r="Q228" i="1"/>
  <c r="Q196" i="1"/>
  <c r="Q164" i="1"/>
  <c r="Q132" i="1"/>
  <c r="Q100" i="1"/>
  <c r="V192" i="1"/>
  <c r="V128" i="1"/>
  <c r="V64" i="1"/>
  <c r="Z210" i="1"/>
  <c r="AA210" i="1"/>
  <c r="AA199" i="1"/>
  <c r="Z199" i="1"/>
  <c r="AA185" i="1"/>
  <c r="Z185" i="1"/>
  <c r="Z146" i="1"/>
  <c r="AA146" i="1"/>
  <c r="AA135" i="1"/>
  <c r="Z135" i="1"/>
  <c r="AA121" i="1"/>
  <c r="Z121" i="1"/>
  <c r="Z82" i="1"/>
  <c r="AA82" i="1"/>
  <c r="AA71" i="1"/>
  <c r="Z71" i="1"/>
  <c r="AA57" i="1"/>
  <c r="Z57" i="1"/>
  <c r="Z197" i="1"/>
  <c r="Z83" i="1"/>
  <c r="AA193" i="1"/>
  <c r="AA90" i="1"/>
  <c r="AA61" i="1"/>
  <c r="AE230" i="1"/>
  <c r="AE188" i="1"/>
  <c r="AE105" i="1"/>
  <c r="AE85" i="1"/>
  <c r="AF83" i="1"/>
  <c r="AJ242" i="1"/>
  <c r="AK242" i="1"/>
  <c r="AJ218" i="1"/>
  <c r="AK218" i="1"/>
  <c r="AJ210" i="1"/>
  <c r="AK210" i="1"/>
  <c r="AJ202" i="1"/>
  <c r="AK202" i="1"/>
  <c r="AJ194" i="1"/>
  <c r="AK194" i="1"/>
  <c r="AJ186" i="1"/>
  <c r="AK186" i="1"/>
  <c r="AJ178" i="1"/>
  <c r="AK178" i="1"/>
  <c r="AJ162" i="1"/>
  <c r="AK162" i="1"/>
  <c r="AJ138" i="1"/>
  <c r="AK138" i="1"/>
  <c r="AJ122" i="1"/>
  <c r="AK122" i="1"/>
  <c r="AJ106" i="1"/>
  <c r="AK106" i="1"/>
  <c r="AJ90" i="1"/>
  <c r="AK90" i="1"/>
  <c r="AJ82" i="1"/>
  <c r="AK82" i="1"/>
  <c r="AK58" i="1"/>
  <c r="AJ58" i="1"/>
  <c r="AK197" i="1"/>
  <c r="AJ197" i="1"/>
  <c r="AK146" i="1"/>
  <c r="AO240" i="1"/>
  <c r="AP240" i="1"/>
  <c r="AO232" i="1"/>
  <c r="AP232" i="1"/>
  <c r="AP224" i="1"/>
  <c r="AO224" i="1"/>
  <c r="AP216" i="1"/>
  <c r="AO216" i="1"/>
  <c r="AO208" i="1"/>
  <c r="AP208" i="1"/>
  <c r="AO200" i="1"/>
  <c r="AP200" i="1"/>
  <c r="AO192" i="1"/>
  <c r="AP192" i="1"/>
  <c r="AP184" i="1"/>
  <c r="AO184" i="1"/>
  <c r="AP176" i="1"/>
  <c r="AO176" i="1"/>
  <c r="AP168" i="1"/>
  <c r="AO168" i="1"/>
  <c r="AO160" i="1"/>
  <c r="AP160" i="1"/>
  <c r="AP152" i="1"/>
  <c r="AO152" i="1"/>
  <c r="AO144" i="1"/>
  <c r="AP144" i="1"/>
  <c r="AO136" i="1"/>
  <c r="AP136" i="1"/>
  <c r="AP128" i="1"/>
  <c r="AO128" i="1"/>
  <c r="AO120" i="1"/>
  <c r="AP120" i="1"/>
  <c r="AP112" i="1"/>
  <c r="AO112" i="1"/>
  <c r="AO104" i="1"/>
  <c r="AP104" i="1"/>
  <c r="AP96" i="1"/>
  <c r="AO96" i="1"/>
  <c r="AO88" i="1"/>
  <c r="AP88" i="1"/>
  <c r="AO80" i="1"/>
  <c r="AP80" i="1"/>
  <c r="AO72" i="1"/>
  <c r="AP72" i="1"/>
  <c r="AP64" i="1"/>
  <c r="AO64" i="1"/>
  <c r="AO56" i="1"/>
  <c r="AP56" i="1"/>
  <c r="AP48" i="1"/>
  <c r="AO48" i="1"/>
  <c r="AO244" i="1"/>
  <c r="AP244" i="1"/>
  <c r="AF214" i="1"/>
  <c r="AE214" i="1"/>
  <c r="AF198" i="1"/>
  <c r="AE198" i="1"/>
  <c r="AF190" i="1"/>
  <c r="AE190" i="1"/>
  <c r="AF150" i="1"/>
  <c r="AE150" i="1"/>
  <c r="AF134" i="1"/>
  <c r="AE134" i="1"/>
  <c r="AF126" i="1"/>
  <c r="AE126" i="1"/>
  <c r="AF86" i="1"/>
  <c r="AE86" i="1"/>
  <c r="AF70" i="1"/>
  <c r="AE70" i="1"/>
  <c r="AF62" i="1"/>
  <c r="AE62" i="1"/>
  <c r="AF201" i="1"/>
  <c r="AE201" i="1"/>
  <c r="AF185" i="1"/>
  <c r="AE185" i="1"/>
  <c r="AF137" i="1"/>
  <c r="AE137" i="1"/>
  <c r="AF121" i="1"/>
  <c r="AE121" i="1"/>
  <c r="AF73" i="1"/>
  <c r="AE73" i="1"/>
  <c r="AF57" i="1"/>
  <c r="AE57" i="1"/>
  <c r="AE206" i="1"/>
  <c r="AE166" i="1"/>
  <c r="AE124" i="1"/>
  <c r="AJ241" i="1"/>
  <c r="AK241" i="1"/>
  <c r="AJ233" i="1"/>
  <c r="AK233" i="1"/>
  <c r="AK225" i="1"/>
  <c r="AJ225" i="1"/>
  <c r="AK217" i="1"/>
  <c r="AJ217" i="1"/>
  <c r="AK209" i="1"/>
  <c r="AJ209" i="1"/>
  <c r="AJ201" i="1"/>
  <c r="AK201" i="1"/>
  <c r="AJ193" i="1"/>
  <c r="AK193" i="1"/>
  <c r="AJ185" i="1"/>
  <c r="AK185" i="1"/>
  <c r="AJ177" i="1"/>
  <c r="AK177" i="1"/>
  <c r="AJ169" i="1"/>
  <c r="AK169" i="1"/>
  <c r="AJ161" i="1"/>
  <c r="AK161" i="1"/>
  <c r="AJ153" i="1"/>
  <c r="AK153" i="1"/>
  <c r="AJ145" i="1"/>
  <c r="AK145" i="1"/>
  <c r="AJ137" i="1"/>
  <c r="AK137" i="1"/>
  <c r="AJ129" i="1"/>
  <c r="AK129" i="1"/>
  <c r="AJ121" i="1"/>
  <c r="AK121" i="1"/>
  <c r="AJ113" i="1"/>
  <c r="AK113" i="1"/>
  <c r="AJ105" i="1"/>
  <c r="AK105" i="1"/>
  <c r="AJ97" i="1"/>
  <c r="AK97" i="1"/>
  <c r="AJ89" i="1"/>
  <c r="AK89" i="1"/>
  <c r="AJ81" i="1"/>
  <c r="AK81" i="1"/>
  <c r="AJ226" i="1"/>
  <c r="AK226" i="1"/>
  <c r="AA194" i="1"/>
  <c r="Z194" i="1"/>
  <c r="AA183" i="1"/>
  <c r="Z183" i="1"/>
  <c r="AA130" i="1"/>
  <c r="Z130" i="1"/>
  <c r="AA119" i="1"/>
  <c r="Z119" i="1"/>
  <c r="AA66" i="1"/>
  <c r="Z66" i="1"/>
  <c r="AA55" i="1"/>
  <c r="Z55" i="1"/>
  <c r="Z232" i="1"/>
  <c r="Z168" i="1"/>
  <c r="Z104" i="1"/>
  <c r="Z67" i="1"/>
  <c r="AA218" i="1"/>
  <c r="AE222" i="1"/>
  <c r="AE182" i="1"/>
  <c r="AE142" i="1"/>
  <c r="AE102" i="1"/>
  <c r="AE60" i="1"/>
  <c r="AF203" i="1"/>
  <c r="AF181" i="1"/>
  <c r="AK44" i="1"/>
  <c r="AJ44" i="1"/>
  <c r="AK240" i="1"/>
  <c r="AJ240" i="1"/>
  <c r="AJ232" i="1"/>
  <c r="AK232" i="1"/>
  <c r="AJ224" i="1"/>
  <c r="AK224" i="1"/>
  <c r="AJ216" i="1"/>
  <c r="AK216" i="1"/>
  <c r="AK208" i="1"/>
  <c r="AJ208" i="1"/>
  <c r="AJ184" i="1"/>
  <c r="AK184" i="1"/>
  <c r="AJ168" i="1"/>
  <c r="AK168" i="1"/>
  <c r="AJ152" i="1"/>
  <c r="AK152" i="1"/>
  <c r="AJ120" i="1"/>
  <c r="AK120" i="1"/>
  <c r="AK112" i="1"/>
  <c r="AJ112" i="1"/>
  <c r="AJ88" i="1"/>
  <c r="AK88" i="1"/>
  <c r="AK237" i="1"/>
  <c r="AJ237" i="1"/>
  <c r="AK128" i="1"/>
  <c r="AA207" i="1"/>
  <c r="Z207" i="1"/>
  <c r="AA143" i="1"/>
  <c r="Z143" i="1"/>
  <c r="AA79" i="1"/>
  <c r="Z79" i="1"/>
  <c r="Z192" i="1"/>
  <c r="Z128" i="1"/>
  <c r="Z91" i="1"/>
  <c r="Z64" i="1"/>
  <c r="AA242" i="1"/>
  <c r="AA231" i="1"/>
  <c r="AA217" i="1"/>
  <c r="AA129" i="1"/>
  <c r="AF228" i="1"/>
  <c r="AE228" i="1"/>
  <c r="AF212" i="1"/>
  <c r="AE212" i="1"/>
  <c r="AF204" i="1"/>
  <c r="AE204" i="1"/>
  <c r="AF164" i="1"/>
  <c r="AE164" i="1"/>
  <c r="AF148" i="1"/>
  <c r="AE148" i="1"/>
  <c r="AF140" i="1"/>
  <c r="AE140" i="1"/>
  <c r="AF100" i="1"/>
  <c r="AE100" i="1"/>
  <c r="AF84" i="1"/>
  <c r="AE84" i="1"/>
  <c r="AF76" i="1"/>
  <c r="AE76" i="1"/>
  <c r="AE244" i="1"/>
  <c r="AE158" i="1"/>
  <c r="AE118" i="1"/>
  <c r="AE78" i="1"/>
  <c r="AF139" i="1"/>
  <c r="AF117" i="1"/>
  <c r="AJ43" i="1"/>
  <c r="AK43" i="1"/>
  <c r="AK207" i="1"/>
  <c r="AJ207" i="1"/>
  <c r="AJ199" i="1"/>
  <c r="AK199" i="1"/>
  <c r="AJ159" i="1"/>
  <c r="AK159" i="1"/>
  <c r="AK143" i="1"/>
  <c r="AJ143" i="1"/>
  <c r="AJ87" i="1"/>
  <c r="AK87" i="1"/>
  <c r="AJ144" i="1"/>
  <c r="AK200" i="1"/>
  <c r="AA167" i="1"/>
  <c r="Z167" i="1"/>
  <c r="AA103" i="1"/>
  <c r="Z103" i="1"/>
  <c r="Z51" i="1"/>
  <c r="AA114" i="1"/>
  <c r="AE227" i="1"/>
  <c r="AF227" i="1"/>
  <c r="AE163" i="1"/>
  <c r="AF163" i="1"/>
  <c r="AE99" i="1"/>
  <c r="AF99" i="1"/>
  <c r="AE210" i="1"/>
  <c r="AF210" i="1"/>
  <c r="AE146" i="1"/>
  <c r="AF146" i="1"/>
  <c r="AE82" i="1"/>
  <c r="AF82" i="1"/>
  <c r="AE238" i="1"/>
  <c r="AE220" i="1"/>
  <c r="AE197" i="1"/>
  <c r="AE180" i="1"/>
  <c r="AE94" i="1"/>
  <c r="AE54" i="1"/>
  <c r="AF218" i="1"/>
  <c r="AF155" i="1"/>
  <c r="AF75" i="1"/>
  <c r="AF53" i="1"/>
  <c r="AJ183" i="1"/>
  <c r="AK183" i="1"/>
  <c r="AK163" i="1"/>
  <c r="AJ163" i="1"/>
  <c r="AJ119" i="1"/>
  <c r="AK119" i="1"/>
  <c r="AK67" i="1"/>
  <c r="AJ67" i="1"/>
  <c r="AA191" i="1"/>
  <c r="Z191" i="1"/>
  <c r="Z177" i="1"/>
  <c r="AA177" i="1"/>
  <c r="AA127" i="1"/>
  <c r="Z127" i="1"/>
  <c r="Z113" i="1"/>
  <c r="AA113" i="1"/>
  <c r="AA63" i="1"/>
  <c r="Z63" i="1"/>
  <c r="Z125" i="1"/>
  <c r="Z75" i="1"/>
  <c r="AA154" i="1"/>
  <c r="AA50" i="1"/>
  <c r="AE226" i="1"/>
  <c r="AF226" i="1"/>
  <c r="AE162" i="1"/>
  <c r="AF162" i="1"/>
  <c r="AE98" i="1"/>
  <c r="AF98" i="1"/>
  <c r="AE236" i="1"/>
  <c r="AE196" i="1"/>
  <c r="AE174" i="1"/>
  <c r="AE156" i="1"/>
  <c r="AE133" i="1"/>
  <c r="AE116" i="1"/>
  <c r="AF234" i="1"/>
  <c r="AF194" i="1"/>
  <c r="AF154" i="1"/>
  <c r="AF91" i="1"/>
  <c r="AK221" i="1"/>
  <c r="AJ221" i="1"/>
  <c r="AK165" i="1"/>
  <c r="AJ165" i="1"/>
  <c r="AJ220" i="1"/>
  <c r="AJ167" i="1"/>
  <c r="AJ133" i="1"/>
  <c r="AK234" i="1"/>
  <c r="AP243" i="1"/>
  <c r="AO243" i="1"/>
  <c r="AO235" i="1"/>
  <c r="AP235" i="1"/>
  <c r="AO227" i="1"/>
  <c r="AP227" i="1"/>
  <c r="AO211" i="1"/>
  <c r="AP211" i="1"/>
  <c r="AP203" i="1"/>
  <c r="AO203" i="1"/>
  <c r="AP195" i="1"/>
  <c r="AO195" i="1"/>
  <c r="AP187" i="1"/>
  <c r="AO187" i="1"/>
  <c r="AO171" i="1"/>
  <c r="AP171" i="1"/>
  <c r="AO163" i="1"/>
  <c r="AP163" i="1"/>
  <c r="AP155" i="1"/>
  <c r="AO155" i="1"/>
  <c r="AO147" i="1"/>
  <c r="AP147" i="1"/>
  <c r="AP123" i="1"/>
  <c r="AO123" i="1"/>
  <c r="AO99" i="1"/>
  <c r="AP99" i="1"/>
  <c r="AO219" i="1"/>
  <c r="AO179" i="1"/>
  <c r="P90" i="1"/>
  <c r="P58" i="1"/>
  <c r="U228" i="1"/>
  <c r="U196" i="1"/>
  <c r="U164" i="1"/>
  <c r="U132" i="1"/>
  <c r="U68" i="1"/>
  <c r="AA215" i="1"/>
  <c r="Z215" i="1"/>
  <c r="Z201" i="1"/>
  <c r="AA201" i="1"/>
  <c r="AA151" i="1"/>
  <c r="Z151" i="1"/>
  <c r="Z137" i="1"/>
  <c r="AA137" i="1"/>
  <c r="AA87" i="1"/>
  <c r="Z87" i="1"/>
  <c r="Z73" i="1"/>
  <c r="AA73" i="1"/>
  <c r="Z213" i="1"/>
  <c r="Z149" i="1"/>
  <c r="Z85" i="1"/>
  <c r="AA169" i="1"/>
  <c r="AA153" i="1"/>
  <c r="AA138" i="1"/>
  <c r="AA65" i="1"/>
  <c r="AA49" i="1"/>
  <c r="AF241" i="1"/>
  <c r="AE241" i="1"/>
  <c r="AF177" i="1"/>
  <c r="AE177" i="1"/>
  <c r="AF113" i="1"/>
  <c r="AE113" i="1"/>
  <c r="AF49" i="1"/>
  <c r="AE49" i="1"/>
  <c r="AE233" i="1"/>
  <c r="AE213" i="1"/>
  <c r="AE193" i="1"/>
  <c r="AE172" i="1"/>
  <c r="AE153" i="1"/>
  <c r="AE132" i="1"/>
  <c r="AE110" i="1"/>
  <c r="AE92" i="1"/>
  <c r="AE69" i="1"/>
  <c r="AE52" i="1"/>
  <c r="AF211" i="1"/>
  <c r="AF170" i="1"/>
  <c r="AF130" i="1"/>
  <c r="AF90" i="1"/>
  <c r="AK132" i="1"/>
  <c r="AJ132" i="1"/>
  <c r="AK100" i="1"/>
  <c r="AJ100" i="1"/>
  <c r="AK85" i="1"/>
  <c r="AJ85" i="1"/>
  <c r="AK55" i="1"/>
  <c r="AJ55" i="1"/>
  <c r="AJ160" i="1"/>
  <c r="AJ79" i="1"/>
  <c r="AK170" i="1"/>
  <c r="AE223" i="1"/>
  <c r="AE159" i="1"/>
  <c r="AE95" i="1"/>
  <c r="AK195" i="1"/>
  <c r="AJ195" i="1"/>
  <c r="AK171" i="1"/>
  <c r="AJ171" i="1"/>
  <c r="AK139" i="1"/>
  <c r="AJ139" i="1"/>
  <c r="AK131" i="1"/>
  <c r="AJ131" i="1"/>
  <c r="AK107" i="1"/>
  <c r="AJ107" i="1"/>
  <c r="AK99" i="1"/>
  <c r="AJ99" i="1"/>
  <c r="AK59" i="1"/>
  <c r="AJ59" i="1"/>
  <c r="AJ191" i="1"/>
  <c r="AK191" i="1"/>
  <c r="AK175" i="1"/>
  <c r="AJ175" i="1"/>
  <c r="AJ76" i="1"/>
  <c r="AP239" i="1"/>
  <c r="AO239" i="1"/>
  <c r="AO172" i="1"/>
  <c r="AP172" i="1"/>
  <c r="AO44" i="1"/>
  <c r="AP44" i="1"/>
  <c r="AO83" i="1"/>
  <c r="AP115" i="1"/>
  <c r="AT108" i="1"/>
  <c r="AU108" i="1"/>
  <c r="AU67" i="1"/>
  <c r="AT67" i="1"/>
  <c r="AJ74" i="1"/>
  <c r="AK74" i="1"/>
  <c r="AJ66" i="1"/>
  <c r="AK66" i="1"/>
  <c r="AK50" i="1"/>
  <c r="AJ50" i="1"/>
  <c r="AJ243" i="1"/>
  <c r="AK243" i="1"/>
  <c r="AK174" i="1"/>
  <c r="AJ174" i="1"/>
  <c r="AK158" i="1"/>
  <c r="AJ158" i="1"/>
  <c r="AK125" i="1"/>
  <c r="AJ125" i="1"/>
  <c r="AK71" i="1"/>
  <c r="AJ71" i="1"/>
  <c r="AK51" i="1"/>
  <c r="AJ51" i="1"/>
  <c r="AJ229" i="1"/>
  <c r="AP214" i="1"/>
  <c r="AO214" i="1"/>
  <c r="AO206" i="1"/>
  <c r="AP206" i="1"/>
  <c r="AP150" i="1"/>
  <c r="AO150" i="1"/>
  <c r="AP142" i="1"/>
  <c r="AO142" i="1"/>
  <c r="AP78" i="1"/>
  <c r="AO78" i="1"/>
  <c r="AP183" i="1"/>
  <c r="AO183" i="1"/>
  <c r="AO135" i="1"/>
  <c r="AP135" i="1"/>
  <c r="AP55" i="1"/>
  <c r="AO55" i="1"/>
  <c r="AP212" i="1"/>
  <c r="AT172" i="1"/>
  <c r="AU172" i="1"/>
  <c r="AU139" i="1"/>
  <c r="AT139" i="1"/>
  <c r="AU123" i="1"/>
  <c r="AT123" i="1"/>
  <c r="AU61" i="1"/>
  <c r="AY138" i="1"/>
  <c r="AZ138" i="1"/>
  <c r="AZ101" i="1"/>
  <c r="AY101" i="1"/>
  <c r="AZ59" i="1"/>
  <c r="AY59" i="1"/>
  <c r="AJ65" i="1"/>
  <c r="AK65" i="1"/>
  <c r="AJ57" i="1"/>
  <c r="AK57" i="1"/>
  <c r="AK49" i="1"/>
  <c r="AJ49" i="1"/>
  <c r="AJ215" i="1"/>
  <c r="AK215" i="1"/>
  <c r="AK173" i="1"/>
  <c r="AJ173" i="1"/>
  <c r="AK157" i="1"/>
  <c r="AJ157" i="1"/>
  <c r="AJ140" i="1"/>
  <c r="AK140" i="1"/>
  <c r="AJ124" i="1"/>
  <c r="AK124" i="1"/>
  <c r="AJ91" i="1"/>
  <c r="AK91" i="1"/>
  <c r="AJ45" i="1"/>
  <c r="AK45" i="1"/>
  <c r="AJ228" i="1"/>
  <c r="AJ123" i="1"/>
  <c r="AJ64" i="1"/>
  <c r="AK108" i="1"/>
  <c r="AP166" i="1"/>
  <c r="AO166" i="1"/>
  <c r="AT228" i="1"/>
  <c r="AU228" i="1"/>
  <c r="AK72" i="1"/>
  <c r="AJ72" i="1"/>
  <c r="AK239" i="1"/>
  <c r="AJ239" i="1"/>
  <c r="AK68" i="1"/>
  <c r="AJ68" i="1"/>
  <c r="AJ227" i="1"/>
  <c r="AJ93" i="1"/>
  <c r="AK73" i="1"/>
  <c r="AP220" i="1"/>
  <c r="AO220" i="1"/>
  <c r="AO236" i="1"/>
  <c r="AP236" i="1"/>
  <c r="AO181" i="1"/>
  <c r="AP181" i="1"/>
  <c r="AO53" i="1"/>
  <c r="AP53" i="1"/>
  <c r="AT166" i="1"/>
  <c r="AU166" i="1"/>
  <c r="AU150" i="1"/>
  <c r="AT150" i="1"/>
  <c r="AO107" i="1"/>
  <c r="AP107" i="1"/>
  <c r="AP91" i="1"/>
  <c r="AO91" i="1"/>
  <c r="AP75" i="1"/>
  <c r="AO75" i="1"/>
  <c r="AP67" i="1"/>
  <c r="AO67" i="1"/>
  <c r="AP59" i="1"/>
  <c r="AO59" i="1"/>
  <c r="AP51" i="1"/>
  <c r="AO51" i="1"/>
  <c r="AO43" i="1"/>
  <c r="AP43" i="1"/>
  <c r="AO84" i="1"/>
  <c r="AP84" i="1"/>
  <c r="AT245" i="1"/>
  <c r="AU245" i="1"/>
  <c r="AT237" i="1"/>
  <c r="AU237" i="1"/>
  <c r="AT229" i="1"/>
  <c r="AU229" i="1"/>
  <c r="AT221" i="1"/>
  <c r="AU221" i="1"/>
  <c r="AT213" i="1"/>
  <c r="AU213" i="1"/>
  <c r="AT205" i="1"/>
  <c r="AU205" i="1"/>
  <c r="AT197" i="1"/>
  <c r="AU197" i="1"/>
  <c r="AT189" i="1"/>
  <c r="AU189" i="1"/>
  <c r="AT181" i="1"/>
  <c r="AU181" i="1"/>
  <c r="AT173" i="1"/>
  <c r="AU173" i="1"/>
  <c r="AT165" i="1"/>
  <c r="AU165" i="1"/>
  <c r="AT157" i="1"/>
  <c r="AU157" i="1"/>
  <c r="AT149" i="1"/>
  <c r="AU149" i="1"/>
  <c r="AT141" i="1"/>
  <c r="AU141" i="1"/>
  <c r="AT133" i="1"/>
  <c r="AU133" i="1"/>
  <c r="AT125" i="1"/>
  <c r="AU125" i="1"/>
  <c r="AT117" i="1"/>
  <c r="AU117" i="1"/>
  <c r="AT109" i="1"/>
  <c r="AU109" i="1"/>
  <c r="AT101" i="1"/>
  <c r="AU101" i="1"/>
  <c r="AT93" i="1"/>
  <c r="AU93" i="1"/>
  <c r="AT85" i="1"/>
  <c r="AU85" i="1"/>
  <c r="AT77" i="1"/>
  <c r="AU77" i="1"/>
  <c r="AT69" i="1"/>
  <c r="AU69" i="1"/>
  <c r="AT53" i="1"/>
  <c r="AU53" i="1"/>
  <c r="AT45" i="1"/>
  <c r="AU45" i="1"/>
  <c r="AE215" i="1"/>
  <c r="AE151" i="1"/>
  <c r="AE87" i="1"/>
  <c r="AF202" i="1"/>
  <c r="AF189" i="1"/>
  <c r="AF138" i="1"/>
  <c r="AF125" i="1"/>
  <c r="AF74" i="1"/>
  <c r="AF61" i="1"/>
  <c r="AK238" i="1"/>
  <c r="AJ238" i="1"/>
  <c r="AK230" i="1"/>
  <c r="AJ230" i="1"/>
  <c r="AK222" i="1"/>
  <c r="AJ222" i="1"/>
  <c r="AK214" i="1"/>
  <c r="AJ214" i="1"/>
  <c r="AK190" i="1"/>
  <c r="AJ190" i="1"/>
  <c r="AJ151" i="1"/>
  <c r="AK151" i="1"/>
  <c r="AJ166" i="1"/>
  <c r="AJ83" i="1"/>
  <c r="AJ60" i="1"/>
  <c r="AK127" i="1"/>
  <c r="AP86" i="1"/>
  <c r="AU54" i="1"/>
  <c r="AT54" i="1"/>
  <c r="AE239" i="1"/>
  <c r="AE175" i="1"/>
  <c r="AE111" i="1"/>
  <c r="AE47" i="1"/>
  <c r="AK205" i="1"/>
  <c r="AJ205" i="1"/>
  <c r="AK181" i="1"/>
  <c r="AJ181" i="1"/>
  <c r="AK149" i="1"/>
  <c r="AJ149" i="1"/>
  <c r="AK141" i="1"/>
  <c r="AJ141" i="1"/>
  <c r="AK117" i="1"/>
  <c r="AJ117" i="1"/>
  <c r="AK109" i="1"/>
  <c r="AJ109" i="1"/>
  <c r="AK77" i="1"/>
  <c r="AJ77" i="1"/>
  <c r="AK53" i="1"/>
  <c r="AJ53" i="1"/>
  <c r="AJ189" i="1"/>
  <c r="AJ52" i="1"/>
  <c r="AK95" i="1"/>
  <c r="AK56" i="1"/>
  <c r="AO229" i="1"/>
  <c r="AP229" i="1"/>
  <c r="AT230" i="1"/>
  <c r="AK196" i="1"/>
  <c r="AJ196" i="1"/>
  <c r="AK164" i="1"/>
  <c r="AJ164" i="1"/>
  <c r="AJ118" i="1"/>
  <c r="AJ102" i="1"/>
  <c r="AP223" i="1"/>
  <c r="AO223" i="1"/>
  <c r="AP159" i="1"/>
  <c r="AO159" i="1"/>
  <c r="AP207" i="1"/>
  <c r="AO207" i="1"/>
  <c r="AO167" i="1"/>
  <c r="AP167" i="1"/>
  <c r="AP154" i="1"/>
  <c r="AO154" i="1"/>
  <c r="AO175" i="1"/>
  <c r="AP190" i="1"/>
  <c r="AP87" i="1"/>
  <c r="AP62" i="1"/>
  <c r="AU190" i="1"/>
  <c r="AT190" i="1"/>
  <c r="AU137" i="1"/>
  <c r="AT137" i="1"/>
  <c r="AU236" i="1"/>
  <c r="AO180" i="1"/>
  <c r="AP180" i="1"/>
  <c r="AO165" i="1"/>
  <c r="AP165" i="1"/>
  <c r="AO149" i="1"/>
  <c r="AP149" i="1"/>
  <c r="AU210" i="1"/>
  <c r="AT210" i="1"/>
  <c r="AU178" i="1"/>
  <c r="AT178" i="1"/>
  <c r="AU90" i="1"/>
  <c r="AT90" i="1"/>
  <c r="AU242" i="1"/>
  <c r="AT242" i="1"/>
  <c r="AU222" i="1"/>
  <c r="AT222" i="1"/>
  <c r="AU203" i="1"/>
  <c r="AT203" i="1"/>
  <c r="AT187" i="1"/>
  <c r="AU187" i="1"/>
  <c r="AT164" i="1"/>
  <c r="AU164" i="1"/>
  <c r="AU99" i="1"/>
  <c r="AT99" i="1"/>
  <c r="AU82" i="1"/>
  <c r="AT82" i="1"/>
  <c r="AZ238" i="1"/>
  <c r="AY238" i="1"/>
  <c r="AY210" i="1"/>
  <c r="AZ210" i="1"/>
  <c r="AZ168" i="1"/>
  <c r="AY168" i="1"/>
  <c r="AO221" i="1"/>
  <c r="AP221" i="1"/>
  <c r="AP103" i="1"/>
  <c r="AU209" i="1"/>
  <c r="AT209" i="1"/>
  <c r="AU177" i="1"/>
  <c r="AT177" i="1"/>
  <c r="AU73" i="1"/>
  <c r="AT73" i="1"/>
  <c r="AU185" i="1"/>
  <c r="AT185" i="1"/>
  <c r="AU146" i="1"/>
  <c r="AT146" i="1"/>
  <c r="AU114" i="1"/>
  <c r="AT114" i="1"/>
  <c r="AU81" i="1"/>
  <c r="AT81" i="1"/>
  <c r="AT62" i="1"/>
  <c r="AU62" i="1"/>
  <c r="AP218" i="1"/>
  <c r="AO218" i="1"/>
  <c r="AP202" i="1"/>
  <c r="AO202" i="1"/>
  <c r="AP143" i="1"/>
  <c r="AO143" i="1"/>
  <c r="AP90" i="1"/>
  <c r="AO90" i="1"/>
  <c r="AP74" i="1"/>
  <c r="AO74" i="1"/>
  <c r="AP47" i="1"/>
  <c r="AO47" i="1"/>
  <c r="AP148" i="1"/>
  <c r="AP76" i="1"/>
  <c r="AP52" i="1"/>
  <c r="AU218" i="1"/>
  <c r="AT218" i="1"/>
  <c r="AT94" i="1"/>
  <c r="AU94" i="1"/>
  <c r="AT44" i="1"/>
  <c r="AU44" i="1"/>
  <c r="AY246" i="1"/>
  <c r="AZ246" i="1"/>
  <c r="AY230" i="1"/>
  <c r="AZ230" i="1"/>
  <c r="AY214" i="1"/>
  <c r="AZ214" i="1"/>
  <c r="AY182" i="1"/>
  <c r="AZ182" i="1"/>
  <c r="AZ174" i="1"/>
  <c r="AY174" i="1"/>
  <c r="AZ150" i="1"/>
  <c r="AY150" i="1"/>
  <c r="AZ232" i="1"/>
  <c r="AY232" i="1"/>
  <c r="AZ160" i="1"/>
  <c r="AY160" i="1"/>
  <c r="BE240" i="1"/>
  <c r="BE232" i="1"/>
  <c r="BD232" i="1"/>
  <c r="BE224" i="1"/>
  <c r="BD224" i="1"/>
  <c r="BE216" i="1"/>
  <c r="BD216" i="1"/>
  <c r="BE208" i="1"/>
  <c r="BD208" i="1"/>
  <c r="BE200" i="1"/>
  <c r="BD200" i="1"/>
  <c r="BE192" i="1"/>
  <c r="BD192" i="1"/>
  <c r="BE184" i="1"/>
  <c r="BD184" i="1"/>
  <c r="BE176" i="1"/>
  <c r="BD176" i="1"/>
  <c r="BE168" i="1"/>
  <c r="BD168" i="1"/>
  <c r="BE160" i="1"/>
  <c r="BD160" i="1"/>
  <c r="AK63" i="1"/>
  <c r="AJ63" i="1"/>
  <c r="AO231" i="1"/>
  <c r="AP231" i="1"/>
  <c r="AO117" i="1"/>
  <c r="AP117" i="1"/>
  <c r="AO61" i="1"/>
  <c r="AP61" i="1"/>
  <c r="AO138" i="1"/>
  <c r="AO113" i="1"/>
  <c r="AP199" i="1"/>
  <c r="AP119" i="1"/>
  <c r="AT196" i="1"/>
  <c r="AU196" i="1"/>
  <c r="AU158" i="1"/>
  <c r="AT158" i="1"/>
  <c r="AT126" i="1"/>
  <c r="AU126" i="1"/>
  <c r="AT76" i="1"/>
  <c r="AU76" i="1"/>
  <c r="AT131" i="1"/>
  <c r="AT46" i="1"/>
  <c r="AY245" i="1"/>
  <c r="AZ245" i="1"/>
  <c r="AZ237" i="1"/>
  <c r="AY237" i="1"/>
  <c r="AY229" i="1"/>
  <c r="AZ229" i="1"/>
  <c r="AZ213" i="1"/>
  <c r="AY213" i="1"/>
  <c r="AZ205" i="1"/>
  <c r="AY205" i="1"/>
  <c r="AZ197" i="1"/>
  <c r="AY197" i="1"/>
  <c r="AZ189" i="1"/>
  <c r="AY189" i="1"/>
  <c r="AZ181" i="1"/>
  <c r="AY181" i="1"/>
  <c r="AZ173" i="1"/>
  <c r="AY173" i="1"/>
  <c r="AY165" i="1"/>
  <c r="AZ165" i="1"/>
  <c r="AY157" i="1"/>
  <c r="AZ157" i="1"/>
  <c r="AZ149" i="1"/>
  <c r="AY149" i="1"/>
  <c r="AZ141" i="1"/>
  <c r="AY141" i="1"/>
  <c r="AZ133" i="1"/>
  <c r="AY133" i="1"/>
  <c r="AZ125" i="1"/>
  <c r="AY125" i="1"/>
  <c r="AZ117" i="1"/>
  <c r="AY117" i="1"/>
  <c r="AZ109" i="1"/>
  <c r="AY109" i="1"/>
  <c r="AZ93" i="1"/>
  <c r="AY93" i="1"/>
  <c r="AZ85" i="1"/>
  <c r="AY85" i="1"/>
  <c r="AZ77" i="1"/>
  <c r="AY77" i="1"/>
  <c r="AZ69" i="1"/>
  <c r="AY69" i="1"/>
  <c r="AY61" i="1"/>
  <c r="AZ61" i="1"/>
  <c r="AZ53" i="1"/>
  <c r="AY53" i="1"/>
  <c r="AY45" i="1"/>
  <c r="AZ45" i="1"/>
  <c r="AZ184" i="1"/>
  <c r="AY184" i="1"/>
  <c r="AZ158" i="1"/>
  <c r="AY158" i="1"/>
  <c r="AK142" i="1"/>
  <c r="AJ142" i="1"/>
  <c r="AK110" i="1"/>
  <c r="AJ110" i="1"/>
  <c r="AK78" i="1"/>
  <c r="AJ78" i="1"/>
  <c r="AJ46" i="1"/>
  <c r="AK46" i="1"/>
  <c r="AP217" i="1"/>
  <c r="AO217" i="1"/>
  <c r="AP209" i="1"/>
  <c r="AO209" i="1"/>
  <c r="AP193" i="1"/>
  <c r="AO193" i="1"/>
  <c r="AP185" i="1"/>
  <c r="AO185" i="1"/>
  <c r="AP177" i="1"/>
  <c r="AO177" i="1"/>
  <c r="AP161" i="1"/>
  <c r="AO161" i="1"/>
  <c r="AP153" i="1"/>
  <c r="AO153" i="1"/>
  <c r="AP145" i="1"/>
  <c r="AO145" i="1"/>
  <c r="AP129" i="1"/>
  <c r="AO129" i="1"/>
  <c r="AP121" i="1"/>
  <c r="AO121" i="1"/>
  <c r="AP105" i="1"/>
  <c r="AO105" i="1"/>
  <c r="AP89" i="1"/>
  <c r="AO89" i="1"/>
  <c r="AP81" i="1"/>
  <c r="AO81" i="1"/>
  <c r="AP57" i="1"/>
  <c r="AO57" i="1"/>
  <c r="AO245" i="1"/>
  <c r="AP245" i="1"/>
  <c r="AO213" i="1"/>
  <c r="AP213" i="1"/>
  <c r="AO116" i="1"/>
  <c r="AP116" i="1"/>
  <c r="AO101" i="1"/>
  <c r="AP101" i="1"/>
  <c r="AO85" i="1"/>
  <c r="AP85" i="1"/>
  <c r="AO204" i="1"/>
  <c r="AO137" i="1"/>
  <c r="AO111" i="1"/>
  <c r="AO65" i="1"/>
  <c r="AP93" i="1"/>
  <c r="AP71" i="1"/>
  <c r="AU246" i="1"/>
  <c r="AT246" i="1"/>
  <c r="AU238" i="1"/>
  <c r="AT238" i="1"/>
  <c r="AU206" i="1"/>
  <c r="AT206" i="1"/>
  <c r="AU182" i="1"/>
  <c r="AT182" i="1"/>
  <c r="AU142" i="1"/>
  <c r="AT142" i="1"/>
  <c r="AU134" i="1"/>
  <c r="AT134" i="1"/>
  <c r="AU110" i="1"/>
  <c r="AT110" i="1"/>
  <c r="AU102" i="1"/>
  <c r="AT102" i="1"/>
  <c r="AT154" i="1"/>
  <c r="AU214" i="1"/>
  <c r="AY228" i="1"/>
  <c r="AZ228" i="1"/>
  <c r="AY220" i="1"/>
  <c r="AZ220" i="1"/>
  <c r="AY212" i="1"/>
  <c r="AZ212" i="1"/>
  <c r="AY204" i="1"/>
  <c r="AZ204" i="1"/>
  <c r="AY164" i="1"/>
  <c r="AZ164" i="1"/>
  <c r="AY156" i="1"/>
  <c r="AZ156" i="1"/>
  <c r="AY148" i="1"/>
  <c r="AZ148" i="1"/>
  <c r="AZ140" i="1"/>
  <c r="AY140" i="1"/>
  <c r="AY147" i="1"/>
  <c r="AZ147" i="1"/>
  <c r="AZ67" i="1"/>
  <c r="AY67" i="1"/>
  <c r="AZ48" i="1"/>
  <c r="AY48" i="1"/>
  <c r="AP194" i="1"/>
  <c r="AO194" i="1"/>
  <c r="AP130" i="1"/>
  <c r="AO130" i="1"/>
  <c r="AP66" i="1"/>
  <c r="AO66" i="1"/>
  <c r="AO114" i="1"/>
  <c r="AO100" i="1"/>
  <c r="AO70" i="1"/>
  <c r="AU239" i="1"/>
  <c r="AT239" i="1"/>
  <c r="AT204" i="1"/>
  <c r="AU204" i="1"/>
  <c r="AU145" i="1"/>
  <c r="AT145" i="1"/>
  <c r="AU113" i="1"/>
  <c r="AT113" i="1"/>
  <c r="AY202" i="1"/>
  <c r="AZ202" i="1"/>
  <c r="AY187" i="1"/>
  <c r="AZ187" i="1"/>
  <c r="AY166" i="1"/>
  <c r="AZ166" i="1"/>
  <c r="AZ120" i="1"/>
  <c r="AY120" i="1"/>
  <c r="AZ76" i="1"/>
  <c r="BE86" i="1"/>
  <c r="BD86" i="1"/>
  <c r="AY92" i="1"/>
  <c r="AZ92" i="1"/>
  <c r="AZ68" i="1"/>
  <c r="AY68" i="1"/>
  <c r="AZ222" i="1"/>
  <c r="AY222" i="1"/>
  <c r="AZ178" i="1"/>
  <c r="AY178" i="1"/>
  <c r="AZ94" i="1"/>
  <c r="AY94" i="1"/>
  <c r="BE152" i="1"/>
  <c r="BD152" i="1"/>
  <c r="BE144" i="1"/>
  <c r="BD144" i="1"/>
  <c r="BE136" i="1"/>
  <c r="BD136" i="1"/>
  <c r="BE128" i="1"/>
  <c r="BD128" i="1"/>
  <c r="BE120" i="1"/>
  <c r="BD120" i="1"/>
  <c r="BE112" i="1"/>
  <c r="BD112" i="1"/>
  <c r="BE104" i="1"/>
  <c r="BD104" i="1"/>
  <c r="BE96" i="1"/>
  <c r="BD96" i="1"/>
  <c r="BE88" i="1"/>
  <c r="BD88" i="1"/>
  <c r="BE80" i="1"/>
  <c r="BD80" i="1"/>
  <c r="BE72" i="1"/>
  <c r="BD72" i="1"/>
  <c r="BE64" i="1"/>
  <c r="BD64" i="1"/>
  <c r="BE56" i="1"/>
  <c r="BD56" i="1"/>
  <c r="AP226" i="1"/>
  <c r="AO226" i="1"/>
  <c r="AP162" i="1"/>
  <c r="AO162" i="1"/>
  <c r="AP98" i="1"/>
  <c r="AO98" i="1"/>
  <c r="AO238" i="1"/>
  <c r="AO178" i="1"/>
  <c r="AO134" i="1"/>
  <c r="AU202" i="1"/>
  <c r="AT202" i="1"/>
  <c r="AU194" i="1"/>
  <c r="AT194" i="1"/>
  <c r="AU186" i="1"/>
  <c r="AT186" i="1"/>
  <c r="AU170" i="1"/>
  <c r="AT170" i="1"/>
  <c r="AU74" i="1"/>
  <c r="AT74" i="1"/>
  <c r="AU66" i="1"/>
  <c r="AT66" i="1"/>
  <c r="AU50" i="1"/>
  <c r="AT50" i="1"/>
  <c r="AU75" i="1"/>
  <c r="AT75" i="1"/>
  <c r="AT105" i="1"/>
  <c r="AU55" i="1"/>
  <c r="AZ74" i="1"/>
  <c r="AY74" i="1"/>
  <c r="AY219" i="1"/>
  <c r="AZ219" i="1"/>
  <c r="AZ194" i="1"/>
  <c r="AY194" i="1"/>
  <c r="AY146" i="1"/>
  <c r="AZ146" i="1"/>
  <c r="AZ128" i="1"/>
  <c r="AY128" i="1"/>
  <c r="AZ86" i="1"/>
  <c r="AY86" i="1"/>
  <c r="AO234" i="1"/>
  <c r="AO132" i="1"/>
  <c r="AO46" i="1"/>
  <c r="AU241" i="1"/>
  <c r="AT241" i="1"/>
  <c r="AU225" i="1"/>
  <c r="AT225" i="1"/>
  <c r="AU193" i="1"/>
  <c r="AT193" i="1"/>
  <c r="AU169" i="1"/>
  <c r="AT169" i="1"/>
  <c r="AU161" i="1"/>
  <c r="AT161" i="1"/>
  <c r="AU153" i="1"/>
  <c r="AT153" i="1"/>
  <c r="AU129" i="1"/>
  <c r="AT129" i="1"/>
  <c r="AU97" i="1"/>
  <c r="AT97" i="1"/>
  <c r="AU65" i="1"/>
  <c r="AT65" i="1"/>
  <c r="AU57" i="1"/>
  <c r="AT57" i="1"/>
  <c r="AU49" i="1"/>
  <c r="AT49" i="1"/>
  <c r="AU223" i="1"/>
  <c r="AT223" i="1"/>
  <c r="AT132" i="1"/>
  <c r="AU132" i="1"/>
  <c r="AT122" i="1"/>
  <c r="AT98" i="1"/>
  <c r="AY211" i="1"/>
  <c r="AZ211" i="1"/>
  <c r="AY82" i="1"/>
  <c r="BD129" i="1"/>
  <c r="BE129" i="1"/>
  <c r="BE74" i="1"/>
  <c r="BD74" i="1"/>
  <c r="BE170" i="1"/>
  <c r="BD170" i="1"/>
  <c r="BD147" i="1"/>
  <c r="BE147" i="1"/>
  <c r="AP191" i="1"/>
  <c r="AP127" i="1"/>
  <c r="AP63" i="1"/>
  <c r="AT212" i="1"/>
  <c r="AU212" i="1"/>
  <c r="AT148" i="1"/>
  <c r="AU148" i="1"/>
  <c r="AT135" i="1"/>
  <c r="AU135" i="1"/>
  <c r="AT84" i="1"/>
  <c r="AU84" i="1"/>
  <c r="AT71" i="1"/>
  <c r="AU71" i="1"/>
  <c r="AZ206" i="1"/>
  <c r="AY206" i="1"/>
  <c r="AY198" i="1"/>
  <c r="AZ198" i="1"/>
  <c r="AY134" i="1"/>
  <c r="AZ134" i="1"/>
  <c r="AZ118" i="1"/>
  <c r="AY118" i="1"/>
  <c r="AZ78" i="1"/>
  <c r="AY78" i="1"/>
  <c r="AZ62" i="1"/>
  <c r="AY62" i="1"/>
  <c r="AZ54" i="1"/>
  <c r="AY54" i="1"/>
  <c r="AZ196" i="1"/>
  <c r="AY196" i="1"/>
  <c r="AY139" i="1"/>
  <c r="AZ139" i="1"/>
  <c r="AY123" i="1"/>
  <c r="AZ123" i="1"/>
  <c r="BD225" i="1"/>
  <c r="BE225" i="1"/>
  <c r="BD204" i="1"/>
  <c r="BE204" i="1"/>
  <c r="BD182" i="1"/>
  <c r="BE182" i="1"/>
  <c r="BE48" i="1"/>
  <c r="BD48" i="1"/>
  <c r="BD243" i="1"/>
  <c r="BE243" i="1"/>
  <c r="AT244" i="1"/>
  <c r="AU244" i="1"/>
  <c r="AT52" i="1"/>
  <c r="AU52" i="1"/>
  <c r="AT51" i="1"/>
  <c r="AU155" i="1"/>
  <c r="AY243" i="1"/>
  <c r="AZ243" i="1"/>
  <c r="AY235" i="1"/>
  <c r="AZ235" i="1"/>
  <c r="AY227" i="1"/>
  <c r="AZ227" i="1"/>
  <c r="AY179" i="1"/>
  <c r="AZ179" i="1"/>
  <c r="AY171" i="1"/>
  <c r="AZ171" i="1"/>
  <c r="AY163" i="1"/>
  <c r="AZ163" i="1"/>
  <c r="AZ176" i="1"/>
  <c r="AY176" i="1"/>
  <c r="AY126" i="1"/>
  <c r="AY70" i="1"/>
  <c r="AZ190" i="1"/>
  <c r="AP197" i="1"/>
  <c r="AP133" i="1"/>
  <c r="AP69" i="1"/>
  <c r="AU235" i="1"/>
  <c r="AT235" i="1"/>
  <c r="AU171" i="1"/>
  <c r="AT171" i="1"/>
  <c r="AU107" i="1"/>
  <c r="AT107" i="1"/>
  <c r="AU59" i="1"/>
  <c r="AT59" i="1"/>
  <c r="AU43" i="1"/>
  <c r="AT43" i="1"/>
  <c r="AU91" i="1"/>
  <c r="AT91" i="1"/>
  <c r="AT83" i="1"/>
  <c r="AU220" i="1"/>
  <c r="AU167" i="1"/>
  <c r="AU151" i="1"/>
  <c r="AY242" i="1"/>
  <c r="AZ242" i="1"/>
  <c r="AY226" i="1"/>
  <c r="AZ226" i="1"/>
  <c r="AY218" i="1"/>
  <c r="AZ218" i="1"/>
  <c r="AZ186" i="1"/>
  <c r="AY186" i="1"/>
  <c r="AY162" i="1"/>
  <c r="AZ162" i="1"/>
  <c r="AY154" i="1"/>
  <c r="AZ154" i="1"/>
  <c r="AY130" i="1"/>
  <c r="AZ130" i="1"/>
  <c r="AZ122" i="1"/>
  <c r="AY122" i="1"/>
  <c r="AZ106" i="1"/>
  <c r="AY106" i="1"/>
  <c r="AY98" i="1"/>
  <c r="AZ98" i="1"/>
  <c r="AZ90" i="1"/>
  <c r="AY90" i="1"/>
  <c r="AY66" i="1"/>
  <c r="AZ66" i="1"/>
  <c r="AZ58" i="1"/>
  <c r="AY58" i="1"/>
  <c r="AZ50" i="1"/>
  <c r="AY50" i="1"/>
  <c r="AZ224" i="1"/>
  <c r="AY224" i="1"/>
  <c r="AZ192" i="1"/>
  <c r="AY192" i="1"/>
  <c r="AZ132" i="1"/>
  <c r="AY132" i="1"/>
  <c r="AZ113" i="1"/>
  <c r="AY113" i="1"/>
  <c r="AZ105" i="1"/>
  <c r="BE126" i="1"/>
  <c r="AY137" i="1"/>
  <c r="AZ137" i="1"/>
  <c r="AY84" i="1"/>
  <c r="AZ84" i="1"/>
  <c r="AY112" i="1"/>
  <c r="AZ100" i="1"/>
  <c r="BE230" i="1"/>
  <c r="BD230" i="1"/>
  <c r="BE166" i="1"/>
  <c r="BD166" i="1"/>
  <c r="BE102" i="1"/>
  <c r="BD102" i="1"/>
  <c r="BD70" i="1"/>
  <c r="BE70" i="1"/>
  <c r="BE202" i="1"/>
  <c r="BD202" i="1"/>
  <c r="BE106" i="1"/>
  <c r="BD106" i="1"/>
  <c r="BD51" i="1"/>
  <c r="BE51" i="1"/>
  <c r="AU116" i="1"/>
  <c r="AY108" i="1"/>
  <c r="AZ108" i="1"/>
  <c r="AZ60" i="1"/>
  <c r="AY60" i="1"/>
  <c r="AY52" i="1"/>
  <c r="AZ52" i="1"/>
  <c r="AZ83" i="1"/>
  <c r="AY83" i="1"/>
  <c r="AZ56" i="1"/>
  <c r="AY56" i="1"/>
  <c r="BE214" i="1"/>
  <c r="BD214" i="1"/>
  <c r="BD161" i="1"/>
  <c r="BE161" i="1"/>
  <c r="BD118" i="1"/>
  <c r="BE118" i="1"/>
  <c r="BD196" i="1"/>
  <c r="BE196" i="1"/>
  <c r="BD158" i="1"/>
  <c r="BE158" i="1"/>
  <c r="BD140" i="1"/>
  <c r="BE140" i="1"/>
  <c r="BD100" i="1"/>
  <c r="BE100" i="1"/>
  <c r="AY131" i="1"/>
  <c r="AZ131" i="1"/>
  <c r="AY73" i="1"/>
  <c r="AZ57" i="1"/>
  <c r="BD235" i="1"/>
  <c r="BE235" i="1"/>
  <c r="BE234" i="1"/>
  <c r="BD234" i="1"/>
  <c r="BD211" i="1"/>
  <c r="BE211" i="1"/>
  <c r="BD115" i="1"/>
  <c r="BE115" i="1"/>
  <c r="BD76" i="1"/>
  <c r="BE76" i="1"/>
  <c r="AT232" i="1"/>
  <c r="AT200" i="1"/>
  <c r="AT168" i="1"/>
  <c r="AU60" i="1"/>
  <c r="AY209" i="1"/>
  <c r="AZ209" i="1"/>
  <c r="AY145" i="1"/>
  <c r="AZ145" i="1"/>
  <c r="AY97" i="1"/>
  <c r="AZ97" i="1"/>
  <c r="AY89" i="1"/>
  <c r="AZ89" i="1"/>
  <c r="AY201" i="1"/>
  <c r="AZ201" i="1"/>
  <c r="AZ65" i="1"/>
  <c r="AY65" i="1"/>
  <c r="AY104" i="1"/>
  <c r="AZ172" i="1"/>
  <c r="BE226" i="1"/>
  <c r="BD226" i="1"/>
  <c r="BE218" i="1"/>
  <c r="BD218" i="1"/>
  <c r="BD210" i="1"/>
  <c r="BE210" i="1"/>
  <c r="BE194" i="1"/>
  <c r="BD194" i="1"/>
  <c r="BD186" i="1"/>
  <c r="BE186" i="1"/>
  <c r="BE178" i="1"/>
  <c r="BD178" i="1"/>
  <c r="BD162" i="1"/>
  <c r="BE162" i="1"/>
  <c r="BE154" i="1"/>
  <c r="BD154" i="1"/>
  <c r="BD146" i="1"/>
  <c r="BE146" i="1"/>
  <c r="BE138" i="1"/>
  <c r="BD138" i="1"/>
  <c r="BE130" i="1"/>
  <c r="BD130" i="1"/>
  <c r="BD122" i="1"/>
  <c r="BE122" i="1"/>
  <c r="BD114" i="1"/>
  <c r="BE114" i="1"/>
  <c r="BD98" i="1"/>
  <c r="BE98" i="1"/>
  <c r="BE90" i="1"/>
  <c r="BD90" i="1"/>
  <c r="BE66" i="1"/>
  <c r="BD66" i="1"/>
  <c r="BD50" i="1"/>
  <c r="BE50" i="1"/>
  <c r="BE246" i="1"/>
  <c r="BD246" i="1"/>
  <c r="BD190" i="1"/>
  <c r="BE190" i="1"/>
  <c r="BD172" i="1"/>
  <c r="BE172" i="1"/>
  <c r="BE107" i="1"/>
  <c r="AU180" i="1"/>
  <c r="AY129" i="1"/>
  <c r="AZ129" i="1"/>
  <c r="AZ91" i="1"/>
  <c r="AY91" i="1"/>
  <c r="AZ75" i="1"/>
  <c r="AY75" i="1"/>
  <c r="AZ49" i="1"/>
  <c r="AY49" i="1"/>
  <c r="AY241" i="1"/>
  <c r="AY185" i="1"/>
  <c r="AZ193" i="1"/>
  <c r="BD228" i="1"/>
  <c r="BE228" i="1"/>
  <c r="BD132" i="1"/>
  <c r="BE132" i="1"/>
  <c r="BD134" i="1"/>
  <c r="BE198" i="1"/>
  <c r="BE244" i="1"/>
  <c r="BD244" i="1"/>
  <c r="BD233" i="1"/>
  <c r="BE233" i="1"/>
  <c r="BD116" i="1"/>
  <c r="BE116" i="1"/>
  <c r="BD105" i="1"/>
  <c r="BE105" i="1"/>
  <c r="BE75" i="1"/>
  <c r="BD197" i="1"/>
  <c r="BD149" i="1"/>
  <c r="BD77" i="1"/>
  <c r="BE164" i="1"/>
  <c r="BE97" i="1"/>
  <c r="BE73" i="1"/>
  <c r="BD173" i="1"/>
  <c r="BE139" i="1"/>
  <c r="BE94" i="1"/>
  <c r="BE44" i="1"/>
  <c r="BE229" i="1"/>
  <c r="BD229" i="1"/>
  <c r="BE221" i="1"/>
  <c r="BD221" i="1"/>
  <c r="BE181" i="1"/>
  <c r="BD181" i="1"/>
  <c r="BE165" i="1"/>
  <c r="BD165" i="1"/>
  <c r="BE157" i="1"/>
  <c r="BD157" i="1"/>
  <c r="BE133" i="1"/>
  <c r="BD133" i="1"/>
  <c r="BE117" i="1"/>
  <c r="BD117" i="1"/>
  <c r="BE101" i="1"/>
  <c r="BD101" i="1"/>
  <c r="BE93" i="1"/>
  <c r="BD93" i="1"/>
  <c r="BE69" i="1"/>
  <c r="BD69" i="1"/>
  <c r="BE53" i="1"/>
  <c r="BD53" i="1"/>
  <c r="BD180" i="1"/>
  <c r="BE180" i="1"/>
  <c r="BD169" i="1"/>
  <c r="BE169" i="1"/>
  <c r="BD189" i="1"/>
  <c r="BD141" i="1"/>
  <c r="BE68" i="1"/>
  <c r="BE43" i="1"/>
  <c r="AZ43" i="1"/>
  <c r="AY43" i="1"/>
  <c r="AZ107" i="1"/>
  <c r="BD220" i="1"/>
  <c r="BE220" i="1"/>
  <c r="BD188" i="1"/>
  <c r="BE188" i="1"/>
  <c r="BD156" i="1"/>
  <c r="BE156" i="1"/>
  <c r="BD124" i="1"/>
  <c r="BE124" i="1"/>
  <c r="BD92" i="1"/>
  <c r="BE92" i="1"/>
  <c r="BD60" i="1"/>
  <c r="BE60" i="1"/>
  <c r="BD193" i="1"/>
  <c r="BE193" i="1"/>
  <c r="BD179" i="1"/>
  <c r="BE179" i="1"/>
  <c r="BD54" i="1"/>
  <c r="BE54" i="1"/>
  <c r="BE203" i="1"/>
  <c r="BE84" i="1"/>
  <c r="BE62" i="1"/>
  <c r="AZ51" i="1"/>
  <c r="AY51" i="1"/>
  <c r="AY200" i="1"/>
  <c r="AY191" i="1"/>
  <c r="AY136" i="1"/>
  <c r="AY127" i="1"/>
  <c r="AY87" i="1"/>
  <c r="BD227" i="1"/>
  <c r="BE227" i="1"/>
  <c r="BD219" i="1"/>
  <c r="BE219" i="1"/>
  <c r="BD195" i="1"/>
  <c r="BE195" i="1"/>
  <c r="BD163" i="1"/>
  <c r="BE163" i="1"/>
  <c r="BD155" i="1"/>
  <c r="BE155" i="1"/>
  <c r="BD131" i="1"/>
  <c r="BE131" i="1"/>
  <c r="BD99" i="1"/>
  <c r="BE99" i="1"/>
  <c r="BD91" i="1"/>
  <c r="BE91" i="1"/>
  <c r="BD65" i="1"/>
  <c r="BE65" i="1"/>
  <c r="BD52" i="1"/>
  <c r="BE52" i="1"/>
  <c r="BD245" i="1"/>
  <c r="BD205" i="1"/>
  <c r="BD45" i="1"/>
  <c r="BE201" i="1"/>
  <c r="BE108" i="1"/>
  <c r="BE83" i="1"/>
  <c r="BD239" i="1"/>
  <c r="BD215" i="1"/>
  <c r="BD151" i="1"/>
  <c r="BE49" i="1"/>
  <c r="BE67" i="1"/>
  <c r="BD207" i="1"/>
  <c r="BD143" i="1"/>
  <c r="BD79" i="1"/>
  <c r="BE206" i="1"/>
  <c r="BE142" i="1"/>
  <c r="BE78" i="1"/>
  <c r="BD231" i="1"/>
  <c r="BD167" i="1"/>
  <c r="BD103" i="1"/>
  <c r="BB17" i="1" l="1"/>
  <c r="D8" i="1"/>
  <c r="BB42" i="1"/>
  <c r="F4" i="3"/>
  <c r="E3" i="4"/>
  <c r="E4" i="4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E3" i="3"/>
  <c r="E11" i="4" l="1"/>
  <c r="E10" i="4"/>
  <c r="E9" i="4"/>
  <c r="E8" i="4"/>
  <c r="E7" i="4"/>
  <c r="E6" i="4"/>
  <c r="E5" i="4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233" i="4"/>
  <c r="E8" i="1"/>
  <c r="G8" i="1" s="1"/>
  <c r="E7" i="1"/>
  <c r="F7" i="1" s="1"/>
  <c r="D9" i="1"/>
  <c r="E9" i="1" s="1"/>
  <c r="G9" i="1" s="1"/>
  <c r="BC42" i="1"/>
  <c r="BC41" i="1"/>
  <c r="BC40" i="1"/>
  <c r="BC26" i="1"/>
  <c r="BC25" i="1"/>
  <c r="V14" i="1"/>
  <c r="BB18" i="1"/>
  <c r="BC18" i="1" s="1"/>
  <c r="BB19" i="1"/>
  <c r="BC19" i="1" s="1"/>
  <c r="BB20" i="1"/>
  <c r="BC20" i="1" s="1"/>
  <c r="BB21" i="1"/>
  <c r="BC21" i="1" s="1"/>
  <c r="BB22" i="1"/>
  <c r="BC22" i="1" s="1"/>
  <c r="BB23" i="1"/>
  <c r="BC23" i="1" s="1"/>
  <c r="BB24" i="1"/>
  <c r="BC24" i="1" s="1"/>
  <c r="BB25" i="1"/>
  <c r="BB26" i="1"/>
  <c r="BB27" i="1"/>
  <c r="BC27" i="1" s="1"/>
  <c r="BB28" i="1"/>
  <c r="BC28" i="1" s="1"/>
  <c r="BB29" i="1"/>
  <c r="BC29" i="1" s="1"/>
  <c r="BB30" i="1"/>
  <c r="BC30" i="1" s="1"/>
  <c r="BB31" i="1"/>
  <c r="BC31" i="1" s="1"/>
  <c r="BB32" i="1"/>
  <c r="BC32" i="1" s="1"/>
  <c r="BB33" i="1"/>
  <c r="BC33" i="1" s="1"/>
  <c r="BB34" i="1"/>
  <c r="BC34" i="1" s="1"/>
  <c r="BB35" i="1"/>
  <c r="BC35" i="1" s="1"/>
  <c r="BB36" i="1"/>
  <c r="BC36" i="1" s="1"/>
  <c r="BB37" i="1"/>
  <c r="BC37" i="1" s="1"/>
  <c r="BB38" i="1"/>
  <c r="BC38" i="1" s="1"/>
  <c r="BB39" i="1"/>
  <c r="BC39" i="1" s="1"/>
  <c r="BC17" i="1"/>
  <c r="AX26" i="1"/>
  <c r="AX27" i="1"/>
  <c r="AX34" i="1"/>
  <c r="AX35" i="1"/>
  <c r="AX42" i="1"/>
  <c r="AX16" i="1"/>
  <c r="AW17" i="1"/>
  <c r="AX17" i="1" s="1"/>
  <c r="AW18" i="1"/>
  <c r="AX18" i="1" s="1"/>
  <c r="AW19" i="1"/>
  <c r="AX19" i="1" s="1"/>
  <c r="AW20" i="1"/>
  <c r="AX20" i="1" s="1"/>
  <c r="AW21" i="1"/>
  <c r="AX21" i="1" s="1"/>
  <c r="AW22" i="1"/>
  <c r="AX22" i="1" s="1"/>
  <c r="AW23" i="1"/>
  <c r="AX23" i="1" s="1"/>
  <c r="AW24" i="1"/>
  <c r="AX24" i="1" s="1"/>
  <c r="AW25" i="1"/>
  <c r="AX25" i="1" s="1"/>
  <c r="AW26" i="1"/>
  <c r="AW27" i="1"/>
  <c r="AW28" i="1"/>
  <c r="AX28" i="1" s="1"/>
  <c r="AW29" i="1"/>
  <c r="AX29" i="1" s="1"/>
  <c r="AW30" i="1"/>
  <c r="AX30" i="1" s="1"/>
  <c r="AW31" i="1"/>
  <c r="AX31" i="1" s="1"/>
  <c r="AW32" i="1"/>
  <c r="AX32" i="1" s="1"/>
  <c r="AW33" i="1"/>
  <c r="AX33" i="1" s="1"/>
  <c r="AW34" i="1"/>
  <c r="AW35" i="1"/>
  <c r="AW36" i="1"/>
  <c r="AX36" i="1" s="1"/>
  <c r="AW37" i="1"/>
  <c r="AX37" i="1" s="1"/>
  <c r="AW38" i="1"/>
  <c r="AX38" i="1" s="1"/>
  <c r="AW39" i="1"/>
  <c r="AX39" i="1" s="1"/>
  <c r="AW40" i="1"/>
  <c r="AX40" i="1" s="1"/>
  <c r="AW41" i="1"/>
  <c r="AX41" i="1" s="1"/>
  <c r="AW42" i="1"/>
  <c r="AW16" i="1"/>
  <c r="AR15" i="1"/>
  <c r="AS15" i="1" s="1"/>
  <c r="AT15" i="1" s="1"/>
  <c r="AM14" i="1"/>
  <c r="AN14" i="1" s="1"/>
  <c r="AI18" i="1"/>
  <c r="AI19" i="1"/>
  <c r="AH13" i="1"/>
  <c r="AI13" i="1" s="1"/>
  <c r="AR16" i="1"/>
  <c r="AS16" i="1" s="1"/>
  <c r="AR17" i="1"/>
  <c r="AS17" i="1" s="1"/>
  <c r="AR18" i="1"/>
  <c r="AS18" i="1" s="1"/>
  <c r="AR19" i="1"/>
  <c r="AS19" i="1" s="1"/>
  <c r="AR20" i="1"/>
  <c r="AS20" i="1" s="1"/>
  <c r="AR21" i="1"/>
  <c r="AS21" i="1" s="1"/>
  <c r="AR22" i="1"/>
  <c r="AS22" i="1" s="1"/>
  <c r="AR23" i="1"/>
  <c r="AS23" i="1" s="1"/>
  <c r="AR24" i="1"/>
  <c r="AS24" i="1" s="1"/>
  <c r="AR25" i="1"/>
  <c r="AS25" i="1" s="1"/>
  <c r="AR26" i="1"/>
  <c r="AS26" i="1" s="1"/>
  <c r="AR27" i="1"/>
  <c r="AS27" i="1" s="1"/>
  <c r="AR28" i="1"/>
  <c r="AS28" i="1" s="1"/>
  <c r="AR29" i="1"/>
  <c r="AS29" i="1" s="1"/>
  <c r="AR30" i="1"/>
  <c r="AS30" i="1" s="1"/>
  <c r="AR31" i="1"/>
  <c r="AS31" i="1" s="1"/>
  <c r="AR32" i="1"/>
  <c r="AS32" i="1" s="1"/>
  <c r="AR33" i="1"/>
  <c r="AS33" i="1" s="1"/>
  <c r="AR34" i="1"/>
  <c r="AS34" i="1" s="1"/>
  <c r="AR35" i="1"/>
  <c r="AS35" i="1" s="1"/>
  <c r="AR36" i="1"/>
  <c r="AS36" i="1" s="1"/>
  <c r="AR37" i="1"/>
  <c r="AS37" i="1" s="1"/>
  <c r="AR38" i="1"/>
  <c r="AS38" i="1" s="1"/>
  <c r="AR39" i="1"/>
  <c r="AS39" i="1" s="1"/>
  <c r="AR40" i="1"/>
  <c r="AS40" i="1" s="1"/>
  <c r="AR41" i="1"/>
  <c r="AS41" i="1" s="1"/>
  <c r="AR42" i="1"/>
  <c r="AS42" i="1" s="1"/>
  <c r="AU42" i="1" s="1"/>
  <c r="AN23" i="1"/>
  <c r="AN31" i="1"/>
  <c r="AN39" i="1"/>
  <c r="AM15" i="1"/>
  <c r="AN15" i="1" s="1"/>
  <c r="AM16" i="1"/>
  <c r="AN16" i="1" s="1"/>
  <c r="AM17" i="1"/>
  <c r="AN17" i="1" s="1"/>
  <c r="AM18" i="1"/>
  <c r="AN18" i="1" s="1"/>
  <c r="AM19" i="1"/>
  <c r="AN19" i="1" s="1"/>
  <c r="AM20" i="1"/>
  <c r="AN20" i="1" s="1"/>
  <c r="AM21" i="1"/>
  <c r="AN21" i="1" s="1"/>
  <c r="AM22" i="1"/>
  <c r="AN22" i="1" s="1"/>
  <c r="AM23" i="1"/>
  <c r="AM24" i="1"/>
  <c r="AN24" i="1" s="1"/>
  <c r="AM25" i="1"/>
  <c r="AN25" i="1" s="1"/>
  <c r="AM26" i="1"/>
  <c r="AN26" i="1" s="1"/>
  <c r="AM27" i="1"/>
  <c r="AN27" i="1" s="1"/>
  <c r="AM28" i="1"/>
  <c r="AN28" i="1" s="1"/>
  <c r="AM29" i="1"/>
  <c r="AN29" i="1" s="1"/>
  <c r="AM30" i="1"/>
  <c r="AN30" i="1" s="1"/>
  <c r="AM31" i="1"/>
  <c r="AM32" i="1"/>
  <c r="AN32" i="1" s="1"/>
  <c r="AM33" i="1"/>
  <c r="AN33" i="1" s="1"/>
  <c r="AM34" i="1"/>
  <c r="AN34" i="1" s="1"/>
  <c r="AM35" i="1"/>
  <c r="AN35" i="1" s="1"/>
  <c r="AM36" i="1"/>
  <c r="AN36" i="1" s="1"/>
  <c r="AM37" i="1"/>
  <c r="AN37" i="1" s="1"/>
  <c r="AM38" i="1"/>
  <c r="AN38" i="1" s="1"/>
  <c r="AM39" i="1"/>
  <c r="AM40" i="1"/>
  <c r="AN40" i="1" s="1"/>
  <c r="AM41" i="1"/>
  <c r="AN41" i="1" s="1"/>
  <c r="AM42" i="1"/>
  <c r="AN42" i="1" s="1"/>
  <c r="AH14" i="1"/>
  <c r="AI14" i="1" s="1"/>
  <c r="AH15" i="1"/>
  <c r="AI15" i="1" s="1"/>
  <c r="AH16" i="1"/>
  <c r="AI16" i="1" s="1"/>
  <c r="AH17" i="1"/>
  <c r="AI17" i="1" s="1"/>
  <c r="AH18" i="1"/>
  <c r="AH19" i="1"/>
  <c r="AH20" i="1"/>
  <c r="AI20" i="1" s="1"/>
  <c r="AH21" i="1"/>
  <c r="AI21" i="1" s="1"/>
  <c r="AH22" i="1"/>
  <c r="AI22" i="1" s="1"/>
  <c r="AH23" i="1"/>
  <c r="AI23" i="1" s="1"/>
  <c r="AH24" i="1"/>
  <c r="AI24" i="1" s="1"/>
  <c r="AH25" i="1"/>
  <c r="AI25" i="1" s="1"/>
  <c r="AH26" i="1"/>
  <c r="AI26" i="1" s="1"/>
  <c r="AH27" i="1"/>
  <c r="AI27" i="1" s="1"/>
  <c r="AH28" i="1"/>
  <c r="AI28" i="1" s="1"/>
  <c r="AH29" i="1"/>
  <c r="AI29" i="1" s="1"/>
  <c r="AH30" i="1"/>
  <c r="AI30" i="1" s="1"/>
  <c r="AH31" i="1"/>
  <c r="AI31" i="1" s="1"/>
  <c r="AH32" i="1"/>
  <c r="AI32" i="1" s="1"/>
  <c r="AH33" i="1"/>
  <c r="AI33" i="1" s="1"/>
  <c r="AH34" i="1"/>
  <c r="AI34" i="1" s="1"/>
  <c r="AH35" i="1"/>
  <c r="AI35" i="1" s="1"/>
  <c r="AH36" i="1"/>
  <c r="AI36" i="1" s="1"/>
  <c r="AH37" i="1"/>
  <c r="AI37" i="1" s="1"/>
  <c r="AH38" i="1"/>
  <c r="AI38" i="1" s="1"/>
  <c r="AH39" i="1"/>
  <c r="AI39" i="1" s="1"/>
  <c r="AH40" i="1"/>
  <c r="AI40" i="1" s="1"/>
  <c r="AH41" i="1"/>
  <c r="AI41" i="1" s="1"/>
  <c r="AH42" i="1"/>
  <c r="AI42" i="1" s="1"/>
  <c r="AD35" i="1"/>
  <c r="AC13" i="1"/>
  <c r="AD13" i="1" s="1"/>
  <c r="AC14" i="1"/>
  <c r="AD14" i="1" s="1"/>
  <c r="AC15" i="1"/>
  <c r="AD15" i="1" s="1"/>
  <c r="AC16" i="1"/>
  <c r="AD16" i="1" s="1"/>
  <c r="AC17" i="1"/>
  <c r="AD17" i="1" s="1"/>
  <c r="AC18" i="1"/>
  <c r="AD18" i="1" s="1"/>
  <c r="AC19" i="1"/>
  <c r="AD19" i="1" s="1"/>
  <c r="AC20" i="1"/>
  <c r="AD20" i="1" s="1"/>
  <c r="AC21" i="1"/>
  <c r="AD21" i="1" s="1"/>
  <c r="AC22" i="1"/>
  <c r="AD22" i="1" s="1"/>
  <c r="AC23" i="1"/>
  <c r="AD23" i="1" s="1"/>
  <c r="AC24" i="1"/>
  <c r="AD24" i="1" s="1"/>
  <c r="AC25" i="1"/>
  <c r="AD25" i="1" s="1"/>
  <c r="AC26" i="1"/>
  <c r="AD26" i="1" s="1"/>
  <c r="AC27" i="1"/>
  <c r="AD27" i="1" s="1"/>
  <c r="AC28" i="1"/>
  <c r="AD28" i="1" s="1"/>
  <c r="AC29" i="1"/>
  <c r="AD29" i="1" s="1"/>
  <c r="AC30" i="1"/>
  <c r="AD30" i="1" s="1"/>
  <c r="AC31" i="1"/>
  <c r="AD31" i="1" s="1"/>
  <c r="AC32" i="1"/>
  <c r="AD32" i="1" s="1"/>
  <c r="AC33" i="1"/>
  <c r="AD33" i="1" s="1"/>
  <c r="AC34" i="1"/>
  <c r="AD34" i="1" s="1"/>
  <c r="AC35" i="1"/>
  <c r="AC36" i="1"/>
  <c r="AD36" i="1" s="1"/>
  <c r="AC37" i="1"/>
  <c r="AD37" i="1" s="1"/>
  <c r="AC38" i="1"/>
  <c r="AD38" i="1" s="1"/>
  <c r="AC39" i="1"/>
  <c r="AD39" i="1" s="1"/>
  <c r="AC40" i="1"/>
  <c r="AD40" i="1" s="1"/>
  <c r="AC41" i="1"/>
  <c r="AD41" i="1" s="1"/>
  <c r="AC42" i="1"/>
  <c r="AD42" i="1" s="1"/>
  <c r="AC43" i="1"/>
  <c r="AD43" i="1" s="1"/>
  <c r="AC44" i="1"/>
  <c r="AD44" i="1" s="1"/>
  <c r="AC12" i="1"/>
  <c r="AD12" i="1" s="1"/>
  <c r="AE12" i="1" s="1"/>
  <c r="Y17" i="1"/>
  <c r="Y25" i="1"/>
  <c r="Y36" i="1"/>
  <c r="Y39" i="1"/>
  <c r="Y41" i="1"/>
  <c r="X12" i="1"/>
  <c r="Y12" i="1" s="1"/>
  <c r="X13" i="1"/>
  <c r="Y13" i="1" s="1"/>
  <c r="X14" i="1"/>
  <c r="Y14" i="1" s="1"/>
  <c r="X15" i="1"/>
  <c r="Y15" i="1" s="1"/>
  <c r="X16" i="1"/>
  <c r="Y16" i="1" s="1"/>
  <c r="X17" i="1"/>
  <c r="X18" i="1"/>
  <c r="Y18" i="1" s="1"/>
  <c r="X19" i="1"/>
  <c r="Y19" i="1" s="1"/>
  <c r="X20" i="1"/>
  <c r="Y20" i="1" s="1"/>
  <c r="X21" i="1"/>
  <c r="Y21" i="1" s="1"/>
  <c r="X22" i="1"/>
  <c r="Y22" i="1" s="1"/>
  <c r="X23" i="1"/>
  <c r="Y23" i="1" s="1"/>
  <c r="X24" i="1"/>
  <c r="Y24" i="1" s="1"/>
  <c r="X25" i="1"/>
  <c r="X26" i="1"/>
  <c r="Y26" i="1" s="1"/>
  <c r="X27" i="1"/>
  <c r="Y27" i="1" s="1"/>
  <c r="X28" i="1"/>
  <c r="Y28" i="1" s="1"/>
  <c r="X29" i="1"/>
  <c r="Y29" i="1" s="1"/>
  <c r="X30" i="1"/>
  <c r="Y30" i="1" s="1"/>
  <c r="X31" i="1"/>
  <c r="Y31" i="1" s="1"/>
  <c r="X32" i="1"/>
  <c r="Y32" i="1" s="1"/>
  <c r="X33" i="1"/>
  <c r="Y33" i="1" s="1"/>
  <c r="X34" i="1"/>
  <c r="Y34" i="1" s="1"/>
  <c r="X35" i="1"/>
  <c r="Y35" i="1" s="1"/>
  <c r="X36" i="1"/>
  <c r="X37" i="1"/>
  <c r="Y37" i="1" s="1"/>
  <c r="X38" i="1"/>
  <c r="Y38" i="1" s="1"/>
  <c r="X39" i="1"/>
  <c r="X40" i="1"/>
  <c r="Y40" i="1" s="1"/>
  <c r="X41" i="1"/>
  <c r="X42" i="1"/>
  <c r="Y42" i="1" s="1"/>
  <c r="X11" i="1"/>
  <c r="Y11" i="1" s="1"/>
  <c r="Z11" i="1" s="1"/>
  <c r="S11" i="1"/>
  <c r="T11" i="1" s="1"/>
  <c r="S12" i="1"/>
  <c r="T12" i="1" s="1"/>
  <c r="S13" i="1"/>
  <c r="T13" i="1" s="1"/>
  <c r="S14" i="1"/>
  <c r="T14" i="1" s="1"/>
  <c r="U14" i="1" s="1"/>
  <c r="S15" i="1"/>
  <c r="T15" i="1" s="1"/>
  <c r="U15" i="1" s="1"/>
  <c r="S16" i="1"/>
  <c r="T16" i="1" s="1"/>
  <c r="U16" i="1" s="1"/>
  <c r="S17" i="1"/>
  <c r="T17" i="1" s="1"/>
  <c r="U17" i="1" s="1"/>
  <c r="S18" i="1"/>
  <c r="T18" i="1" s="1"/>
  <c r="S19" i="1"/>
  <c r="T19" i="1" s="1"/>
  <c r="S20" i="1"/>
  <c r="T20" i="1" s="1"/>
  <c r="S21" i="1"/>
  <c r="T21" i="1" s="1"/>
  <c r="S22" i="1"/>
  <c r="T22" i="1" s="1"/>
  <c r="U22" i="1" s="1"/>
  <c r="S23" i="1"/>
  <c r="T23" i="1" s="1"/>
  <c r="U23" i="1" s="1"/>
  <c r="S24" i="1"/>
  <c r="T24" i="1" s="1"/>
  <c r="S25" i="1"/>
  <c r="T25" i="1" s="1"/>
  <c r="S26" i="1"/>
  <c r="T26" i="1" s="1"/>
  <c r="S27" i="1"/>
  <c r="T27" i="1" s="1"/>
  <c r="S28" i="1"/>
  <c r="T28" i="1" s="1"/>
  <c r="S29" i="1"/>
  <c r="T29" i="1" s="1"/>
  <c r="S30" i="1"/>
  <c r="T30" i="1" s="1"/>
  <c r="U30" i="1" s="1"/>
  <c r="S31" i="1"/>
  <c r="T31" i="1" s="1"/>
  <c r="V31" i="1" s="1"/>
  <c r="S32" i="1"/>
  <c r="T32" i="1" s="1"/>
  <c r="V32" i="1" s="1"/>
  <c r="S33" i="1"/>
  <c r="T33" i="1" s="1"/>
  <c r="S34" i="1"/>
  <c r="T34" i="1" s="1"/>
  <c r="S35" i="1"/>
  <c r="T35" i="1" s="1"/>
  <c r="S36" i="1"/>
  <c r="T36" i="1" s="1"/>
  <c r="S37" i="1"/>
  <c r="T37" i="1" s="1"/>
  <c r="S38" i="1"/>
  <c r="T38" i="1" s="1"/>
  <c r="V38" i="1" s="1"/>
  <c r="S39" i="1"/>
  <c r="T39" i="1" s="1"/>
  <c r="U39" i="1" s="1"/>
  <c r="S40" i="1"/>
  <c r="T40" i="1" s="1"/>
  <c r="S41" i="1"/>
  <c r="T41" i="1" s="1"/>
  <c r="S42" i="1"/>
  <c r="T42" i="1" s="1"/>
  <c r="S10" i="1"/>
  <c r="T10" i="1" s="1"/>
  <c r="U10" i="1" s="1"/>
  <c r="O13" i="1"/>
  <c r="O15" i="1"/>
  <c r="P15" i="1" s="1"/>
  <c r="O21" i="1"/>
  <c r="O22" i="1"/>
  <c r="P22" i="1" s="1"/>
  <c r="O30" i="1"/>
  <c r="P30" i="1" s="1"/>
  <c r="O40" i="1"/>
  <c r="P40" i="1" s="1"/>
  <c r="N10" i="1"/>
  <c r="O10" i="1" s="1"/>
  <c r="Q10" i="1" s="1"/>
  <c r="N11" i="1"/>
  <c r="O11" i="1" s="1"/>
  <c r="N12" i="1"/>
  <c r="O12" i="1" s="1"/>
  <c r="N13" i="1"/>
  <c r="N14" i="1"/>
  <c r="O14" i="1" s="1"/>
  <c r="N15" i="1"/>
  <c r="N16" i="1"/>
  <c r="O16" i="1" s="1"/>
  <c r="N17" i="1"/>
  <c r="O17" i="1" s="1"/>
  <c r="P17" i="1" s="1"/>
  <c r="N18" i="1"/>
  <c r="O18" i="1" s="1"/>
  <c r="Q18" i="1" s="1"/>
  <c r="N19" i="1"/>
  <c r="O19" i="1" s="1"/>
  <c r="N20" i="1"/>
  <c r="O20" i="1" s="1"/>
  <c r="N21" i="1"/>
  <c r="N22" i="1"/>
  <c r="N23" i="1"/>
  <c r="O23" i="1" s="1"/>
  <c r="N24" i="1"/>
  <c r="O24" i="1" s="1"/>
  <c r="P24" i="1" s="1"/>
  <c r="N25" i="1"/>
  <c r="O25" i="1" s="1"/>
  <c r="P25" i="1" s="1"/>
  <c r="N26" i="1"/>
  <c r="O26" i="1" s="1"/>
  <c r="Q26" i="1" s="1"/>
  <c r="N27" i="1"/>
  <c r="O27" i="1" s="1"/>
  <c r="N28" i="1"/>
  <c r="O28" i="1" s="1"/>
  <c r="N29" i="1"/>
  <c r="O29" i="1" s="1"/>
  <c r="N30" i="1"/>
  <c r="N31" i="1"/>
  <c r="O31" i="1" s="1"/>
  <c r="P31" i="1" s="1"/>
  <c r="N32" i="1"/>
  <c r="O32" i="1" s="1"/>
  <c r="P32" i="1" s="1"/>
  <c r="N33" i="1"/>
  <c r="O33" i="1" s="1"/>
  <c r="P33" i="1" s="1"/>
  <c r="N34" i="1"/>
  <c r="O34" i="1" s="1"/>
  <c r="Q34" i="1" s="1"/>
  <c r="N35" i="1"/>
  <c r="O35" i="1" s="1"/>
  <c r="N36" i="1"/>
  <c r="O36" i="1" s="1"/>
  <c r="N37" i="1"/>
  <c r="O37" i="1" s="1"/>
  <c r="N38" i="1"/>
  <c r="O38" i="1" s="1"/>
  <c r="N39" i="1"/>
  <c r="O39" i="1" s="1"/>
  <c r="N40" i="1"/>
  <c r="N41" i="1"/>
  <c r="O41" i="1" s="1"/>
  <c r="P41" i="1" s="1"/>
  <c r="N42" i="1"/>
  <c r="O42" i="1" s="1"/>
  <c r="Q42" i="1" s="1"/>
  <c r="N9" i="1"/>
  <c r="O9" i="1" s="1"/>
  <c r="P9" i="1" s="1"/>
  <c r="J9" i="1"/>
  <c r="K9" i="1" s="1"/>
  <c r="I9" i="1"/>
  <c r="I10" i="1"/>
  <c r="J10" i="1" s="1"/>
  <c r="I11" i="1"/>
  <c r="J11" i="1" s="1"/>
  <c r="K11" i="1" s="1"/>
  <c r="I12" i="1"/>
  <c r="J12" i="1" s="1"/>
  <c r="L12" i="1" s="1"/>
  <c r="I13" i="1"/>
  <c r="J13" i="1" s="1"/>
  <c r="L13" i="1" s="1"/>
  <c r="I14" i="1"/>
  <c r="J14" i="1" s="1"/>
  <c r="I15" i="1"/>
  <c r="J15" i="1" s="1"/>
  <c r="I16" i="1"/>
  <c r="J16" i="1" s="1"/>
  <c r="I17" i="1"/>
  <c r="J17" i="1" s="1"/>
  <c r="K17" i="1" s="1"/>
  <c r="I18" i="1"/>
  <c r="J18" i="1" s="1"/>
  <c r="K18" i="1" s="1"/>
  <c r="I19" i="1"/>
  <c r="J19" i="1" s="1"/>
  <c r="L19" i="1" s="1"/>
  <c r="I20" i="1"/>
  <c r="J20" i="1" s="1"/>
  <c r="L20" i="1" s="1"/>
  <c r="I21" i="1"/>
  <c r="J21" i="1" s="1"/>
  <c r="L21" i="1" s="1"/>
  <c r="I22" i="1"/>
  <c r="J22" i="1" s="1"/>
  <c r="I23" i="1"/>
  <c r="J23" i="1" s="1"/>
  <c r="I24" i="1"/>
  <c r="J24" i="1" s="1"/>
  <c r="I25" i="1"/>
  <c r="J25" i="1" s="1"/>
  <c r="K25" i="1" s="1"/>
  <c r="I26" i="1"/>
  <c r="J26" i="1" s="1"/>
  <c r="I27" i="1"/>
  <c r="J27" i="1" s="1"/>
  <c r="K27" i="1" s="1"/>
  <c r="I28" i="1"/>
  <c r="J28" i="1" s="1"/>
  <c r="L28" i="1" s="1"/>
  <c r="I29" i="1"/>
  <c r="J29" i="1" s="1"/>
  <c r="L29" i="1" s="1"/>
  <c r="I30" i="1"/>
  <c r="J30" i="1" s="1"/>
  <c r="I31" i="1"/>
  <c r="J31" i="1" s="1"/>
  <c r="I32" i="1"/>
  <c r="J32" i="1" s="1"/>
  <c r="K32" i="1" s="1"/>
  <c r="I33" i="1"/>
  <c r="J33" i="1" s="1"/>
  <c r="I34" i="1"/>
  <c r="J34" i="1" s="1"/>
  <c r="I35" i="1"/>
  <c r="J35" i="1" s="1"/>
  <c r="L35" i="1" s="1"/>
  <c r="I36" i="1"/>
  <c r="J36" i="1" s="1"/>
  <c r="L36" i="1" s="1"/>
  <c r="I37" i="1"/>
  <c r="J37" i="1" s="1"/>
  <c r="L37" i="1" s="1"/>
  <c r="I38" i="1"/>
  <c r="J38" i="1" s="1"/>
  <c r="I39" i="1"/>
  <c r="J39" i="1" s="1"/>
  <c r="I40" i="1"/>
  <c r="J40" i="1" s="1"/>
  <c r="I41" i="1"/>
  <c r="J41" i="1" s="1"/>
  <c r="K41" i="1" s="1"/>
  <c r="I42" i="1"/>
  <c r="J42" i="1" s="1"/>
  <c r="L42" i="1" s="1"/>
  <c r="I8" i="1"/>
  <c r="J8" i="1" s="1"/>
  <c r="F11" i="1"/>
  <c r="F19" i="1"/>
  <c r="F42" i="1"/>
  <c r="D10" i="1"/>
  <c r="E10" i="1" s="1"/>
  <c r="G10" i="1" s="1"/>
  <c r="D11" i="1"/>
  <c r="E11" i="1" s="1"/>
  <c r="G11" i="1" s="1"/>
  <c r="D12" i="1"/>
  <c r="E12" i="1" s="1"/>
  <c r="F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G18" i="1" s="1"/>
  <c r="D19" i="1"/>
  <c r="E19" i="1" s="1"/>
  <c r="G19" i="1" s="1"/>
  <c r="D20" i="1"/>
  <c r="E20" i="1" s="1"/>
  <c r="F20" i="1" s="1"/>
  <c r="D21" i="1"/>
  <c r="E21" i="1" s="1"/>
  <c r="D22" i="1"/>
  <c r="E22" i="1" s="1"/>
  <c r="G22" i="1" s="1"/>
  <c r="D23" i="1"/>
  <c r="E23" i="1" s="1"/>
  <c r="G23" i="1" s="1"/>
  <c r="D24" i="1"/>
  <c r="E24" i="1" s="1"/>
  <c r="D25" i="1"/>
  <c r="E25" i="1" s="1"/>
  <c r="D26" i="1"/>
  <c r="E26" i="1" s="1"/>
  <c r="G26" i="1" s="1"/>
  <c r="D27" i="1"/>
  <c r="E27" i="1" s="1"/>
  <c r="F27" i="1" s="1"/>
  <c r="D28" i="1"/>
  <c r="E28" i="1" s="1"/>
  <c r="F28" i="1" s="1"/>
  <c r="D29" i="1"/>
  <c r="E29" i="1" s="1"/>
  <c r="D30" i="1"/>
  <c r="E30" i="1" s="1"/>
  <c r="G30" i="1" s="1"/>
  <c r="D31" i="1"/>
  <c r="E31" i="1" s="1"/>
  <c r="G31" i="1" s="1"/>
  <c r="D32" i="1"/>
  <c r="E32" i="1" s="1"/>
  <c r="G32" i="1" s="1"/>
  <c r="D33" i="1"/>
  <c r="E33" i="1" s="1"/>
  <c r="F33" i="1" s="1"/>
  <c r="D34" i="1"/>
  <c r="E34" i="1" s="1"/>
  <c r="D35" i="1"/>
  <c r="E35" i="1" s="1"/>
  <c r="F35" i="1" s="1"/>
  <c r="D36" i="1"/>
  <c r="E36" i="1" s="1"/>
  <c r="F36" i="1" s="1"/>
  <c r="D37" i="1"/>
  <c r="E37" i="1" s="1"/>
  <c r="D38" i="1"/>
  <c r="E38" i="1" s="1"/>
  <c r="D39" i="1"/>
  <c r="E39" i="1" s="1"/>
  <c r="D40" i="1"/>
  <c r="E40" i="1" s="1"/>
  <c r="D41" i="1"/>
  <c r="E41" i="1" s="1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K35" i="1" l="1"/>
  <c r="V15" i="1"/>
  <c r="G35" i="1"/>
  <c r="G27" i="1"/>
  <c r="G20" i="1"/>
  <c r="V22" i="1"/>
  <c r="K34" i="1"/>
  <c r="L34" i="1"/>
  <c r="L26" i="1"/>
  <c r="K26" i="1"/>
  <c r="L10" i="1"/>
  <c r="K10" i="1"/>
  <c r="F34" i="1"/>
  <c r="G34" i="1"/>
  <c r="K33" i="1"/>
  <c r="L33" i="1"/>
  <c r="P16" i="1"/>
  <c r="Q16" i="1"/>
  <c r="K21" i="1"/>
  <c r="U38" i="1"/>
  <c r="K20" i="1"/>
  <c r="U31" i="1"/>
  <c r="K19" i="1"/>
  <c r="AF44" i="1"/>
  <c r="AE44" i="1"/>
  <c r="AE43" i="1"/>
  <c r="AF43" i="1"/>
  <c r="K37" i="1"/>
  <c r="Q15" i="1"/>
  <c r="G12" i="1"/>
  <c r="V30" i="1"/>
  <c r="K36" i="1"/>
  <c r="U34" i="1"/>
  <c r="V34" i="1"/>
  <c r="G38" i="1"/>
  <c r="F38" i="1"/>
  <c r="U35" i="1"/>
  <c r="V35" i="1"/>
  <c r="U11" i="1"/>
  <c r="V11" i="1"/>
  <c r="U42" i="1"/>
  <c r="V42" i="1"/>
  <c r="U33" i="1"/>
  <c r="V33" i="1"/>
  <c r="K15" i="1"/>
  <c r="L15" i="1"/>
  <c r="Q39" i="1"/>
  <c r="P39" i="1"/>
  <c r="U24" i="1"/>
  <c r="V24" i="1"/>
  <c r="P38" i="1"/>
  <c r="Q38" i="1"/>
  <c r="G41" i="1"/>
  <c r="F41" i="1"/>
  <c r="F25" i="1"/>
  <c r="G25" i="1"/>
  <c r="G17" i="1"/>
  <c r="F17" i="1"/>
  <c r="P37" i="1"/>
  <c r="Q37" i="1"/>
  <c r="G14" i="1"/>
  <c r="F14" i="1"/>
  <c r="U19" i="1"/>
  <c r="V19" i="1"/>
  <c r="K24" i="1"/>
  <c r="L24" i="1"/>
  <c r="U25" i="1"/>
  <c r="V25" i="1"/>
  <c r="K39" i="1"/>
  <c r="L39" i="1"/>
  <c r="K22" i="1"/>
  <c r="L22" i="1"/>
  <c r="F40" i="1"/>
  <c r="G40" i="1"/>
  <c r="G24" i="1"/>
  <c r="F24" i="1"/>
  <c r="G16" i="1"/>
  <c r="F16" i="1"/>
  <c r="U27" i="1"/>
  <c r="V27" i="1"/>
  <c r="G37" i="1"/>
  <c r="F37" i="1"/>
  <c r="U26" i="1"/>
  <c r="V26" i="1"/>
  <c r="K40" i="1"/>
  <c r="L40" i="1"/>
  <c r="K16" i="1"/>
  <c r="L16" i="1"/>
  <c r="U41" i="1"/>
  <c r="V41" i="1"/>
  <c r="K23" i="1"/>
  <c r="L23" i="1"/>
  <c r="Q23" i="1"/>
  <c r="P23" i="1"/>
  <c r="U40" i="1"/>
  <c r="V40" i="1"/>
  <c r="K38" i="1"/>
  <c r="L38" i="1"/>
  <c r="K14" i="1"/>
  <c r="L14" i="1"/>
  <c r="P14" i="1"/>
  <c r="Q14" i="1"/>
  <c r="G39" i="1"/>
  <c r="F39" i="1"/>
  <c r="F15" i="1"/>
  <c r="G15" i="1"/>
  <c r="K8" i="1"/>
  <c r="L8" i="1"/>
  <c r="Q22" i="1"/>
  <c r="K42" i="1"/>
  <c r="K31" i="1"/>
  <c r="L31" i="1"/>
  <c r="V17" i="1"/>
  <c r="Q33" i="1"/>
  <c r="Q17" i="1"/>
  <c r="P34" i="1"/>
  <c r="P18" i="1"/>
  <c r="P36" i="1"/>
  <c r="Q36" i="1"/>
  <c r="F23" i="1"/>
  <c r="P35" i="1"/>
  <c r="Q35" i="1"/>
  <c r="F32" i="1"/>
  <c r="G33" i="1"/>
  <c r="V16" i="1"/>
  <c r="Q32" i="1"/>
  <c r="L18" i="1"/>
  <c r="G42" i="1"/>
  <c r="U12" i="1"/>
  <c r="V12" i="1"/>
  <c r="Q31" i="1"/>
  <c r="L17" i="1"/>
  <c r="U36" i="1"/>
  <c r="V36" i="1"/>
  <c r="Q30" i="1"/>
  <c r="L32" i="1"/>
  <c r="G13" i="1"/>
  <c r="F13" i="1"/>
  <c r="P12" i="1"/>
  <c r="Q12" i="1"/>
  <c r="U18" i="1"/>
  <c r="V18" i="1"/>
  <c r="P27" i="1"/>
  <c r="Q27" i="1"/>
  <c r="U28" i="1"/>
  <c r="V28" i="1"/>
  <c r="F22" i="1"/>
  <c r="U32" i="1"/>
  <c r="F31" i="1"/>
  <c r="G29" i="1"/>
  <c r="F29" i="1"/>
  <c r="F18" i="1"/>
  <c r="G28" i="1"/>
  <c r="Q41" i="1"/>
  <c r="Q25" i="1"/>
  <c r="P42" i="1"/>
  <c r="P26" i="1"/>
  <c r="P10" i="1"/>
  <c r="L27" i="1"/>
  <c r="L11" i="1"/>
  <c r="K29" i="1"/>
  <c r="K13" i="1"/>
  <c r="P20" i="1"/>
  <c r="Q20" i="1"/>
  <c r="P19" i="1"/>
  <c r="Q19" i="1"/>
  <c r="F10" i="1"/>
  <c r="K30" i="1"/>
  <c r="L30" i="1"/>
  <c r="F26" i="1"/>
  <c r="P13" i="1"/>
  <c r="Q13" i="1"/>
  <c r="U37" i="1"/>
  <c r="V37" i="1"/>
  <c r="U29" i="1"/>
  <c r="V29" i="1"/>
  <c r="U21" i="1"/>
  <c r="V21" i="1"/>
  <c r="U13" i="1"/>
  <c r="V13" i="1"/>
  <c r="U20" i="1"/>
  <c r="V20" i="1"/>
  <c r="Q40" i="1"/>
  <c r="Q24" i="1"/>
  <c r="K28" i="1"/>
  <c r="K12" i="1"/>
  <c r="P28" i="1"/>
  <c r="Q28" i="1"/>
  <c r="P11" i="1"/>
  <c r="Q11" i="1"/>
  <c r="P21" i="1"/>
  <c r="Q21" i="1"/>
  <c r="G21" i="1"/>
  <c r="F21" i="1"/>
  <c r="F30" i="1"/>
  <c r="P29" i="1"/>
  <c r="Q29" i="1"/>
  <c r="G36" i="1"/>
  <c r="V39" i="1"/>
  <c r="V23" i="1"/>
  <c r="L41" i="1"/>
  <c r="L25" i="1"/>
  <c r="L9" i="1"/>
  <c r="F9" i="1"/>
  <c r="G7" i="1"/>
  <c r="F8" i="1"/>
  <c r="AK17" i="1"/>
  <c r="AJ17" i="1"/>
  <c r="BD17" i="1"/>
  <c r="BE17" i="1"/>
  <c r="AT18" i="1"/>
  <c r="AU18" i="1"/>
  <c r="AK19" i="1"/>
  <c r="AJ19" i="1"/>
  <c r="AP37" i="1"/>
  <c r="AO37" i="1"/>
  <c r="BE41" i="1"/>
  <c r="BD41" i="1"/>
  <c r="G247" i="1" l="1"/>
  <c r="U247" i="1"/>
  <c r="P247" i="1"/>
  <c r="K247" i="1"/>
  <c r="L247" i="1"/>
  <c r="AP35" i="1"/>
  <c r="AO35" i="1"/>
  <c r="BE32" i="1"/>
  <c r="BD32" i="1"/>
  <c r="AA40" i="1"/>
  <c r="Z40" i="1"/>
  <c r="AE19" i="1"/>
  <c r="AF19" i="1"/>
  <c r="AU33" i="1"/>
  <c r="AT33" i="1"/>
  <c r="AT30" i="1"/>
  <c r="AU30" i="1"/>
  <c r="AY40" i="1"/>
  <c r="AZ40" i="1"/>
  <c r="AP24" i="1"/>
  <c r="AO24" i="1"/>
  <c r="AE14" i="1"/>
  <c r="AF14" i="1"/>
  <c r="Z24" i="1"/>
  <c r="AA24" i="1"/>
  <c r="AA19" i="1"/>
  <c r="Z19" i="1"/>
  <c r="AZ32" i="1"/>
  <c r="AY32" i="1"/>
  <c r="AE33" i="1"/>
  <c r="AF33" i="1"/>
  <c r="AJ28" i="1"/>
  <c r="AK28" i="1"/>
  <c r="AY23" i="1"/>
  <c r="AZ23" i="1"/>
  <c r="AT22" i="1"/>
  <c r="AU22" i="1"/>
  <c r="AF34" i="1"/>
  <c r="AE34" i="1"/>
  <c r="AF15" i="1"/>
  <c r="AE15" i="1"/>
  <c r="BD31" i="1"/>
  <c r="BE31" i="1"/>
  <c r="AA32" i="1"/>
  <c r="Z32" i="1"/>
  <c r="AA35" i="1"/>
  <c r="Z35" i="1"/>
  <c r="BE24" i="1"/>
  <c r="BD24" i="1"/>
  <c r="AZ38" i="1"/>
  <c r="AY38" i="1"/>
  <c r="AK32" i="1"/>
  <c r="AJ32" i="1"/>
  <c r="AP22" i="1"/>
  <c r="AO22" i="1"/>
  <c r="AY33" i="1"/>
  <c r="AZ33" i="1"/>
  <c r="Z27" i="1"/>
  <c r="AA27" i="1"/>
  <c r="AT37" i="1"/>
  <c r="AU37" i="1"/>
  <c r="AE30" i="1"/>
  <c r="AF30" i="1"/>
  <c r="BD29" i="1"/>
  <c r="BE29" i="1"/>
  <c r="AE38" i="1"/>
  <c r="AF38" i="1"/>
  <c r="AY41" i="1"/>
  <c r="AZ41" i="1"/>
  <c r="BD33" i="1"/>
  <c r="BE33" i="1"/>
  <c r="Q9" i="1"/>
  <c r="Q247" i="1" s="1"/>
  <c r="AF28" i="1"/>
  <c r="AE28" i="1"/>
  <c r="AA33" i="1"/>
  <c r="Z33" i="1"/>
  <c r="AF35" i="1"/>
  <c r="AE35" i="1"/>
  <c r="AP23" i="1"/>
  <c r="AO23" i="1"/>
  <c r="AO19" i="1"/>
  <c r="AP19" i="1"/>
  <c r="AZ28" i="1"/>
  <c r="AY28" i="1"/>
  <c r="Z37" i="1"/>
  <c r="AA37" i="1"/>
  <c r="AK33" i="1"/>
  <c r="AJ33" i="1"/>
  <c r="AE31" i="1"/>
  <c r="AF31" i="1"/>
  <c r="AY35" i="1"/>
  <c r="AZ35" i="1"/>
  <c r="AU25" i="1"/>
  <c r="AT25" i="1"/>
  <c r="AA14" i="1"/>
  <c r="Z14" i="1"/>
  <c r="AY19" i="1"/>
  <c r="AZ19" i="1"/>
  <c r="AU27" i="1"/>
  <c r="AT27" i="1"/>
  <c r="AJ37" i="1"/>
  <c r="AK37" i="1"/>
  <c r="Z29" i="1"/>
  <c r="AA29" i="1"/>
  <c r="AY26" i="1"/>
  <c r="AZ26" i="1"/>
  <c r="AU19" i="1"/>
  <c r="AT19" i="1"/>
  <c r="BD22" i="1"/>
  <c r="BE22" i="1"/>
  <c r="AZ31" i="1"/>
  <c r="AY31" i="1"/>
  <c r="AA42" i="1"/>
  <c r="Z42" i="1"/>
  <c r="BE34" i="1"/>
  <c r="BD34" i="1"/>
  <c r="AU41" i="1"/>
  <c r="AT41" i="1"/>
  <c r="AZ17" i="1"/>
  <c r="AY17" i="1"/>
  <c r="AA41" i="1"/>
  <c r="Z41" i="1"/>
  <c r="BE38" i="1"/>
  <c r="BD38" i="1"/>
  <c r="AZ37" i="1"/>
  <c r="AY37" i="1"/>
  <c r="AK20" i="1"/>
  <c r="AJ20" i="1"/>
  <c r="AO29" i="1"/>
  <c r="AP29" i="1"/>
  <c r="AJ36" i="1"/>
  <c r="AK36" i="1"/>
  <c r="AU32" i="1"/>
  <c r="AT32" i="1"/>
  <c r="Z23" i="1"/>
  <c r="AA23" i="1"/>
  <c r="AO39" i="1"/>
  <c r="AP39" i="1"/>
  <c r="AJ24" i="1"/>
  <c r="AK24" i="1"/>
  <c r="AP15" i="1"/>
  <c r="AO15" i="1"/>
  <c r="AF39" i="1"/>
  <c r="AE39" i="1"/>
  <c r="AE40" i="1"/>
  <c r="AF40" i="1"/>
  <c r="Z39" i="1"/>
  <c r="AA39" i="1"/>
  <c r="AY25" i="1"/>
  <c r="AZ25" i="1"/>
  <c r="AZ21" i="1"/>
  <c r="AY21" i="1"/>
  <c r="AU21" i="1"/>
  <c r="AT21" i="1"/>
  <c r="AP25" i="1"/>
  <c r="AO25" i="1"/>
  <c r="AP21" i="1"/>
  <c r="AO21" i="1"/>
  <c r="Z38" i="1"/>
  <c r="AA38" i="1"/>
  <c r="AU31" i="1"/>
  <c r="AT31" i="1"/>
  <c r="AT36" i="1"/>
  <c r="AU36" i="1"/>
  <c r="AK25" i="1"/>
  <c r="AJ25" i="1"/>
  <c r="AA20" i="1"/>
  <c r="Z20" i="1"/>
  <c r="AE41" i="1"/>
  <c r="AF41" i="1"/>
  <c r="AA34" i="1"/>
  <c r="Z34" i="1"/>
  <c r="AJ29" i="1"/>
  <c r="AK29" i="1"/>
  <c r="AP28" i="1"/>
  <c r="AO28" i="1"/>
  <c r="AY27" i="1"/>
  <c r="AZ27" i="1"/>
  <c r="AK27" i="1"/>
  <c r="AJ27" i="1"/>
  <c r="AJ23" i="1"/>
  <c r="AK23" i="1"/>
  <c r="Z21" i="1"/>
  <c r="AA21" i="1"/>
  <c r="BE30" i="1"/>
  <c r="BD30" i="1"/>
  <c r="AJ38" i="1"/>
  <c r="AK38" i="1"/>
  <c r="AP30" i="1"/>
  <c r="AO30" i="1"/>
  <c r="AJ18" i="1"/>
  <c r="AK18" i="1"/>
  <c r="AT16" i="1"/>
  <c r="AU16" i="1"/>
  <c r="BE35" i="1"/>
  <c r="BD35" i="1"/>
  <c r="AO33" i="1"/>
  <c r="AP33" i="1"/>
  <c r="AF16" i="1"/>
  <c r="AE16" i="1"/>
  <c r="AF21" i="1"/>
  <c r="AE21" i="1"/>
  <c r="AZ16" i="1"/>
  <c r="AY16" i="1"/>
  <c r="BE19" i="1"/>
  <c r="BD19" i="1"/>
  <c r="AO42" i="1"/>
  <c r="AP42" i="1"/>
  <c r="BD37" i="1"/>
  <c r="BE37" i="1"/>
  <c r="AP40" i="1"/>
  <c r="AO40" i="1"/>
  <c r="BD20" i="1"/>
  <c r="BE20" i="1"/>
  <c r="AK34" i="1"/>
  <c r="AJ34" i="1"/>
  <c r="AZ29" i="1"/>
  <c r="AY29" i="1"/>
  <c r="BE40" i="1"/>
  <c r="BD40" i="1"/>
  <c r="AF27" i="1"/>
  <c r="AE27" i="1"/>
  <c r="BD23" i="1"/>
  <c r="BE23" i="1"/>
  <c r="AY18" i="1"/>
  <c r="AZ18" i="1"/>
  <c r="AZ30" i="1"/>
  <c r="AY30" i="1"/>
  <c r="AA15" i="1"/>
  <c r="Z15" i="1"/>
  <c r="AA17" i="1"/>
  <c r="Z17" i="1"/>
  <c r="AT35" i="1"/>
  <c r="AU35" i="1"/>
  <c r="AA12" i="1"/>
  <c r="Z12" i="1"/>
  <c r="AT29" i="1"/>
  <c r="AU29" i="1"/>
  <c r="AF22" i="1"/>
  <c r="AE22" i="1"/>
  <c r="AZ36" i="1"/>
  <c r="AY36" i="1"/>
  <c r="AT34" i="1"/>
  <c r="AU34" i="1"/>
  <c r="AF36" i="1"/>
  <c r="AE36" i="1"/>
  <c r="AP36" i="1"/>
  <c r="AO36" i="1"/>
  <c r="BE27" i="1"/>
  <c r="BD27" i="1"/>
  <c r="AT23" i="1"/>
  <c r="AU23" i="1"/>
  <c r="Z18" i="1"/>
  <c r="AA18" i="1"/>
  <c r="AK21" i="1"/>
  <c r="AJ21" i="1"/>
  <c r="AJ16" i="1"/>
  <c r="AK16" i="1"/>
  <c r="AK40" i="1"/>
  <c r="AJ40" i="1"/>
  <c r="AJ35" i="1"/>
  <c r="AK35" i="1"/>
  <c r="AK13" i="1"/>
  <c r="AJ13" i="1"/>
  <c r="AF12" i="1"/>
  <c r="AA36" i="1"/>
  <c r="Z36" i="1"/>
  <c r="AK14" i="1"/>
  <c r="AJ14" i="1"/>
  <c r="BD21" i="1"/>
  <c r="BE21" i="1"/>
  <c r="AF25" i="1"/>
  <c r="AE25" i="1"/>
  <c r="BE28" i="1"/>
  <c r="BD28" i="1"/>
  <c r="AA13" i="1"/>
  <c r="Z13" i="1"/>
  <c r="AF20" i="1"/>
  <c r="AE20" i="1"/>
  <c r="V10" i="1"/>
  <c r="V247" i="1" s="1"/>
  <c r="AU28" i="1"/>
  <c r="AT28" i="1"/>
  <c r="AP16" i="1"/>
  <c r="AO16" i="1"/>
  <c r="AJ22" i="1"/>
  <c r="AK22" i="1"/>
  <c r="AE26" i="1"/>
  <c r="AF26" i="1"/>
  <c r="AO26" i="1"/>
  <c r="AP26" i="1"/>
  <c r="AP32" i="1"/>
  <c r="AO32" i="1"/>
  <c r="AP38" i="1"/>
  <c r="AO38" i="1"/>
  <c r="AK42" i="1"/>
  <c r="AJ42" i="1"/>
  <c r="AA31" i="1"/>
  <c r="Z31" i="1"/>
  <c r="AP34" i="1"/>
  <c r="AO34" i="1"/>
  <c r="BE39" i="1"/>
  <c r="BD39" i="1"/>
  <c r="AU38" i="1"/>
  <c r="AT38" i="1"/>
  <c r="AF32" i="1"/>
  <c r="AE32" i="1"/>
  <c r="AT24" i="1"/>
  <c r="AU24" i="1"/>
  <c r="AA11" i="1"/>
  <c r="AZ20" i="1"/>
  <c r="AY20" i="1"/>
  <c r="AA16" i="1"/>
  <c r="Z16" i="1"/>
  <c r="AO14" i="1"/>
  <c r="AP14" i="1"/>
  <c r="BD18" i="1"/>
  <c r="BE18" i="1"/>
  <c r="AP20" i="1"/>
  <c r="AO20" i="1"/>
  <c r="AP31" i="1"/>
  <c r="AO31" i="1"/>
  <c r="AJ31" i="1"/>
  <c r="AK31" i="1"/>
  <c r="BE25" i="1"/>
  <c r="BD25" i="1"/>
  <c r="AF23" i="1"/>
  <c r="AE23" i="1"/>
  <c r="AE42" i="1"/>
  <c r="AF42" i="1"/>
  <c r="AT42" i="1"/>
  <c r="AJ15" i="1"/>
  <c r="AK15" i="1"/>
  <c r="AK26" i="1"/>
  <c r="AJ26" i="1"/>
  <c r="AU15" i="1"/>
  <c r="AK30" i="1"/>
  <c r="AJ30" i="1"/>
  <c r="AF13" i="1"/>
  <c r="AE13" i="1"/>
  <c r="AO41" i="1"/>
  <c r="AP41" i="1"/>
  <c r="AU40" i="1"/>
  <c r="AT40" i="1"/>
  <c r="AT26" i="1"/>
  <c r="AU26" i="1"/>
  <c r="AK41" i="1"/>
  <c r="AJ41" i="1"/>
  <c r="AF18" i="1"/>
  <c r="AE18" i="1"/>
  <c r="AZ22" i="1"/>
  <c r="AY22" i="1"/>
  <c r="AK39" i="1"/>
  <c r="AJ39" i="1"/>
  <c r="AY39" i="1"/>
  <c r="AZ39" i="1"/>
  <c r="AF29" i="1"/>
  <c r="AE29" i="1"/>
  <c r="AO18" i="1"/>
  <c r="AP18" i="1"/>
  <c r="AP27" i="1"/>
  <c r="AO27" i="1"/>
  <c r="AA30" i="1"/>
  <c r="Z30" i="1"/>
  <c r="BE26" i="1"/>
  <c r="BD26" i="1"/>
  <c r="BD42" i="1"/>
  <c r="BE42" i="1"/>
  <c r="AZ42" i="1"/>
  <c r="AY42" i="1"/>
  <c r="AA25" i="1"/>
  <c r="Z25" i="1"/>
  <c r="AU20" i="1"/>
  <c r="AT20" i="1"/>
  <c r="AZ34" i="1"/>
  <c r="AY34" i="1"/>
  <c r="AU39" i="1"/>
  <c r="AT39" i="1"/>
  <c r="AF37" i="1"/>
  <c r="AE37" i="1"/>
  <c r="AF24" i="1"/>
  <c r="AE24" i="1"/>
  <c r="BE36" i="1"/>
  <c r="BD36" i="1"/>
  <c r="Z22" i="1"/>
  <c r="AA22" i="1"/>
  <c r="AZ24" i="1"/>
  <c r="AY24" i="1"/>
  <c r="AF17" i="1"/>
  <c r="AE17" i="1"/>
  <c r="AU17" i="1"/>
  <c r="AT17" i="1"/>
  <c r="AP17" i="1"/>
  <c r="AO17" i="1"/>
  <c r="Z26" i="1"/>
  <c r="AA26" i="1"/>
  <c r="AA28" i="1"/>
  <c r="Z28" i="1"/>
  <c r="AO247" i="1" l="1"/>
  <c r="BE247" i="1"/>
  <c r="AT247" i="1"/>
  <c r="AJ247" i="1"/>
  <c r="AU247" i="1"/>
  <c r="AK247" i="1"/>
  <c r="AA247" i="1"/>
  <c r="Z247" i="1"/>
  <c r="AY247" i="1"/>
  <c r="AF247" i="1"/>
  <c r="AE247" i="1"/>
  <c r="AP247" i="1"/>
  <c r="AZ247" i="1"/>
  <c r="G28" i="2"/>
  <c r="G29" i="2"/>
</calcChain>
</file>

<file path=xl/sharedStrings.xml><?xml version="1.0" encoding="utf-8"?>
<sst xmlns="http://schemas.openxmlformats.org/spreadsheetml/2006/main" count="535" uniqueCount="43">
  <si>
    <t>HONDA PILOT</t>
  </si>
  <si>
    <t>Month</t>
  </si>
  <si>
    <t>Units Sold</t>
  </si>
  <si>
    <t>NA</t>
  </si>
  <si>
    <t>MOVING AVERAGE FORECASTING</t>
  </si>
  <si>
    <t>Forecast</t>
  </si>
  <si>
    <t>RSME</t>
  </si>
  <si>
    <t>MAD</t>
  </si>
  <si>
    <t>STATIONARY ANALYSIS</t>
  </si>
  <si>
    <t>Honda Pilot</t>
  </si>
  <si>
    <t>% change</t>
  </si>
  <si>
    <t>K=2</t>
  </si>
  <si>
    <t>K=3</t>
  </si>
  <si>
    <t>K=4</t>
  </si>
  <si>
    <t>K=5</t>
  </si>
  <si>
    <t>K=6</t>
  </si>
  <si>
    <t>K=7</t>
  </si>
  <si>
    <t>K=8</t>
  </si>
  <si>
    <t>K=9</t>
  </si>
  <si>
    <t>K=10</t>
  </si>
  <si>
    <t>K=11</t>
  </si>
  <si>
    <t>K=12</t>
  </si>
  <si>
    <t>Error</t>
  </si>
  <si>
    <t>sqr. Error</t>
  </si>
  <si>
    <t>abs. error</t>
  </si>
  <si>
    <t>FORECAST</t>
  </si>
  <si>
    <t>MINIMUM RSME</t>
  </si>
  <si>
    <t>MINIMUM MAD</t>
  </si>
  <si>
    <t>EXPONENTIAL SMOOTHING FORECASTING</t>
  </si>
  <si>
    <t>Alpha</t>
  </si>
  <si>
    <t>Alpha=0.1</t>
  </si>
  <si>
    <t>% Change Per Month</t>
  </si>
  <si>
    <t>Year</t>
  </si>
  <si>
    <t>The Monthly units sold is a sataionary time series. Therefore, the foracasting techniques will be applied to the time series.</t>
  </si>
  <si>
    <t>Month/Year</t>
  </si>
  <si>
    <t>Alpha=0.2</t>
  </si>
  <si>
    <t>HONDA PILOT Monthly New Vehicles Sales in the US Data</t>
  </si>
  <si>
    <t>Alpha= 0.3</t>
  </si>
  <si>
    <t>Alpha= 0.5</t>
  </si>
  <si>
    <t xml:space="preserve">Forecast </t>
  </si>
  <si>
    <t>Exponential Smoothing Forecasting</t>
  </si>
  <si>
    <t>RMSE</t>
  </si>
  <si>
    <t>MINIMUM 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</si>
</sst>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9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22"/>
      <color theme="1"/>
      <name val="Times New Roman"/>
      <family val="1"/>
    </font>
    <font>
      <b/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22"/>
      <color rgb="FF000000"/>
      <name val="Times New Roman"/>
      <family val="1"/>
    </font>
    <font>
      <sz val="12"/>
      <color rgb="FF000000"/>
      <name val="Calibri"/>
      <family val="2"/>
      <scheme val="minor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sz val="12"/>
      <color rgb="FF000000"/>
      <name val="Arial"/>
      <family val="2"/>
    </font>
    <font>
      <b/>
      <sz val="11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91">
    <xf numFmtId="0" fontId="0" fillId="0" borderId="0" xfId="0"/>
    <xf numFmtId="0" fontId="1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5" fillId="4" borderId="8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/>
    </xf>
    <xf numFmtId="17" fontId="6" fillId="0" borderId="5" xfId="0" applyNumberFormat="1" applyFont="1" applyBorder="1" applyAlignment="1">
      <alignment horizontal="center" vertical="center"/>
    </xf>
    <xf numFmtId="4" fontId="6" fillId="0" borderId="5" xfId="0" applyNumberFormat="1" applyFont="1" applyBorder="1" applyAlignment="1">
      <alignment horizontal="center" vertical="center"/>
    </xf>
    <xf numFmtId="4" fontId="6" fillId="0" borderId="7" xfId="0" applyNumberFormat="1" applyFont="1" applyBorder="1" applyAlignment="1">
      <alignment horizontal="center"/>
    </xf>
    <xf numFmtId="4" fontId="6" fillId="0" borderId="5" xfId="0" applyNumberFormat="1" applyFont="1" applyBorder="1" applyAlignment="1">
      <alignment horizontal="center"/>
    </xf>
    <xf numFmtId="4" fontId="6" fillId="0" borderId="5" xfId="0" applyNumberFormat="1" applyFont="1" applyBorder="1" applyAlignment="1">
      <alignment horizontal="righ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5" fillId="0" borderId="0" xfId="0" applyFont="1" applyAlignment="1">
      <alignment horizontal="center" vertical="center"/>
    </xf>
    <xf numFmtId="4" fontId="6" fillId="0" borderId="0" xfId="0" applyNumberFormat="1" applyFont="1" applyAlignment="1">
      <alignment horizontal="center" vertical="center"/>
    </xf>
    <xf numFmtId="3" fontId="6" fillId="0" borderId="5" xfId="0" applyNumberFormat="1" applyFont="1" applyBorder="1" applyAlignment="1">
      <alignment horizontal="center" vertical="center"/>
    </xf>
    <xf numFmtId="0" fontId="6" fillId="0" borderId="5" xfId="1" applyNumberFormat="1" applyFont="1" applyBorder="1" applyAlignment="1">
      <alignment horizontal="center"/>
    </xf>
    <xf numFmtId="0" fontId="5" fillId="4" borderId="10" xfId="0" applyFont="1" applyFill="1" applyBorder="1" applyAlignment="1">
      <alignment horizontal="center"/>
    </xf>
    <xf numFmtId="3" fontId="6" fillId="0" borderId="5" xfId="0" applyNumberFormat="1" applyFont="1" applyBorder="1" applyAlignment="1">
      <alignment horizontal="center"/>
    </xf>
    <xf numFmtId="0" fontId="8" fillId="4" borderId="5" xfId="0" applyFont="1" applyFill="1" applyBorder="1"/>
    <xf numFmtId="4" fontId="8" fillId="4" borderId="5" xfId="0" applyNumberFormat="1" applyFont="1" applyFill="1" applyBorder="1"/>
    <xf numFmtId="0" fontId="11" fillId="0" borderId="0" xfId="0" applyFont="1"/>
    <xf numFmtId="0" fontId="12" fillId="8" borderId="8" xfId="0" applyFont="1" applyFill="1" applyBorder="1" applyAlignment="1">
      <alignment horizontal="center"/>
    </xf>
    <xf numFmtId="0" fontId="12" fillId="9" borderId="6" xfId="0" applyFont="1" applyFill="1" applyBorder="1" applyAlignment="1">
      <alignment horizontal="center"/>
    </xf>
    <xf numFmtId="16" fontId="14" fillId="0" borderId="5" xfId="0" applyNumberFormat="1" applyFont="1" applyBorder="1" applyAlignment="1">
      <alignment horizontal="center" vertical="center" wrapText="1"/>
    </xf>
    <xf numFmtId="0" fontId="13" fillId="0" borderId="5" xfId="0" applyFont="1" applyBorder="1" applyAlignment="1">
      <alignment horizontal="right"/>
    </xf>
    <xf numFmtId="0" fontId="13" fillId="0" borderId="7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4" fontId="13" fillId="0" borderId="5" xfId="0" applyNumberFormat="1" applyFont="1" applyBorder="1" applyAlignment="1">
      <alignment horizontal="right"/>
    </xf>
    <xf numFmtId="0" fontId="15" fillId="11" borderId="5" xfId="0" applyFont="1" applyFill="1" applyBorder="1"/>
    <xf numFmtId="4" fontId="15" fillId="11" borderId="5" xfId="0" applyNumberFormat="1" applyFont="1" applyFill="1" applyBorder="1"/>
    <xf numFmtId="0" fontId="6" fillId="0" borderId="0" xfId="1" applyNumberFormat="1" applyFont="1" applyBorder="1" applyAlignment="1">
      <alignment horizontal="center"/>
    </xf>
    <xf numFmtId="3" fontId="6" fillId="0" borderId="0" xfId="0" applyNumberFormat="1" applyFont="1" applyAlignment="1">
      <alignment horizontal="center"/>
    </xf>
    <xf numFmtId="4" fontId="6" fillId="0" borderId="0" xfId="0" applyNumberFormat="1" applyFont="1" applyAlignment="1">
      <alignment horizontal="center"/>
    </xf>
    <xf numFmtId="0" fontId="8" fillId="2" borderId="5" xfId="0" applyFont="1" applyFill="1" applyBorder="1"/>
    <xf numFmtId="0" fontId="17" fillId="2" borderId="5" xfId="0" applyFont="1" applyFill="1" applyBorder="1"/>
    <xf numFmtId="0" fontId="12" fillId="0" borderId="0" xfId="0" applyFont="1"/>
    <xf numFmtId="0" fontId="13" fillId="0" borderId="14" xfId="0" applyFont="1" applyBorder="1"/>
    <xf numFmtId="3" fontId="14" fillId="0" borderId="5" xfId="0" applyNumberFormat="1" applyFont="1" applyBorder="1" applyAlignment="1">
      <alignment horizontal="center" vertical="center" wrapText="1"/>
    </xf>
    <xf numFmtId="4" fontId="13" fillId="0" borderId="9" xfId="0" applyNumberFormat="1" applyFont="1" applyBorder="1" applyAlignment="1">
      <alignment horizontal="right"/>
    </xf>
    <xf numFmtId="3" fontId="6" fillId="0" borderId="5" xfId="0" applyNumberFormat="1" applyFont="1" applyBorder="1" applyAlignment="1">
      <alignment horizontal="right"/>
    </xf>
    <xf numFmtId="3" fontId="0" fillId="0" borderId="0" xfId="0" applyNumberFormat="1"/>
    <xf numFmtId="3" fontId="6" fillId="0" borderId="9" xfId="0" applyNumberFormat="1" applyFont="1" applyBorder="1" applyAlignment="1">
      <alignment horizontal="right"/>
    </xf>
    <xf numFmtId="3" fontId="6" fillId="4" borderId="6" xfId="0" applyNumberFormat="1" applyFont="1" applyFill="1" applyBorder="1" applyAlignment="1">
      <alignment horizontal="right"/>
    </xf>
    <xf numFmtId="3" fontId="6" fillId="4" borderId="19" xfId="0" applyNumberFormat="1" applyFont="1" applyFill="1" applyBorder="1" applyAlignment="1">
      <alignment horizontal="right"/>
    </xf>
    <xf numFmtId="3" fontId="17" fillId="2" borderId="5" xfId="0" applyNumberFormat="1" applyFont="1" applyFill="1" applyBorder="1"/>
    <xf numFmtId="3" fontId="7" fillId="3" borderId="5" xfId="0" applyNumberFormat="1" applyFont="1" applyFill="1" applyBorder="1" applyAlignment="1">
      <alignment horizontal="center"/>
    </xf>
    <xf numFmtId="3" fontId="4" fillId="4" borderId="13" xfId="0" applyNumberFormat="1" applyFont="1" applyFill="1" applyBorder="1" applyAlignment="1">
      <alignment horizontal="center"/>
    </xf>
    <xf numFmtId="1" fontId="18" fillId="10" borderId="15" xfId="0" applyNumberFormat="1" applyFont="1" applyFill="1" applyBorder="1"/>
    <xf numFmtId="1" fontId="11" fillId="0" borderId="0" xfId="0" applyNumberFormat="1" applyFont="1"/>
    <xf numFmtId="1" fontId="18" fillId="10" borderId="20" xfId="0" applyNumberFormat="1" applyFont="1" applyFill="1" applyBorder="1"/>
    <xf numFmtId="0" fontId="8" fillId="2" borderId="4" xfId="0" applyFont="1" applyFill="1" applyBorder="1" applyAlignment="1">
      <alignment horizontal="center"/>
    </xf>
    <xf numFmtId="0" fontId="8" fillId="2" borderId="12" xfId="0" applyFont="1" applyFill="1" applyBorder="1" applyAlignment="1">
      <alignment horizontal="center"/>
    </xf>
    <xf numFmtId="0" fontId="11" fillId="0" borderId="0" xfId="0" applyFont="1"/>
    <xf numFmtId="0" fontId="11" fillId="0" borderId="16" xfId="0" applyFont="1" applyBorder="1"/>
    <xf numFmtId="0" fontId="8" fillId="2" borderId="11" xfId="0" applyFont="1" applyFill="1" applyBorder="1" applyAlignment="1">
      <alignment horizontal="center"/>
    </xf>
    <xf numFmtId="0" fontId="16" fillId="12" borderId="4" xfId="0" applyFont="1" applyFill="1" applyBorder="1" applyAlignment="1">
      <alignment horizontal="center"/>
    </xf>
    <xf numFmtId="0" fontId="16" fillId="12" borderId="11" xfId="0" applyFont="1" applyFill="1" applyBorder="1" applyAlignment="1">
      <alignment horizontal="center"/>
    </xf>
    <xf numFmtId="0" fontId="16" fillId="12" borderId="12" xfId="0" applyFont="1" applyFill="1" applyBorder="1" applyAlignment="1">
      <alignment horizontal="center"/>
    </xf>
    <xf numFmtId="0" fontId="12" fillId="8" borderId="1" xfId="0" applyFont="1" applyFill="1" applyBorder="1" applyAlignment="1">
      <alignment horizontal="center"/>
    </xf>
    <xf numFmtId="0" fontId="12" fillId="8" borderId="3" xfId="0" applyFont="1" applyFill="1" applyBorder="1" applyAlignment="1">
      <alignment horizontal="center"/>
    </xf>
    <xf numFmtId="0" fontId="10" fillId="7" borderId="4" xfId="0" applyFont="1" applyFill="1" applyBorder="1" applyAlignment="1">
      <alignment horizontal="center"/>
    </xf>
    <xf numFmtId="0" fontId="10" fillId="7" borderId="11" xfId="0" applyFont="1" applyFill="1" applyBorder="1" applyAlignment="1">
      <alignment horizontal="center"/>
    </xf>
    <xf numFmtId="0" fontId="11" fillId="0" borderId="17" xfId="0" applyFont="1" applyBorder="1"/>
    <xf numFmtId="0" fontId="11" fillId="0" borderId="18" xfId="0" applyFont="1" applyBorder="1"/>
    <xf numFmtId="1" fontId="11" fillId="0" borderId="16" xfId="0" applyNumberFormat="1" applyFont="1" applyBorder="1"/>
    <xf numFmtId="1" fontId="11" fillId="0" borderId="0" xfId="0" applyNumberFormat="1" applyFont="1"/>
    <xf numFmtId="1" fontId="18" fillId="13" borderId="21" xfId="0" applyNumberFormat="1" applyFont="1" applyFill="1" applyBorder="1" applyAlignment="1">
      <alignment horizontal="center"/>
    </xf>
    <xf numFmtId="1" fontId="18" fillId="13" borderId="22" xfId="0" applyNumberFormat="1" applyFont="1" applyFill="1" applyBorder="1" applyAlignment="1">
      <alignment horizontal="center"/>
    </xf>
    <xf numFmtId="1" fontId="11" fillId="13" borderId="23" xfId="0" applyNumberFormat="1" applyFont="1" applyFill="1" applyBorder="1"/>
    <xf numFmtId="1" fontId="11" fillId="13" borderId="24" xfId="0" applyNumberFormat="1" applyFont="1" applyFill="1" applyBorder="1"/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6" fillId="6" borderId="4" xfId="0" applyFont="1" applyFill="1" applyBorder="1" applyAlignment="1">
      <alignment horizontal="left"/>
    </xf>
    <xf numFmtId="0" fontId="6" fillId="6" borderId="11" xfId="0" applyFont="1" applyFill="1" applyBorder="1" applyAlignment="1">
      <alignment horizontal="left"/>
    </xf>
    <xf numFmtId="0" fontId="6" fillId="6" borderId="12" xfId="0" applyFont="1" applyFill="1" applyBorder="1" applyAlignment="1">
      <alignment horizontal="left"/>
    </xf>
    <xf numFmtId="0" fontId="8" fillId="4" borderId="4" xfId="0" applyFont="1" applyFill="1" applyBorder="1" applyAlignment="1">
      <alignment horizontal="center"/>
    </xf>
    <xf numFmtId="0" fontId="8" fillId="4" borderId="11" xfId="0" applyFont="1" applyFill="1" applyBorder="1" applyAlignment="1">
      <alignment horizontal="center"/>
    </xf>
    <xf numFmtId="0" fontId="8" fillId="4" borderId="12" xfId="0" applyFont="1" applyFill="1" applyBorder="1" applyAlignment="1">
      <alignment horizontal="center"/>
    </xf>
    <xf numFmtId="0" fontId="15" fillId="11" borderId="4" xfId="0" applyFont="1" applyFill="1" applyBorder="1" applyAlignment="1">
      <alignment horizontal="center"/>
    </xf>
    <xf numFmtId="0" fontId="15" fillId="11" borderId="11" xfId="0" applyFont="1" applyFill="1" applyBorder="1" applyAlignment="1">
      <alignment horizontal="center"/>
    </xf>
    <xf numFmtId="0" fontId="15" fillId="11" borderId="12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500" b="1">
                <a:solidFill>
                  <a:schemeClr val="tx1"/>
                </a:solidFill>
              </a:rPr>
              <a:t>Monthly</a:t>
            </a:r>
            <a:r>
              <a:rPr lang="en-US" sz="1500" b="1" baseline="0">
                <a:solidFill>
                  <a:schemeClr val="tx1"/>
                </a:solidFill>
              </a:rPr>
              <a:t> </a:t>
            </a:r>
            <a:r>
              <a:rPr lang="en-US" sz="1500" b="1">
                <a:solidFill>
                  <a:schemeClr val="tx1"/>
                </a:solidFill>
              </a:rPr>
              <a:t>Units Sold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'Stationary Analysis'!$B$3</c:f>
              <c:strCache>
                <c:ptCount val="1"/>
                <c:pt idx="0">
                  <c:v>Units Sold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'Stationary Analysis'!$A$4:$A$246</c:f>
              <c:numCache>
                <c:formatCode>mmm\-yy</c:formatCode>
                <c:ptCount val="243"/>
                <c:pt idx="0">
                  <c:v>38353</c:v>
                </c:pt>
                <c:pt idx="1">
                  <c:v>38384</c:v>
                </c:pt>
                <c:pt idx="2">
                  <c:v>38412</c:v>
                </c:pt>
                <c:pt idx="3">
                  <c:v>38443</c:v>
                </c:pt>
                <c:pt idx="4">
                  <c:v>38473</c:v>
                </c:pt>
                <c:pt idx="5">
                  <c:v>38504</c:v>
                </c:pt>
                <c:pt idx="6">
                  <c:v>38534</c:v>
                </c:pt>
                <c:pt idx="7">
                  <c:v>38565</c:v>
                </c:pt>
                <c:pt idx="8">
                  <c:v>38596</c:v>
                </c:pt>
                <c:pt idx="9">
                  <c:v>38626</c:v>
                </c:pt>
                <c:pt idx="10">
                  <c:v>38657</c:v>
                </c:pt>
                <c:pt idx="11">
                  <c:v>38687</c:v>
                </c:pt>
                <c:pt idx="12">
                  <c:v>38718</c:v>
                </c:pt>
                <c:pt idx="13">
                  <c:v>38749</c:v>
                </c:pt>
                <c:pt idx="14">
                  <c:v>38777</c:v>
                </c:pt>
                <c:pt idx="15">
                  <c:v>38808</c:v>
                </c:pt>
                <c:pt idx="16">
                  <c:v>38838</c:v>
                </c:pt>
                <c:pt idx="17">
                  <c:v>38869</c:v>
                </c:pt>
                <c:pt idx="18">
                  <c:v>38899</c:v>
                </c:pt>
                <c:pt idx="19">
                  <c:v>38930</c:v>
                </c:pt>
                <c:pt idx="20">
                  <c:v>38961</c:v>
                </c:pt>
                <c:pt idx="21">
                  <c:v>38991</c:v>
                </c:pt>
                <c:pt idx="22">
                  <c:v>39022</c:v>
                </c:pt>
                <c:pt idx="23">
                  <c:v>39052</c:v>
                </c:pt>
                <c:pt idx="24">
                  <c:v>39083</c:v>
                </c:pt>
                <c:pt idx="25">
                  <c:v>39114</c:v>
                </c:pt>
                <c:pt idx="26">
                  <c:v>39142</c:v>
                </c:pt>
                <c:pt idx="27">
                  <c:v>39173</c:v>
                </c:pt>
                <c:pt idx="28">
                  <c:v>39203</c:v>
                </c:pt>
                <c:pt idx="29">
                  <c:v>39234</c:v>
                </c:pt>
                <c:pt idx="30">
                  <c:v>39264</c:v>
                </c:pt>
                <c:pt idx="31">
                  <c:v>39295</c:v>
                </c:pt>
                <c:pt idx="32">
                  <c:v>39326</c:v>
                </c:pt>
                <c:pt idx="33">
                  <c:v>39356</c:v>
                </c:pt>
                <c:pt idx="34">
                  <c:v>39387</c:v>
                </c:pt>
                <c:pt idx="35">
                  <c:v>39417</c:v>
                </c:pt>
                <c:pt idx="36">
                  <c:v>39448</c:v>
                </c:pt>
                <c:pt idx="37">
                  <c:v>39479</c:v>
                </c:pt>
                <c:pt idx="38">
                  <c:v>39508</c:v>
                </c:pt>
                <c:pt idx="39">
                  <c:v>39539</c:v>
                </c:pt>
                <c:pt idx="40">
                  <c:v>39569</c:v>
                </c:pt>
                <c:pt idx="41">
                  <c:v>39600</c:v>
                </c:pt>
                <c:pt idx="42">
                  <c:v>39630</c:v>
                </c:pt>
                <c:pt idx="43">
                  <c:v>39661</c:v>
                </c:pt>
                <c:pt idx="44">
                  <c:v>39692</c:v>
                </c:pt>
                <c:pt idx="45">
                  <c:v>39722</c:v>
                </c:pt>
                <c:pt idx="46">
                  <c:v>39753</c:v>
                </c:pt>
                <c:pt idx="47">
                  <c:v>39783</c:v>
                </c:pt>
                <c:pt idx="48">
                  <c:v>39814</c:v>
                </c:pt>
                <c:pt idx="49">
                  <c:v>39845</c:v>
                </c:pt>
                <c:pt idx="50">
                  <c:v>39873</c:v>
                </c:pt>
                <c:pt idx="51">
                  <c:v>39904</c:v>
                </c:pt>
                <c:pt idx="52">
                  <c:v>39934</c:v>
                </c:pt>
                <c:pt idx="53">
                  <c:v>39965</c:v>
                </c:pt>
                <c:pt idx="54">
                  <c:v>39995</c:v>
                </c:pt>
                <c:pt idx="55">
                  <c:v>40026</c:v>
                </c:pt>
                <c:pt idx="56">
                  <c:v>40057</c:v>
                </c:pt>
                <c:pt idx="57">
                  <c:v>40087</c:v>
                </c:pt>
                <c:pt idx="58">
                  <c:v>40118</c:v>
                </c:pt>
                <c:pt idx="59">
                  <c:v>40148</c:v>
                </c:pt>
                <c:pt idx="60">
                  <c:v>40179</c:v>
                </c:pt>
                <c:pt idx="61">
                  <c:v>40210</c:v>
                </c:pt>
                <c:pt idx="62">
                  <c:v>40238</c:v>
                </c:pt>
                <c:pt idx="63">
                  <c:v>40269</c:v>
                </c:pt>
                <c:pt idx="64">
                  <c:v>40299</c:v>
                </c:pt>
                <c:pt idx="65">
                  <c:v>40330</c:v>
                </c:pt>
                <c:pt idx="66">
                  <c:v>40360</c:v>
                </c:pt>
                <c:pt idx="67">
                  <c:v>40391</c:v>
                </c:pt>
                <c:pt idx="68">
                  <c:v>40422</c:v>
                </c:pt>
                <c:pt idx="69">
                  <c:v>40452</c:v>
                </c:pt>
                <c:pt idx="70">
                  <c:v>40483</c:v>
                </c:pt>
                <c:pt idx="71">
                  <c:v>40513</c:v>
                </c:pt>
                <c:pt idx="72">
                  <c:v>40544</c:v>
                </c:pt>
                <c:pt idx="73">
                  <c:v>40575</c:v>
                </c:pt>
                <c:pt idx="74">
                  <c:v>40603</c:v>
                </c:pt>
                <c:pt idx="75">
                  <c:v>40634</c:v>
                </c:pt>
                <c:pt idx="76">
                  <c:v>40664</c:v>
                </c:pt>
                <c:pt idx="77">
                  <c:v>40695</c:v>
                </c:pt>
                <c:pt idx="78">
                  <c:v>40725</c:v>
                </c:pt>
                <c:pt idx="79">
                  <c:v>40756</c:v>
                </c:pt>
                <c:pt idx="80">
                  <c:v>40787</c:v>
                </c:pt>
                <c:pt idx="81">
                  <c:v>40817</c:v>
                </c:pt>
                <c:pt idx="82">
                  <c:v>40848</c:v>
                </c:pt>
                <c:pt idx="83">
                  <c:v>40878</c:v>
                </c:pt>
                <c:pt idx="84">
                  <c:v>40909</c:v>
                </c:pt>
                <c:pt idx="85">
                  <c:v>40940</c:v>
                </c:pt>
                <c:pt idx="86">
                  <c:v>40969</c:v>
                </c:pt>
                <c:pt idx="87">
                  <c:v>41000</c:v>
                </c:pt>
                <c:pt idx="88">
                  <c:v>41030</c:v>
                </c:pt>
                <c:pt idx="89">
                  <c:v>41061</c:v>
                </c:pt>
                <c:pt idx="90">
                  <c:v>41091</c:v>
                </c:pt>
                <c:pt idx="91">
                  <c:v>41122</c:v>
                </c:pt>
                <c:pt idx="92">
                  <c:v>41153</c:v>
                </c:pt>
                <c:pt idx="93">
                  <c:v>41183</c:v>
                </c:pt>
                <c:pt idx="94">
                  <c:v>41214</c:v>
                </c:pt>
                <c:pt idx="95">
                  <c:v>41244</c:v>
                </c:pt>
                <c:pt idx="96">
                  <c:v>41275</c:v>
                </c:pt>
                <c:pt idx="97">
                  <c:v>41306</c:v>
                </c:pt>
                <c:pt idx="98">
                  <c:v>41334</c:v>
                </c:pt>
                <c:pt idx="99">
                  <c:v>41365</c:v>
                </c:pt>
                <c:pt idx="100">
                  <c:v>41395</c:v>
                </c:pt>
                <c:pt idx="101">
                  <c:v>41426</c:v>
                </c:pt>
                <c:pt idx="102">
                  <c:v>41456</c:v>
                </c:pt>
                <c:pt idx="103">
                  <c:v>41487</c:v>
                </c:pt>
                <c:pt idx="104">
                  <c:v>41518</c:v>
                </c:pt>
                <c:pt idx="105">
                  <c:v>41548</c:v>
                </c:pt>
                <c:pt idx="106">
                  <c:v>41579</c:v>
                </c:pt>
                <c:pt idx="107">
                  <c:v>41609</c:v>
                </c:pt>
                <c:pt idx="108">
                  <c:v>41640</c:v>
                </c:pt>
                <c:pt idx="109">
                  <c:v>41671</c:v>
                </c:pt>
                <c:pt idx="110">
                  <c:v>41699</c:v>
                </c:pt>
                <c:pt idx="111">
                  <c:v>41730</c:v>
                </c:pt>
                <c:pt idx="112">
                  <c:v>41760</c:v>
                </c:pt>
                <c:pt idx="113">
                  <c:v>41791</c:v>
                </c:pt>
                <c:pt idx="114">
                  <c:v>41821</c:v>
                </c:pt>
                <c:pt idx="115">
                  <c:v>41852</c:v>
                </c:pt>
                <c:pt idx="116">
                  <c:v>41883</c:v>
                </c:pt>
                <c:pt idx="117">
                  <c:v>41913</c:v>
                </c:pt>
                <c:pt idx="118">
                  <c:v>41944</c:v>
                </c:pt>
                <c:pt idx="119">
                  <c:v>41974</c:v>
                </c:pt>
                <c:pt idx="120">
                  <c:v>42005</c:v>
                </c:pt>
                <c:pt idx="121">
                  <c:v>42036</c:v>
                </c:pt>
                <c:pt idx="122">
                  <c:v>42064</c:v>
                </c:pt>
                <c:pt idx="123">
                  <c:v>42095</c:v>
                </c:pt>
                <c:pt idx="124">
                  <c:v>42125</c:v>
                </c:pt>
                <c:pt idx="125">
                  <c:v>42156</c:v>
                </c:pt>
                <c:pt idx="126">
                  <c:v>42186</c:v>
                </c:pt>
                <c:pt idx="127">
                  <c:v>42217</c:v>
                </c:pt>
                <c:pt idx="128">
                  <c:v>42248</c:v>
                </c:pt>
                <c:pt idx="129">
                  <c:v>42278</c:v>
                </c:pt>
                <c:pt idx="130">
                  <c:v>42309</c:v>
                </c:pt>
                <c:pt idx="131">
                  <c:v>42339</c:v>
                </c:pt>
                <c:pt idx="132">
                  <c:v>42370</c:v>
                </c:pt>
                <c:pt idx="133">
                  <c:v>42401</c:v>
                </c:pt>
                <c:pt idx="134">
                  <c:v>42430</c:v>
                </c:pt>
                <c:pt idx="135">
                  <c:v>42461</c:v>
                </c:pt>
                <c:pt idx="136">
                  <c:v>42491</c:v>
                </c:pt>
                <c:pt idx="137">
                  <c:v>42522</c:v>
                </c:pt>
                <c:pt idx="138">
                  <c:v>42552</c:v>
                </c:pt>
                <c:pt idx="139">
                  <c:v>42583</c:v>
                </c:pt>
                <c:pt idx="140">
                  <c:v>42614</c:v>
                </c:pt>
                <c:pt idx="141">
                  <c:v>42644</c:v>
                </c:pt>
                <c:pt idx="142">
                  <c:v>42675</c:v>
                </c:pt>
                <c:pt idx="143">
                  <c:v>42705</c:v>
                </c:pt>
                <c:pt idx="144">
                  <c:v>42736</c:v>
                </c:pt>
                <c:pt idx="145">
                  <c:v>42767</c:v>
                </c:pt>
                <c:pt idx="146">
                  <c:v>42795</c:v>
                </c:pt>
                <c:pt idx="147">
                  <c:v>42826</c:v>
                </c:pt>
                <c:pt idx="148">
                  <c:v>42856</c:v>
                </c:pt>
                <c:pt idx="149">
                  <c:v>42887</c:v>
                </c:pt>
                <c:pt idx="150">
                  <c:v>42917</c:v>
                </c:pt>
                <c:pt idx="151">
                  <c:v>42948</c:v>
                </c:pt>
                <c:pt idx="152">
                  <c:v>42979</c:v>
                </c:pt>
                <c:pt idx="153">
                  <c:v>43009</c:v>
                </c:pt>
                <c:pt idx="154">
                  <c:v>43040</c:v>
                </c:pt>
                <c:pt idx="155">
                  <c:v>43070</c:v>
                </c:pt>
                <c:pt idx="156">
                  <c:v>43101</c:v>
                </c:pt>
                <c:pt idx="157">
                  <c:v>43132</c:v>
                </c:pt>
                <c:pt idx="158">
                  <c:v>43160</c:v>
                </c:pt>
                <c:pt idx="159">
                  <c:v>43191</c:v>
                </c:pt>
                <c:pt idx="160">
                  <c:v>43221</c:v>
                </c:pt>
                <c:pt idx="161">
                  <c:v>43252</c:v>
                </c:pt>
                <c:pt idx="162">
                  <c:v>43282</c:v>
                </c:pt>
                <c:pt idx="163">
                  <c:v>43313</c:v>
                </c:pt>
                <c:pt idx="164">
                  <c:v>43344</c:v>
                </c:pt>
                <c:pt idx="165">
                  <c:v>43374</c:v>
                </c:pt>
                <c:pt idx="166">
                  <c:v>43405</c:v>
                </c:pt>
                <c:pt idx="167">
                  <c:v>43435</c:v>
                </c:pt>
                <c:pt idx="168">
                  <c:v>43466</c:v>
                </c:pt>
                <c:pt idx="169">
                  <c:v>43497</c:v>
                </c:pt>
                <c:pt idx="170">
                  <c:v>43525</c:v>
                </c:pt>
                <c:pt idx="171">
                  <c:v>43556</c:v>
                </c:pt>
                <c:pt idx="172">
                  <c:v>43586</c:v>
                </c:pt>
                <c:pt idx="173">
                  <c:v>43617</c:v>
                </c:pt>
                <c:pt idx="174">
                  <c:v>43647</c:v>
                </c:pt>
                <c:pt idx="175">
                  <c:v>43678</c:v>
                </c:pt>
                <c:pt idx="176">
                  <c:v>43709</c:v>
                </c:pt>
                <c:pt idx="177">
                  <c:v>43739</c:v>
                </c:pt>
                <c:pt idx="178">
                  <c:v>43770</c:v>
                </c:pt>
                <c:pt idx="179">
                  <c:v>43800</c:v>
                </c:pt>
                <c:pt idx="180">
                  <c:v>43831</c:v>
                </c:pt>
                <c:pt idx="181">
                  <c:v>43862</c:v>
                </c:pt>
                <c:pt idx="182">
                  <c:v>43891</c:v>
                </c:pt>
                <c:pt idx="183">
                  <c:v>43922</c:v>
                </c:pt>
                <c:pt idx="184">
                  <c:v>43952</c:v>
                </c:pt>
                <c:pt idx="185">
                  <c:v>43983</c:v>
                </c:pt>
                <c:pt idx="186">
                  <c:v>44013</c:v>
                </c:pt>
                <c:pt idx="187">
                  <c:v>44044</c:v>
                </c:pt>
                <c:pt idx="188">
                  <c:v>44075</c:v>
                </c:pt>
                <c:pt idx="189">
                  <c:v>44105</c:v>
                </c:pt>
                <c:pt idx="190">
                  <c:v>44136</c:v>
                </c:pt>
                <c:pt idx="191">
                  <c:v>44166</c:v>
                </c:pt>
                <c:pt idx="192">
                  <c:v>44197</c:v>
                </c:pt>
                <c:pt idx="193">
                  <c:v>44228</c:v>
                </c:pt>
                <c:pt idx="194">
                  <c:v>44256</c:v>
                </c:pt>
                <c:pt idx="195">
                  <c:v>44287</c:v>
                </c:pt>
                <c:pt idx="196">
                  <c:v>44317</c:v>
                </c:pt>
                <c:pt idx="197">
                  <c:v>44348</c:v>
                </c:pt>
                <c:pt idx="198">
                  <c:v>44378</c:v>
                </c:pt>
                <c:pt idx="199">
                  <c:v>44409</c:v>
                </c:pt>
                <c:pt idx="200">
                  <c:v>44440</c:v>
                </c:pt>
                <c:pt idx="201">
                  <c:v>44470</c:v>
                </c:pt>
                <c:pt idx="202">
                  <c:v>44501</c:v>
                </c:pt>
                <c:pt idx="203">
                  <c:v>44531</c:v>
                </c:pt>
                <c:pt idx="204">
                  <c:v>44562</c:v>
                </c:pt>
                <c:pt idx="205">
                  <c:v>44593</c:v>
                </c:pt>
                <c:pt idx="206">
                  <c:v>44621</c:v>
                </c:pt>
                <c:pt idx="207">
                  <c:v>44652</c:v>
                </c:pt>
                <c:pt idx="208">
                  <c:v>44682</c:v>
                </c:pt>
                <c:pt idx="209">
                  <c:v>44713</c:v>
                </c:pt>
                <c:pt idx="210">
                  <c:v>44743</c:v>
                </c:pt>
                <c:pt idx="211">
                  <c:v>44774</c:v>
                </c:pt>
                <c:pt idx="212">
                  <c:v>44805</c:v>
                </c:pt>
                <c:pt idx="213">
                  <c:v>44835</c:v>
                </c:pt>
                <c:pt idx="214">
                  <c:v>44866</c:v>
                </c:pt>
                <c:pt idx="215">
                  <c:v>44896</c:v>
                </c:pt>
                <c:pt idx="216">
                  <c:v>44927</c:v>
                </c:pt>
                <c:pt idx="217">
                  <c:v>44958</c:v>
                </c:pt>
                <c:pt idx="218">
                  <c:v>44986</c:v>
                </c:pt>
                <c:pt idx="219">
                  <c:v>45017</c:v>
                </c:pt>
                <c:pt idx="220">
                  <c:v>45047</c:v>
                </c:pt>
                <c:pt idx="221">
                  <c:v>45078</c:v>
                </c:pt>
                <c:pt idx="222">
                  <c:v>45108</c:v>
                </c:pt>
                <c:pt idx="223">
                  <c:v>45139</c:v>
                </c:pt>
                <c:pt idx="224">
                  <c:v>45170</c:v>
                </c:pt>
                <c:pt idx="225">
                  <c:v>45200</c:v>
                </c:pt>
                <c:pt idx="226">
                  <c:v>45231</c:v>
                </c:pt>
                <c:pt idx="227">
                  <c:v>45261</c:v>
                </c:pt>
                <c:pt idx="228">
                  <c:v>45292</c:v>
                </c:pt>
                <c:pt idx="229">
                  <c:v>45323</c:v>
                </c:pt>
                <c:pt idx="230">
                  <c:v>45352</c:v>
                </c:pt>
                <c:pt idx="231">
                  <c:v>45383</c:v>
                </c:pt>
                <c:pt idx="232">
                  <c:v>45413</c:v>
                </c:pt>
                <c:pt idx="233">
                  <c:v>45444</c:v>
                </c:pt>
                <c:pt idx="234">
                  <c:v>45474</c:v>
                </c:pt>
                <c:pt idx="235">
                  <c:v>45505</c:v>
                </c:pt>
                <c:pt idx="236">
                  <c:v>45536</c:v>
                </c:pt>
                <c:pt idx="237">
                  <c:v>45566</c:v>
                </c:pt>
                <c:pt idx="238">
                  <c:v>45597</c:v>
                </c:pt>
                <c:pt idx="239">
                  <c:v>45627</c:v>
                </c:pt>
                <c:pt idx="240">
                  <c:v>45658</c:v>
                </c:pt>
                <c:pt idx="241">
                  <c:v>45689</c:v>
                </c:pt>
                <c:pt idx="242">
                  <c:v>45717</c:v>
                </c:pt>
              </c:numCache>
            </c:numRef>
          </c:cat>
          <c:val>
            <c:numRef>
              <c:f>'Stationary Analysis'!$B$4:$B$246</c:f>
              <c:numCache>
                <c:formatCode>#,##0</c:formatCode>
                <c:ptCount val="243"/>
                <c:pt idx="0">
                  <c:v>8837</c:v>
                </c:pt>
                <c:pt idx="1">
                  <c:v>10625</c:v>
                </c:pt>
                <c:pt idx="2">
                  <c:v>12071</c:v>
                </c:pt>
                <c:pt idx="3">
                  <c:v>10587</c:v>
                </c:pt>
                <c:pt idx="4">
                  <c:v>10109</c:v>
                </c:pt>
                <c:pt idx="5">
                  <c:v>11531</c:v>
                </c:pt>
                <c:pt idx="6">
                  <c:v>14726</c:v>
                </c:pt>
                <c:pt idx="7">
                  <c:v>13971</c:v>
                </c:pt>
                <c:pt idx="8">
                  <c:v>9198</c:v>
                </c:pt>
                <c:pt idx="9">
                  <c:v>10872</c:v>
                </c:pt>
                <c:pt idx="10">
                  <c:v>12040</c:v>
                </c:pt>
                <c:pt idx="11">
                  <c:v>18788</c:v>
                </c:pt>
                <c:pt idx="12">
                  <c:v>9999</c:v>
                </c:pt>
                <c:pt idx="13">
                  <c:v>10901</c:v>
                </c:pt>
                <c:pt idx="14">
                  <c:v>12966</c:v>
                </c:pt>
                <c:pt idx="15">
                  <c:v>12566</c:v>
                </c:pt>
                <c:pt idx="16">
                  <c:v>12856</c:v>
                </c:pt>
                <c:pt idx="17">
                  <c:v>11458</c:v>
                </c:pt>
                <c:pt idx="18">
                  <c:v>19490</c:v>
                </c:pt>
                <c:pt idx="19">
                  <c:v>19100</c:v>
                </c:pt>
                <c:pt idx="20">
                  <c:v>10001</c:v>
                </c:pt>
                <c:pt idx="21">
                  <c:v>8335</c:v>
                </c:pt>
                <c:pt idx="22">
                  <c:v>9520</c:v>
                </c:pt>
                <c:pt idx="23">
                  <c:v>14962</c:v>
                </c:pt>
                <c:pt idx="24">
                  <c:v>9375</c:v>
                </c:pt>
                <c:pt idx="25">
                  <c:v>10367</c:v>
                </c:pt>
                <c:pt idx="26">
                  <c:v>14339</c:v>
                </c:pt>
                <c:pt idx="27">
                  <c:v>12047</c:v>
                </c:pt>
                <c:pt idx="28">
                  <c:v>10133</c:v>
                </c:pt>
                <c:pt idx="29">
                  <c:v>10371</c:v>
                </c:pt>
                <c:pt idx="30">
                  <c:v>13136</c:v>
                </c:pt>
                <c:pt idx="31">
                  <c:v>9504</c:v>
                </c:pt>
                <c:pt idx="32">
                  <c:v>6191</c:v>
                </c:pt>
                <c:pt idx="33">
                  <c:v>5920</c:v>
                </c:pt>
                <c:pt idx="34">
                  <c:v>5360</c:v>
                </c:pt>
                <c:pt idx="35">
                  <c:v>10403</c:v>
                </c:pt>
                <c:pt idx="36">
                  <c:v>8375</c:v>
                </c:pt>
                <c:pt idx="37">
                  <c:v>12881</c:v>
                </c:pt>
                <c:pt idx="38">
                  <c:v>10168</c:v>
                </c:pt>
                <c:pt idx="39">
                  <c:v>12200</c:v>
                </c:pt>
                <c:pt idx="40">
                  <c:v>8449</c:v>
                </c:pt>
                <c:pt idx="41">
                  <c:v>7282</c:v>
                </c:pt>
                <c:pt idx="42">
                  <c:v>7486</c:v>
                </c:pt>
                <c:pt idx="43">
                  <c:v>11276</c:v>
                </c:pt>
                <c:pt idx="44">
                  <c:v>5192</c:v>
                </c:pt>
                <c:pt idx="45">
                  <c:v>4980</c:v>
                </c:pt>
                <c:pt idx="46">
                  <c:v>5601</c:v>
                </c:pt>
                <c:pt idx="47">
                  <c:v>6735</c:v>
                </c:pt>
                <c:pt idx="48">
                  <c:v>6679</c:v>
                </c:pt>
                <c:pt idx="49">
                  <c:v>6678</c:v>
                </c:pt>
                <c:pt idx="50">
                  <c:v>6789</c:v>
                </c:pt>
                <c:pt idx="51">
                  <c:v>6569</c:v>
                </c:pt>
                <c:pt idx="52">
                  <c:v>7412</c:v>
                </c:pt>
                <c:pt idx="53">
                  <c:v>8171</c:v>
                </c:pt>
                <c:pt idx="54">
                  <c:v>6340</c:v>
                </c:pt>
                <c:pt idx="55">
                  <c:v>7800</c:v>
                </c:pt>
                <c:pt idx="56">
                  <c:v>5438</c:v>
                </c:pt>
                <c:pt idx="57">
                  <c:v>6339</c:v>
                </c:pt>
                <c:pt idx="58">
                  <c:v>6502</c:v>
                </c:pt>
                <c:pt idx="59">
                  <c:v>9184</c:v>
                </c:pt>
                <c:pt idx="60">
                  <c:v>4865</c:v>
                </c:pt>
                <c:pt idx="61">
                  <c:v>6672</c:v>
                </c:pt>
                <c:pt idx="62">
                  <c:v>10432</c:v>
                </c:pt>
                <c:pt idx="63">
                  <c:v>9322</c:v>
                </c:pt>
                <c:pt idx="64">
                  <c:v>9834</c:v>
                </c:pt>
                <c:pt idx="65">
                  <c:v>8986</c:v>
                </c:pt>
                <c:pt idx="66">
                  <c:v>9570</c:v>
                </c:pt>
                <c:pt idx="67">
                  <c:v>8484</c:v>
                </c:pt>
                <c:pt idx="68">
                  <c:v>8059</c:v>
                </c:pt>
                <c:pt idx="69">
                  <c:v>8169</c:v>
                </c:pt>
                <c:pt idx="70">
                  <c:v>7593</c:v>
                </c:pt>
                <c:pt idx="71">
                  <c:v>10337</c:v>
                </c:pt>
                <c:pt idx="72">
                  <c:v>6703</c:v>
                </c:pt>
                <c:pt idx="73">
                  <c:v>8224</c:v>
                </c:pt>
                <c:pt idx="74">
                  <c:v>9608</c:v>
                </c:pt>
                <c:pt idx="75">
                  <c:v>9488</c:v>
                </c:pt>
                <c:pt idx="76">
                  <c:v>8560</c:v>
                </c:pt>
                <c:pt idx="77">
                  <c:v>9035</c:v>
                </c:pt>
                <c:pt idx="78">
                  <c:v>9954</c:v>
                </c:pt>
                <c:pt idx="79">
                  <c:v>9825</c:v>
                </c:pt>
                <c:pt idx="80">
                  <c:v>10306</c:v>
                </c:pt>
                <c:pt idx="81">
                  <c:v>12466</c:v>
                </c:pt>
                <c:pt idx="82">
                  <c:v>10487</c:v>
                </c:pt>
                <c:pt idx="83">
                  <c:v>11641</c:v>
                </c:pt>
                <c:pt idx="84">
                  <c:v>6365</c:v>
                </c:pt>
                <c:pt idx="85">
                  <c:v>17758</c:v>
                </c:pt>
                <c:pt idx="86">
                  <c:v>10097</c:v>
                </c:pt>
                <c:pt idx="87">
                  <c:v>8827</c:v>
                </c:pt>
                <c:pt idx="88">
                  <c:v>10749</c:v>
                </c:pt>
                <c:pt idx="89">
                  <c:v>9959</c:v>
                </c:pt>
                <c:pt idx="90">
                  <c:v>9757</c:v>
                </c:pt>
                <c:pt idx="91">
                  <c:v>10610</c:v>
                </c:pt>
                <c:pt idx="92">
                  <c:v>10045</c:v>
                </c:pt>
                <c:pt idx="93">
                  <c:v>8828</c:v>
                </c:pt>
                <c:pt idx="94">
                  <c:v>9366</c:v>
                </c:pt>
                <c:pt idx="95">
                  <c:v>11366</c:v>
                </c:pt>
                <c:pt idx="96">
                  <c:v>7405</c:v>
                </c:pt>
                <c:pt idx="97">
                  <c:v>9614</c:v>
                </c:pt>
                <c:pt idx="98">
                  <c:v>11207</c:v>
                </c:pt>
                <c:pt idx="99">
                  <c:v>10613</c:v>
                </c:pt>
                <c:pt idx="100">
                  <c:v>11963</c:v>
                </c:pt>
                <c:pt idx="101">
                  <c:v>12085</c:v>
                </c:pt>
                <c:pt idx="102">
                  <c:v>12932</c:v>
                </c:pt>
                <c:pt idx="103">
                  <c:v>14877</c:v>
                </c:pt>
                <c:pt idx="104">
                  <c:v>9659</c:v>
                </c:pt>
                <c:pt idx="105">
                  <c:v>9202</c:v>
                </c:pt>
                <c:pt idx="106">
                  <c:v>8150</c:v>
                </c:pt>
                <c:pt idx="107">
                  <c:v>8971</c:v>
                </c:pt>
                <c:pt idx="108">
                  <c:v>6224</c:v>
                </c:pt>
                <c:pt idx="109">
                  <c:v>6913</c:v>
                </c:pt>
                <c:pt idx="110">
                  <c:v>8894</c:v>
                </c:pt>
                <c:pt idx="111">
                  <c:v>8765</c:v>
                </c:pt>
                <c:pt idx="112">
                  <c:v>10054</c:v>
                </c:pt>
                <c:pt idx="113">
                  <c:v>9830</c:v>
                </c:pt>
                <c:pt idx="114">
                  <c:v>10933</c:v>
                </c:pt>
                <c:pt idx="115">
                  <c:v>10810</c:v>
                </c:pt>
                <c:pt idx="116">
                  <c:v>7824</c:v>
                </c:pt>
                <c:pt idx="117">
                  <c:v>7903</c:v>
                </c:pt>
                <c:pt idx="118">
                  <c:v>9228</c:v>
                </c:pt>
                <c:pt idx="119">
                  <c:v>11479</c:v>
                </c:pt>
                <c:pt idx="120">
                  <c:v>12315</c:v>
                </c:pt>
                <c:pt idx="121">
                  <c:v>12629</c:v>
                </c:pt>
                <c:pt idx="122">
                  <c:v>11937</c:v>
                </c:pt>
                <c:pt idx="123">
                  <c:v>11222</c:v>
                </c:pt>
                <c:pt idx="124">
                  <c:v>11760</c:v>
                </c:pt>
                <c:pt idx="125">
                  <c:v>9093</c:v>
                </c:pt>
                <c:pt idx="126">
                  <c:v>9584</c:v>
                </c:pt>
                <c:pt idx="127">
                  <c:v>10202</c:v>
                </c:pt>
                <c:pt idx="128">
                  <c:v>10238</c:v>
                </c:pt>
                <c:pt idx="129">
                  <c:v>12913</c:v>
                </c:pt>
                <c:pt idx="130">
                  <c:v>10975</c:v>
                </c:pt>
                <c:pt idx="131">
                  <c:v>13344</c:v>
                </c:pt>
                <c:pt idx="132">
                  <c:v>8561</c:v>
                </c:pt>
                <c:pt idx="133">
                  <c:v>9572</c:v>
                </c:pt>
                <c:pt idx="134">
                  <c:v>10593</c:v>
                </c:pt>
                <c:pt idx="135">
                  <c:v>11370</c:v>
                </c:pt>
                <c:pt idx="136">
                  <c:v>11248</c:v>
                </c:pt>
                <c:pt idx="137">
                  <c:v>10830</c:v>
                </c:pt>
                <c:pt idx="138">
                  <c:v>10350</c:v>
                </c:pt>
                <c:pt idx="139">
                  <c:v>9269</c:v>
                </c:pt>
                <c:pt idx="140">
                  <c:v>9206</c:v>
                </c:pt>
                <c:pt idx="141">
                  <c:v>8677</c:v>
                </c:pt>
                <c:pt idx="142">
                  <c:v>9024</c:v>
                </c:pt>
                <c:pt idx="143">
                  <c:v>12072</c:v>
                </c:pt>
                <c:pt idx="144">
                  <c:v>7180</c:v>
                </c:pt>
                <c:pt idx="145">
                  <c:v>8099</c:v>
                </c:pt>
                <c:pt idx="146">
                  <c:v>9945</c:v>
                </c:pt>
                <c:pt idx="147">
                  <c:v>9746</c:v>
                </c:pt>
                <c:pt idx="148">
                  <c:v>9976</c:v>
                </c:pt>
                <c:pt idx="149">
                  <c:v>9409</c:v>
                </c:pt>
                <c:pt idx="150">
                  <c:v>9985</c:v>
                </c:pt>
                <c:pt idx="151">
                  <c:v>9568</c:v>
                </c:pt>
                <c:pt idx="152">
                  <c:v>10295</c:v>
                </c:pt>
                <c:pt idx="153">
                  <c:v>10285</c:v>
                </c:pt>
                <c:pt idx="154">
                  <c:v>14189</c:v>
                </c:pt>
                <c:pt idx="155">
                  <c:v>18602</c:v>
                </c:pt>
                <c:pt idx="156">
                  <c:v>11619</c:v>
                </c:pt>
                <c:pt idx="157">
                  <c:v>12056</c:v>
                </c:pt>
                <c:pt idx="158">
                  <c:v>14158</c:v>
                </c:pt>
                <c:pt idx="159">
                  <c:v>11891</c:v>
                </c:pt>
                <c:pt idx="160">
                  <c:v>13573</c:v>
                </c:pt>
                <c:pt idx="161">
                  <c:v>12782</c:v>
                </c:pt>
                <c:pt idx="162">
                  <c:v>13026</c:v>
                </c:pt>
                <c:pt idx="163">
                  <c:v>15332</c:v>
                </c:pt>
                <c:pt idx="164">
                  <c:v>15464</c:v>
                </c:pt>
                <c:pt idx="165">
                  <c:v>13479</c:v>
                </c:pt>
                <c:pt idx="166">
                  <c:v>10537</c:v>
                </c:pt>
                <c:pt idx="167">
                  <c:v>15698</c:v>
                </c:pt>
                <c:pt idx="168">
                  <c:v>8556</c:v>
                </c:pt>
                <c:pt idx="169">
                  <c:v>10990</c:v>
                </c:pt>
                <c:pt idx="170">
                  <c:v>13411</c:v>
                </c:pt>
                <c:pt idx="171">
                  <c:v>11399</c:v>
                </c:pt>
                <c:pt idx="172">
                  <c:v>12517</c:v>
                </c:pt>
                <c:pt idx="173">
                  <c:v>11579</c:v>
                </c:pt>
                <c:pt idx="174">
                  <c:v>11874</c:v>
                </c:pt>
                <c:pt idx="175">
                  <c:v>14381</c:v>
                </c:pt>
                <c:pt idx="176">
                  <c:v>9262</c:v>
                </c:pt>
                <c:pt idx="177">
                  <c:v>9529</c:v>
                </c:pt>
                <c:pt idx="178">
                  <c:v>10260</c:v>
                </c:pt>
                <c:pt idx="179">
                  <c:v>11250</c:v>
                </c:pt>
                <c:pt idx="180">
                  <c:v>7765</c:v>
                </c:pt>
                <c:pt idx="181">
                  <c:v>9688</c:v>
                </c:pt>
                <c:pt idx="182">
                  <c:v>6445</c:v>
                </c:pt>
                <c:pt idx="183">
                  <c:v>6562</c:v>
                </c:pt>
                <c:pt idx="184">
                  <c:v>12227</c:v>
                </c:pt>
                <c:pt idx="185">
                  <c:v>12128</c:v>
                </c:pt>
                <c:pt idx="186">
                  <c:v>12036</c:v>
                </c:pt>
                <c:pt idx="187">
                  <c:v>12508</c:v>
                </c:pt>
                <c:pt idx="188">
                  <c:v>10643</c:v>
                </c:pt>
                <c:pt idx="189">
                  <c:v>11631</c:v>
                </c:pt>
                <c:pt idx="190">
                  <c:v>9126</c:v>
                </c:pt>
                <c:pt idx="191">
                  <c:v>13054</c:v>
                </c:pt>
                <c:pt idx="192">
                  <c:v>8602</c:v>
                </c:pt>
                <c:pt idx="193">
                  <c:v>10689</c:v>
                </c:pt>
                <c:pt idx="194">
                  <c:v>12160</c:v>
                </c:pt>
                <c:pt idx="195">
                  <c:v>13915</c:v>
                </c:pt>
                <c:pt idx="196">
                  <c:v>16480</c:v>
                </c:pt>
                <c:pt idx="197">
                  <c:v>14714</c:v>
                </c:pt>
                <c:pt idx="198">
                  <c:v>14506</c:v>
                </c:pt>
                <c:pt idx="199">
                  <c:v>11371</c:v>
                </c:pt>
                <c:pt idx="200">
                  <c:v>12230</c:v>
                </c:pt>
                <c:pt idx="201">
                  <c:v>9480</c:v>
                </c:pt>
                <c:pt idx="202">
                  <c:v>7629</c:v>
                </c:pt>
                <c:pt idx="203">
                  <c:v>11286</c:v>
                </c:pt>
                <c:pt idx="204">
                  <c:v>6998</c:v>
                </c:pt>
                <c:pt idx="205">
                  <c:v>8163</c:v>
                </c:pt>
                <c:pt idx="206">
                  <c:v>8828</c:v>
                </c:pt>
                <c:pt idx="207">
                  <c:v>7994</c:v>
                </c:pt>
                <c:pt idx="208">
                  <c:v>8713</c:v>
                </c:pt>
                <c:pt idx="209">
                  <c:v>5739</c:v>
                </c:pt>
                <c:pt idx="210">
                  <c:v>10615</c:v>
                </c:pt>
                <c:pt idx="211">
                  <c:v>8690</c:v>
                </c:pt>
                <c:pt idx="212">
                  <c:v>8212</c:v>
                </c:pt>
                <c:pt idx="213">
                  <c:v>8843</c:v>
                </c:pt>
                <c:pt idx="214">
                  <c:v>7781</c:v>
                </c:pt>
                <c:pt idx="215">
                  <c:v>8991</c:v>
                </c:pt>
                <c:pt idx="216">
                  <c:v>6950</c:v>
                </c:pt>
                <c:pt idx="217">
                  <c:v>7271</c:v>
                </c:pt>
                <c:pt idx="218">
                  <c:v>10483</c:v>
                </c:pt>
                <c:pt idx="219">
                  <c:v>9949</c:v>
                </c:pt>
                <c:pt idx="220">
                  <c:v>10439</c:v>
                </c:pt>
                <c:pt idx="221">
                  <c:v>10691</c:v>
                </c:pt>
                <c:pt idx="222">
                  <c:v>9962</c:v>
                </c:pt>
                <c:pt idx="223">
                  <c:v>10089</c:v>
                </c:pt>
                <c:pt idx="224">
                  <c:v>6563</c:v>
                </c:pt>
                <c:pt idx="225">
                  <c:v>8223</c:v>
                </c:pt>
                <c:pt idx="226">
                  <c:v>9113</c:v>
                </c:pt>
                <c:pt idx="227">
                  <c:v>10565</c:v>
                </c:pt>
                <c:pt idx="228">
                  <c:v>7687</c:v>
                </c:pt>
                <c:pt idx="229">
                  <c:v>9684</c:v>
                </c:pt>
                <c:pt idx="230">
                  <c:v>12680</c:v>
                </c:pt>
                <c:pt idx="231">
                  <c:v>11882</c:v>
                </c:pt>
                <c:pt idx="232">
                  <c:v>12561</c:v>
                </c:pt>
                <c:pt idx="233">
                  <c:v>11789</c:v>
                </c:pt>
                <c:pt idx="234">
                  <c:v>12109</c:v>
                </c:pt>
                <c:pt idx="235">
                  <c:v>14093</c:v>
                </c:pt>
                <c:pt idx="236">
                  <c:v>10630</c:v>
                </c:pt>
                <c:pt idx="237">
                  <c:v>11927</c:v>
                </c:pt>
                <c:pt idx="238">
                  <c:v>12652</c:v>
                </c:pt>
                <c:pt idx="239">
                  <c:v>13551</c:v>
                </c:pt>
                <c:pt idx="240">
                  <c:v>8849</c:v>
                </c:pt>
                <c:pt idx="241">
                  <c:v>10204</c:v>
                </c:pt>
                <c:pt idx="242">
                  <c:v>13589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5D-5340-AE74-2118BC4A0F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0414896"/>
        <c:axId val="330417376"/>
      </c:lineChart>
      <c:dateAx>
        <c:axId val="3304148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500" b="1">
                    <a:solidFill>
                      <a:schemeClr val="tx1"/>
                    </a:solidFill>
                  </a:rPr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417376"/>
        <c:crosses val="autoZero"/>
        <c:auto val="1"/>
        <c:lblOffset val="100"/>
        <c:baseTimeUnit val="months"/>
      </c:dateAx>
      <c:valAx>
        <c:axId val="330417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500" b="1">
                    <a:solidFill>
                      <a:schemeClr val="tx1"/>
                    </a:solidFill>
                  </a:rPr>
                  <a:t>Units Sold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5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414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7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700" b="1">
                <a:solidFill>
                  <a:schemeClr val="tx1"/>
                </a:solidFill>
              </a:rPr>
              <a:t>Monthly % Change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7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Descriptive Analysis'!$E$2</c:f>
              <c:strCache>
                <c:ptCount val="1"/>
                <c:pt idx="0">
                  <c:v>% Change Per Month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'Monthly Descriptive Analysis'!$D$3:$D$233</c:f>
              <c:numCache>
                <c:formatCode>mmm\-yy</c:formatCode>
                <c:ptCount val="231"/>
                <c:pt idx="0">
                  <c:v>38718</c:v>
                </c:pt>
                <c:pt idx="1">
                  <c:v>38749</c:v>
                </c:pt>
                <c:pt idx="2">
                  <c:v>38777</c:v>
                </c:pt>
                <c:pt idx="3">
                  <c:v>38808</c:v>
                </c:pt>
                <c:pt idx="4">
                  <c:v>38838</c:v>
                </c:pt>
                <c:pt idx="5">
                  <c:v>38869</c:v>
                </c:pt>
                <c:pt idx="6">
                  <c:v>38899</c:v>
                </c:pt>
                <c:pt idx="7">
                  <c:v>38930</c:v>
                </c:pt>
                <c:pt idx="8">
                  <c:v>38961</c:v>
                </c:pt>
                <c:pt idx="9">
                  <c:v>38991</c:v>
                </c:pt>
                <c:pt idx="10">
                  <c:v>39022</c:v>
                </c:pt>
                <c:pt idx="11">
                  <c:v>39052</c:v>
                </c:pt>
                <c:pt idx="12">
                  <c:v>39083</c:v>
                </c:pt>
                <c:pt idx="13">
                  <c:v>39114</c:v>
                </c:pt>
                <c:pt idx="14">
                  <c:v>39142</c:v>
                </c:pt>
                <c:pt idx="15">
                  <c:v>39173</c:v>
                </c:pt>
                <c:pt idx="16">
                  <c:v>39203</c:v>
                </c:pt>
                <c:pt idx="17">
                  <c:v>39234</c:v>
                </c:pt>
                <c:pt idx="18">
                  <c:v>39264</c:v>
                </c:pt>
                <c:pt idx="19">
                  <c:v>39295</c:v>
                </c:pt>
                <c:pt idx="20">
                  <c:v>39326</c:v>
                </c:pt>
                <c:pt idx="21">
                  <c:v>39356</c:v>
                </c:pt>
                <c:pt idx="22">
                  <c:v>39387</c:v>
                </c:pt>
                <c:pt idx="23">
                  <c:v>39417</c:v>
                </c:pt>
                <c:pt idx="24">
                  <c:v>39448</c:v>
                </c:pt>
                <c:pt idx="25">
                  <c:v>39479</c:v>
                </c:pt>
                <c:pt idx="26">
                  <c:v>39508</c:v>
                </c:pt>
                <c:pt idx="27">
                  <c:v>39539</c:v>
                </c:pt>
                <c:pt idx="28">
                  <c:v>39569</c:v>
                </c:pt>
                <c:pt idx="29">
                  <c:v>39600</c:v>
                </c:pt>
                <c:pt idx="30">
                  <c:v>39630</c:v>
                </c:pt>
                <c:pt idx="31">
                  <c:v>39661</c:v>
                </c:pt>
                <c:pt idx="32">
                  <c:v>39692</c:v>
                </c:pt>
                <c:pt idx="33">
                  <c:v>39722</c:v>
                </c:pt>
                <c:pt idx="34">
                  <c:v>39753</c:v>
                </c:pt>
                <c:pt idx="35">
                  <c:v>39783</c:v>
                </c:pt>
                <c:pt idx="36">
                  <c:v>39814</c:v>
                </c:pt>
                <c:pt idx="37">
                  <c:v>39845</c:v>
                </c:pt>
                <c:pt idx="38">
                  <c:v>39873</c:v>
                </c:pt>
                <c:pt idx="39">
                  <c:v>39904</c:v>
                </c:pt>
                <c:pt idx="40">
                  <c:v>39934</c:v>
                </c:pt>
                <c:pt idx="41">
                  <c:v>39965</c:v>
                </c:pt>
                <c:pt idx="42">
                  <c:v>39995</c:v>
                </c:pt>
                <c:pt idx="43">
                  <c:v>40026</c:v>
                </c:pt>
                <c:pt idx="44">
                  <c:v>40057</c:v>
                </c:pt>
                <c:pt idx="45">
                  <c:v>40087</c:v>
                </c:pt>
                <c:pt idx="46">
                  <c:v>40118</c:v>
                </c:pt>
                <c:pt idx="47">
                  <c:v>40148</c:v>
                </c:pt>
                <c:pt idx="48">
                  <c:v>40179</c:v>
                </c:pt>
                <c:pt idx="49">
                  <c:v>40210</c:v>
                </c:pt>
                <c:pt idx="50">
                  <c:v>40238</c:v>
                </c:pt>
                <c:pt idx="51">
                  <c:v>40269</c:v>
                </c:pt>
                <c:pt idx="52">
                  <c:v>40299</c:v>
                </c:pt>
                <c:pt idx="53">
                  <c:v>40330</c:v>
                </c:pt>
                <c:pt idx="54">
                  <c:v>40360</c:v>
                </c:pt>
                <c:pt idx="55">
                  <c:v>40391</c:v>
                </c:pt>
                <c:pt idx="56">
                  <c:v>40422</c:v>
                </c:pt>
                <c:pt idx="57">
                  <c:v>40452</c:v>
                </c:pt>
                <c:pt idx="58">
                  <c:v>40483</c:v>
                </c:pt>
                <c:pt idx="59">
                  <c:v>40513</c:v>
                </c:pt>
                <c:pt idx="60">
                  <c:v>40544</c:v>
                </c:pt>
                <c:pt idx="61">
                  <c:v>40575</c:v>
                </c:pt>
                <c:pt idx="62">
                  <c:v>40603</c:v>
                </c:pt>
                <c:pt idx="63">
                  <c:v>40634</c:v>
                </c:pt>
                <c:pt idx="64">
                  <c:v>40664</c:v>
                </c:pt>
                <c:pt idx="65">
                  <c:v>40695</c:v>
                </c:pt>
                <c:pt idx="66">
                  <c:v>40725</c:v>
                </c:pt>
                <c:pt idx="67">
                  <c:v>40756</c:v>
                </c:pt>
                <c:pt idx="68">
                  <c:v>40787</c:v>
                </c:pt>
                <c:pt idx="69">
                  <c:v>40817</c:v>
                </c:pt>
                <c:pt idx="70">
                  <c:v>40848</c:v>
                </c:pt>
                <c:pt idx="71">
                  <c:v>40878</c:v>
                </c:pt>
                <c:pt idx="72">
                  <c:v>40909</c:v>
                </c:pt>
                <c:pt idx="73">
                  <c:v>40940</c:v>
                </c:pt>
                <c:pt idx="74">
                  <c:v>40969</c:v>
                </c:pt>
                <c:pt idx="75">
                  <c:v>41000</c:v>
                </c:pt>
                <c:pt idx="76">
                  <c:v>41030</c:v>
                </c:pt>
                <c:pt idx="77">
                  <c:v>41061</c:v>
                </c:pt>
                <c:pt idx="78">
                  <c:v>41091</c:v>
                </c:pt>
                <c:pt idx="79">
                  <c:v>41122</c:v>
                </c:pt>
                <c:pt idx="80">
                  <c:v>41153</c:v>
                </c:pt>
                <c:pt idx="81">
                  <c:v>41183</c:v>
                </c:pt>
                <c:pt idx="82">
                  <c:v>41214</c:v>
                </c:pt>
                <c:pt idx="83">
                  <c:v>41244</c:v>
                </c:pt>
                <c:pt idx="84">
                  <c:v>41275</c:v>
                </c:pt>
                <c:pt idx="85">
                  <c:v>41306</c:v>
                </c:pt>
                <c:pt idx="86">
                  <c:v>41334</c:v>
                </c:pt>
                <c:pt idx="87">
                  <c:v>41365</c:v>
                </c:pt>
                <c:pt idx="88">
                  <c:v>41395</c:v>
                </c:pt>
                <c:pt idx="89">
                  <c:v>41426</c:v>
                </c:pt>
                <c:pt idx="90">
                  <c:v>41456</c:v>
                </c:pt>
                <c:pt idx="91">
                  <c:v>41487</c:v>
                </c:pt>
                <c:pt idx="92">
                  <c:v>41518</c:v>
                </c:pt>
                <c:pt idx="93">
                  <c:v>41548</c:v>
                </c:pt>
                <c:pt idx="94">
                  <c:v>41579</c:v>
                </c:pt>
                <c:pt idx="95">
                  <c:v>41609</c:v>
                </c:pt>
                <c:pt idx="96">
                  <c:v>41640</c:v>
                </c:pt>
                <c:pt idx="97">
                  <c:v>41671</c:v>
                </c:pt>
                <c:pt idx="98">
                  <c:v>41699</c:v>
                </c:pt>
                <c:pt idx="99">
                  <c:v>41730</c:v>
                </c:pt>
                <c:pt idx="100">
                  <c:v>41760</c:v>
                </c:pt>
                <c:pt idx="101">
                  <c:v>41791</c:v>
                </c:pt>
                <c:pt idx="102">
                  <c:v>41821</c:v>
                </c:pt>
                <c:pt idx="103">
                  <c:v>41852</c:v>
                </c:pt>
                <c:pt idx="104">
                  <c:v>41883</c:v>
                </c:pt>
                <c:pt idx="105">
                  <c:v>41913</c:v>
                </c:pt>
                <c:pt idx="106">
                  <c:v>41944</c:v>
                </c:pt>
                <c:pt idx="107">
                  <c:v>41974</c:v>
                </c:pt>
                <c:pt idx="108">
                  <c:v>42005</c:v>
                </c:pt>
                <c:pt idx="109">
                  <c:v>42036</c:v>
                </c:pt>
                <c:pt idx="110">
                  <c:v>42064</c:v>
                </c:pt>
                <c:pt idx="111">
                  <c:v>42095</c:v>
                </c:pt>
                <c:pt idx="112">
                  <c:v>42125</c:v>
                </c:pt>
                <c:pt idx="113">
                  <c:v>42156</c:v>
                </c:pt>
                <c:pt idx="114">
                  <c:v>42186</c:v>
                </c:pt>
                <c:pt idx="115">
                  <c:v>42217</c:v>
                </c:pt>
                <c:pt idx="116">
                  <c:v>42248</c:v>
                </c:pt>
                <c:pt idx="117">
                  <c:v>42278</c:v>
                </c:pt>
                <c:pt idx="118">
                  <c:v>42309</c:v>
                </c:pt>
                <c:pt idx="119">
                  <c:v>42339</c:v>
                </c:pt>
                <c:pt idx="120">
                  <c:v>42370</c:v>
                </c:pt>
                <c:pt idx="121">
                  <c:v>42401</c:v>
                </c:pt>
                <c:pt idx="122">
                  <c:v>42430</c:v>
                </c:pt>
                <c:pt idx="123">
                  <c:v>42461</c:v>
                </c:pt>
                <c:pt idx="124">
                  <c:v>42491</c:v>
                </c:pt>
                <c:pt idx="125">
                  <c:v>42522</c:v>
                </c:pt>
                <c:pt idx="126">
                  <c:v>42552</c:v>
                </c:pt>
                <c:pt idx="127">
                  <c:v>42583</c:v>
                </c:pt>
                <c:pt idx="128">
                  <c:v>42614</c:v>
                </c:pt>
                <c:pt idx="129">
                  <c:v>42644</c:v>
                </c:pt>
                <c:pt idx="130">
                  <c:v>42675</c:v>
                </c:pt>
                <c:pt idx="131">
                  <c:v>42705</c:v>
                </c:pt>
                <c:pt idx="132">
                  <c:v>42736</c:v>
                </c:pt>
                <c:pt idx="133">
                  <c:v>42767</c:v>
                </c:pt>
                <c:pt idx="134">
                  <c:v>42795</c:v>
                </c:pt>
                <c:pt idx="135">
                  <c:v>42826</c:v>
                </c:pt>
                <c:pt idx="136">
                  <c:v>42856</c:v>
                </c:pt>
                <c:pt idx="137">
                  <c:v>42887</c:v>
                </c:pt>
                <c:pt idx="138">
                  <c:v>42917</c:v>
                </c:pt>
                <c:pt idx="139">
                  <c:v>42948</c:v>
                </c:pt>
                <c:pt idx="140">
                  <c:v>42979</c:v>
                </c:pt>
                <c:pt idx="141">
                  <c:v>43009</c:v>
                </c:pt>
                <c:pt idx="142">
                  <c:v>43040</c:v>
                </c:pt>
                <c:pt idx="143">
                  <c:v>43070</c:v>
                </c:pt>
                <c:pt idx="144">
                  <c:v>43101</c:v>
                </c:pt>
                <c:pt idx="145">
                  <c:v>43132</c:v>
                </c:pt>
                <c:pt idx="146">
                  <c:v>43160</c:v>
                </c:pt>
                <c:pt idx="147">
                  <c:v>43191</c:v>
                </c:pt>
                <c:pt idx="148">
                  <c:v>43221</c:v>
                </c:pt>
                <c:pt idx="149">
                  <c:v>43252</c:v>
                </c:pt>
                <c:pt idx="150">
                  <c:v>43282</c:v>
                </c:pt>
                <c:pt idx="151">
                  <c:v>43313</c:v>
                </c:pt>
                <c:pt idx="152">
                  <c:v>43344</c:v>
                </c:pt>
                <c:pt idx="153">
                  <c:v>43374</c:v>
                </c:pt>
                <c:pt idx="154">
                  <c:v>43405</c:v>
                </c:pt>
                <c:pt idx="155">
                  <c:v>43435</c:v>
                </c:pt>
                <c:pt idx="156">
                  <c:v>43466</c:v>
                </c:pt>
                <c:pt idx="157">
                  <c:v>43497</c:v>
                </c:pt>
                <c:pt idx="158">
                  <c:v>43525</c:v>
                </c:pt>
                <c:pt idx="159">
                  <c:v>43556</c:v>
                </c:pt>
                <c:pt idx="160">
                  <c:v>43586</c:v>
                </c:pt>
                <c:pt idx="161">
                  <c:v>43617</c:v>
                </c:pt>
                <c:pt idx="162">
                  <c:v>43647</c:v>
                </c:pt>
                <c:pt idx="163">
                  <c:v>43678</c:v>
                </c:pt>
                <c:pt idx="164">
                  <c:v>43709</c:v>
                </c:pt>
                <c:pt idx="165">
                  <c:v>43739</c:v>
                </c:pt>
                <c:pt idx="166">
                  <c:v>43770</c:v>
                </c:pt>
                <c:pt idx="167">
                  <c:v>43800</c:v>
                </c:pt>
                <c:pt idx="168">
                  <c:v>43831</c:v>
                </c:pt>
                <c:pt idx="169">
                  <c:v>43862</c:v>
                </c:pt>
                <c:pt idx="170">
                  <c:v>43891</c:v>
                </c:pt>
                <c:pt idx="171">
                  <c:v>43922</c:v>
                </c:pt>
                <c:pt idx="172">
                  <c:v>43952</c:v>
                </c:pt>
                <c:pt idx="173">
                  <c:v>43983</c:v>
                </c:pt>
                <c:pt idx="174">
                  <c:v>44013</c:v>
                </c:pt>
                <c:pt idx="175">
                  <c:v>44044</c:v>
                </c:pt>
                <c:pt idx="176">
                  <c:v>44075</c:v>
                </c:pt>
                <c:pt idx="177">
                  <c:v>44105</c:v>
                </c:pt>
                <c:pt idx="178">
                  <c:v>44136</c:v>
                </c:pt>
                <c:pt idx="179">
                  <c:v>44166</c:v>
                </c:pt>
                <c:pt idx="180">
                  <c:v>44197</c:v>
                </c:pt>
                <c:pt idx="181">
                  <c:v>44228</c:v>
                </c:pt>
                <c:pt idx="182">
                  <c:v>44256</c:v>
                </c:pt>
                <c:pt idx="183">
                  <c:v>44287</c:v>
                </c:pt>
                <c:pt idx="184">
                  <c:v>44317</c:v>
                </c:pt>
                <c:pt idx="185">
                  <c:v>44348</c:v>
                </c:pt>
                <c:pt idx="186">
                  <c:v>44378</c:v>
                </c:pt>
                <c:pt idx="187">
                  <c:v>44409</c:v>
                </c:pt>
                <c:pt idx="188">
                  <c:v>44440</c:v>
                </c:pt>
                <c:pt idx="189">
                  <c:v>44470</c:v>
                </c:pt>
                <c:pt idx="190">
                  <c:v>44501</c:v>
                </c:pt>
                <c:pt idx="191">
                  <c:v>44531</c:v>
                </c:pt>
                <c:pt idx="192">
                  <c:v>44562</c:v>
                </c:pt>
                <c:pt idx="193">
                  <c:v>44593</c:v>
                </c:pt>
                <c:pt idx="194">
                  <c:v>44621</c:v>
                </c:pt>
                <c:pt idx="195">
                  <c:v>44652</c:v>
                </c:pt>
                <c:pt idx="196">
                  <c:v>44682</c:v>
                </c:pt>
                <c:pt idx="197">
                  <c:v>44713</c:v>
                </c:pt>
                <c:pt idx="198">
                  <c:v>44743</c:v>
                </c:pt>
                <c:pt idx="199">
                  <c:v>44774</c:v>
                </c:pt>
                <c:pt idx="200">
                  <c:v>44805</c:v>
                </c:pt>
                <c:pt idx="201">
                  <c:v>44835</c:v>
                </c:pt>
                <c:pt idx="202">
                  <c:v>44866</c:v>
                </c:pt>
                <c:pt idx="203">
                  <c:v>44896</c:v>
                </c:pt>
                <c:pt idx="204">
                  <c:v>44927</c:v>
                </c:pt>
                <c:pt idx="205">
                  <c:v>44958</c:v>
                </c:pt>
                <c:pt idx="206">
                  <c:v>44986</c:v>
                </c:pt>
                <c:pt idx="207">
                  <c:v>45017</c:v>
                </c:pt>
                <c:pt idx="208">
                  <c:v>45047</c:v>
                </c:pt>
                <c:pt idx="209">
                  <c:v>45078</c:v>
                </c:pt>
                <c:pt idx="210">
                  <c:v>45108</c:v>
                </c:pt>
                <c:pt idx="211">
                  <c:v>45139</c:v>
                </c:pt>
                <c:pt idx="212">
                  <c:v>45170</c:v>
                </c:pt>
                <c:pt idx="213">
                  <c:v>45200</c:v>
                </c:pt>
                <c:pt idx="214">
                  <c:v>45231</c:v>
                </c:pt>
                <c:pt idx="215">
                  <c:v>45261</c:v>
                </c:pt>
                <c:pt idx="216">
                  <c:v>45292</c:v>
                </c:pt>
                <c:pt idx="217">
                  <c:v>45323</c:v>
                </c:pt>
                <c:pt idx="218">
                  <c:v>45352</c:v>
                </c:pt>
                <c:pt idx="219">
                  <c:v>45383</c:v>
                </c:pt>
                <c:pt idx="220">
                  <c:v>45413</c:v>
                </c:pt>
                <c:pt idx="221">
                  <c:v>45444</c:v>
                </c:pt>
                <c:pt idx="222">
                  <c:v>45474</c:v>
                </c:pt>
                <c:pt idx="223">
                  <c:v>45505</c:v>
                </c:pt>
                <c:pt idx="224">
                  <c:v>45536</c:v>
                </c:pt>
                <c:pt idx="225">
                  <c:v>45566</c:v>
                </c:pt>
                <c:pt idx="226">
                  <c:v>45597</c:v>
                </c:pt>
                <c:pt idx="227">
                  <c:v>45627</c:v>
                </c:pt>
                <c:pt idx="228">
                  <c:v>45658</c:v>
                </c:pt>
                <c:pt idx="229">
                  <c:v>45689</c:v>
                </c:pt>
                <c:pt idx="230">
                  <c:v>45717</c:v>
                </c:pt>
              </c:numCache>
            </c:numRef>
          </c:cat>
          <c:val>
            <c:numRef>
              <c:f>'Monthly Descriptive Analysis'!$E$3:$E$233</c:f>
              <c:numCache>
                <c:formatCode>#,##0.00</c:formatCode>
                <c:ptCount val="231"/>
                <c:pt idx="0">
                  <c:v>13.149258798234694</c:v>
                </c:pt>
                <c:pt idx="1">
                  <c:v>2.5976470588235294</c:v>
                </c:pt>
                <c:pt idx="2">
                  <c:v>7.4144644188551077</c:v>
                </c:pt>
                <c:pt idx="3">
                  <c:v>18.692736374799281</c:v>
                </c:pt>
                <c:pt idx="4">
                  <c:v>27.17380551983381</c:v>
                </c:pt>
                <c:pt idx="5">
                  <c:v>-0.63307605584944937</c:v>
                </c:pt>
                <c:pt idx="6">
                  <c:v>32.350943908732852</c:v>
                </c:pt>
                <c:pt idx="7">
                  <c:v>36.711760074439908</c:v>
                </c:pt>
                <c:pt idx="8">
                  <c:v>8.7301587301587293</c:v>
                </c:pt>
                <c:pt idx="9">
                  <c:v>-23.335172921265638</c:v>
                </c:pt>
                <c:pt idx="10">
                  <c:v>-20.930232558139537</c:v>
                </c:pt>
                <c:pt idx="11">
                  <c:v>-20.364062167340855</c:v>
                </c:pt>
                <c:pt idx="12">
                  <c:v>-6.2406240624062406</c:v>
                </c:pt>
                <c:pt idx="13">
                  <c:v>-4.8986331529217502</c:v>
                </c:pt>
                <c:pt idx="14">
                  <c:v>10.589233379608206</c:v>
                </c:pt>
                <c:pt idx="15">
                  <c:v>-4.1301925831609108</c:v>
                </c:pt>
                <c:pt idx="16">
                  <c:v>-21.180771624144366</c:v>
                </c:pt>
                <c:pt idx="17">
                  <c:v>-9.4868214348053765</c:v>
                </c:pt>
                <c:pt idx="18">
                  <c:v>-32.601334017444842</c:v>
                </c:pt>
                <c:pt idx="19">
                  <c:v>-50.240837696335085</c:v>
                </c:pt>
                <c:pt idx="20">
                  <c:v>-38.0961903809619</c:v>
                </c:pt>
                <c:pt idx="21">
                  <c:v>-28.974205158968207</c:v>
                </c:pt>
                <c:pt idx="22">
                  <c:v>-43.69747899159664</c:v>
                </c:pt>
                <c:pt idx="23">
                  <c:v>-30.470525330838122</c:v>
                </c:pt>
                <c:pt idx="24">
                  <c:v>-10.666666666666668</c:v>
                </c:pt>
                <c:pt idx="25">
                  <c:v>24.250024114980224</c:v>
                </c:pt>
                <c:pt idx="26">
                  <c:v>-29.088499895390196</c:v>
                </c:pt>
                <c:pt idx="27">
                  <c:v>1.2700257325475222</c:v>
                </c:pt>
                <c:pt idx="28">
                  <c:v>-16.618967729201621</c:v>
                </c:pt>
                <c:pt idx="29">
                  <c:v>-29.784977340661463</c:v>
                </c:pt>
                <c:pt idx="30">
                  <c:v>-43.011571254567599</c:v>
                </c:pt>
                <c:pt idx="31">
                  <c:v>18.644781144781145</c:v>
                </c:pt>
                <c:pt idx="32">
                  <c:v>-16.13632692618317</c:v>
                </c:pt>
                <c:pt idx="33">
                  <c:v>-15.878378378378377</c:v>
                </c:pt>
                <c:pt idx="34">
                  <c:v>4.4962686567164178</c:v>
                </c:pt>
                <c:pt idx="35">
                  <c:v>-35.25905988657118</c:v>
                </c:pt>
                <c:pt idx="36">
                  <c:v>-20.250746268656716</c:v>
                </c:pt>
                <c:pt idx="37">
                  <c:v>-48.156199052868566</c:v>
                </c:pt>
                <c:pt idx="38">
                  <c:v>-33.231707317073173</c:v>
                </c:pt>
                <c:pt idx="39">
                  <c:v>-46.155737704918032</c:v>
                </c:pt>
                <c:pt idx="40">
                  <c:v>-12.273641851106639</c:v>
                </c:pt>
                <c:pt idx="41">
                  <c:v>12.208184564680034</c:v>
                </c:pt>
                <c:pt idx="42">
                  <c:v>-15.308576008549293</c:v>
                </c:pt>
                <c:pt idx="43">
                  <c:v>-30.826534231997162</c:v>
                </c:pt>
                <c:pt idx="44">
                  <c:v>4.7380585516178737</c:v>
                </c:pt>
                <c:pt idx="45">
                  <c:v>27.289156626506024</c:v>
                </c:pt>
                <c:pt idx="46">
                  <c:v>16.086413140510622</c:v>
                </c:pt>
                <c:pt idx="47">
                  <c:v>36.362286562732002</c:v>
                </c:pt>
                <c:pt idx="48">
                  <c:v>-27.15975445425962</c:v>
                </c:pt>
                <c:pt idx="49">
                  <c:v>-8.9847259658580425E-2</c:v>
                </c:pt>
                <c:pt idx="50">
                  <c:v>53.660332891442039</c:v>
                </c:pt>
                <c:pt idx="51">
                  <c:v>41.90896635713198</c:v>
                </c:pt>
                <c:pt idx="52">
                  <c:v>32.676740420939012</c:v>
                </c:pt>
                <c:pt idx="53">
                  <c:v>9.9742993513645821</c:v>
                </c:pt>
                <c:pt idx="54">
                  <c:v>50.946372239747639</c:v>
                </c:pt>
                <c:pt idx="55">
                  <c:v>8.7692307692307701</c:v>
                </c:pt>
                <c:pt idx="56">
                  <c:v>48.197866862817214</c:v>
                </c:pt>
                <c:pt idx="57">
                  <c:v>28.868906767628964</c:v>
                </c:pt>
                <c:pt idx="58">
                  <c:v>16.779452476161179</c:v>
                </c:pt>
                <c:pt idx="59">
                  <c:v>12.5544425087108</c:v>
                </c:pt>
                <c:pt idx="60">
                  <c:v>37.780061664953749</c:v>
                </c:pt>
                <c:pt idx="61">
                  <c:v>23.261390887290169</c:v>
                </c:pt>
                <c:pt idx="62">
                  <c:v>-7.8987730061349692</c:v>
                </c:pt>
                <c:pt idx="63">
                  <c:v>1.7807337481227203</c:v>
                </c:pt>
                <c:pt idx="64">
                  <c:v>-12.955053894651211</c:v>
                </c:pt>
                <c:pt idx="65">
                  <c:v>0.54529267749833066</c:v>
                </c:pt>
                <c:pt idx="66">
                  <c:v>4.0125391849529786</c:v>
                </c:pt>
                <c:pt idx="67">
                  <c:v>15.806223479490805</c:v>
                </c:pt>
                <c:pt idx="68">
                  <c:v>27.881871199900733</c:v>
                </c:pt>
                <c:pt idx="69">
                  <c:v>52.601297588444119</c:v>
                </c:pt>
                <c:pt idx="70">
                  <c:v>38.114052416699593</c:v>
                </c:pt>
                <c:pt idx="71">
                  <c:v>12.614878591467543</c:v>
                </c:pt>
                <c:pt idx="72">
                  <c:v>-5.0425182753990754</c:v>
                </c:pt>
                <c:pt idx="73">
                  <c:v>115.92898832684826</c:v>
                </c:pt>
                <c:pt idx="74">
                  <c:v>5.089508742714405</c:v>
                </c:pt>
                <c:pt idx="75">
                  <c:v>-6.9666947723440131</c:v>
                </c:pt>
                <c:pt idx="76">
                  <c:v>25.572429906542055</c:v>
                </c:pt>
                <c:pt idx="77">
                  <c:v>10.226895406751522</c:v>
                </c:pt>
                <c:pt idx="78">
                  <c:v>-1.9791038778380552</c:v>
                </c:pt>
                <c:pt idx="79">
                  <c:v>7.989821882951655</c:v>
                </c:pt>
                <c:pt idx="80">
                  <c:v>-2.5325053366970698</c:v>
                </c:pt>
                <c:pt idx="81">
                  <c:v>-29.183378790309643</c:v>
                </c:pt>
                <c:pt idx="82">
                  <c:v>-10.689425002383905</c:v>
                </c:pt>
                <c:pt idx="83">
                  <c:v>-2.3623400051541963</c:v>
                </c:pt>
                <c:pt idx="84">
                  <c:v>16.339355852317361</c:v>
                </c:pt>
                <c:pt idx="85">
                  <c:v>-45.861020385178513</c:v>
                </c:pt>
                <c:pt idx="86">
                  <c:v>10.993364365653164</c:v>
                </c:pt>
                <c:pt idx="87">
                  <c:v>20.233374872550129</c:v>
                </c:pt>
                <c:pt idx="88">
                  <c:v>11.294073867336497</c:v>
                </c:pt>
                <c:pt idx="89">
                  <c:v>21.347524851892761</c:v>
                </c:pt>
                <c:pt idx="90">
                  <c:v>32.54073998155171</c:v>
                </c:pt>
                <c:pt idx="91">
                  <c:v>40.216776625824693</c:v>
                </c:pt>
                <c:pt idx="92">
                  <c:v>-3.8427078148332501</c:v>
                </c:pt>
                <c:pt idx="93">
                  <c:v>4.2365201631173539</c:v>
                </c:pt>
                <c:pt idx="94">
                  <c:v>-12.98313047191971</c:v>
                </c:pt>
                <c:pt idx="95">
                  <c:v>-21.071617103642442</c:v>
                </c:pt>
                <c:pt idx="96">
                  <c:v>-15.948683322079676</c:v>
                </c:pt>
                <c:pt idx="97">
                  <c:v>-28.094445600166424</c:v>
                </c:pt>
                <c:pt idx="98">
                  <c:v>-20.638886410279291</c:v>
                </c:pt>
                <c:pt idx="99">
                  <c:v>-17.412607179873739</c:v>
                </c:pt>
                <c:pt idx="100">
                  <c:v>-15.95753573518348</c:v>
                </c:pt>
                <c:pt idx="101">
                  <c:v>-18.659495242035582</c:v>
                </c:pt>
                <c:pt idx="102">
                  <c:v>-15.457779152489948</c:v>
                </c:pt>
                <c:pt idx="103">
                  <c:v>-27.337500840223161</c:v>
                </c:pt>
                <c:pt idx="104">
                  <c:v>-18.997825861890465</c:v>
                </c:pt>
                <c:pt idx="105">
                  <c:v>-14.116496413823082</c:v>
                </c:pt>
                <c:pt idx="106">
                  <c:v>13.226993865030675</c:v>
                </c:pt>
                <c:pt idx="107">
                  <c:v>27.956749526251258</c:v>
                </c:pt>
                <c:pt idx="108">
                  <c:v>97.863110539845749</c:v>
                </c:pt>
                <c:pt idx="109">
                  <c:v>82.684796759728059</c:v>
                </c:pt>
                <c:pt idx="110">
                  <c:v>34.21407690577918</c:v>
                </c:pt>
                <c:pt idx="111">
                  <c:v>28.031945236737023</c:v>
                </c:pt>
                <c:pt idx="112">
                  <c:v>16.968370797692462</c:v>
                </c:pt>
                <c:pt idx="113">
                  <c:v>-7.4974567650050865</c:v>
                </c:pt>
                <c:pt idx="114">
                  <c:v>-12.338790816793194</c:v>
                </c:pt>
                <c:pt idx="115">
                  <c:v>-5.6244218316373731</c:v>
                </c:pt>
                <c:pt idx="116">
                  <c:v>30.853783231083842</c:v>
                </c:pt>
                <c:pt idx="117">
                  <c:v>63.393647981779068</c:v>
                </c:pt>
                <c:pt idx="118">
                  <c:v>18.931512787169485</c:v>
                </c:pt>
                <c:pt idx="119">
                  <c:v>16.24705984841885</c:v>
                </c:pt>
                <c:pt idx="120">
                  <c:v>-30.483150629313844</c:v>
                </c:pt>
                <c:pt idx="121">
                  <c:v>-24.206192097553249</c:v>
                </c:pt>
                <c:pt idx="122">
                  <c:v>-11.25911032922845</c:v>
                </c:pt>
                <c:pt idx="123">
                  <c:v>1.3188379967920156</c:v>
                </c:pt>
                <c:pt idx="124">
                  <c:v>-4.353741496598639</c:v>
                </c:pt>
                <c:pt idx="125">
                  <c:v>19.102606400527876</c:v>
                </c:pt>
                <c:pt idx="126">
                  <c:v>7.9924874791318867</c:v>
                </c:pt>
                <c:pt idx="127">
                  <c:v>-9.145265634189375</c:v>
                </c:pt>
                <c:pt idx="128">
                  <c:v>-10.080093768314125</c:v>
                </c:pt>
                <c:pt idx="129">
                  <c:v>-32.804150855726789</c:v>
                </c:pt>
                <c:pt idx="130">
                  <c:v>-17.776765375854215</c:v>
                </c:pt>
                <c:pt idx="131">
                  <c:v>-9.5323741007194247</c:v>
                </c:pt>
                <c:pt idx="132">
                  <c:v>-16.13129307323911</c:v>
                </c:pt>
                <c:pt idx="133">
                  <c:v>-15.38863351441705</c:v>
                </c:pt>
                <c:pt idx="134">
                  <c:v>-6.117247238742566</c:v>
                </c:pt>
                <c:pt idx="135">
                  <c:v>-14.283201407211962</c:v>
                </c:pt>
                <c:pt idx="136">
                  <c:v>-11.308677098150783</c:v>
                </c:pt>
                <c:pt idx="137">
                  <c:v>-13.12096029547553</c:v>
                </c:pt>
                <c:pt idx="138">
                  <c:v>-3.5265700483091784</c:v>
                </c:pt>
                <c:pt idx="139">
                  <c:v>3.225806451612903</c:v>
                </c:pt>
                <c:pt idx="140">
                  <c:v>11.829241798826851</c:v>
                </c:pt>
                <c:pt idx="141">
                  <c:v>18.531750605047829</c:v>
                </c:pt>
                <c:pt idx="142">
                  <c:v>57.236258865248224</c:v>
                </c:pt>
                <c:pt idx="143">
                  <c:v>54.092113982770051</c:v>
                </c:pt>
                <c:pt idx="144">
                  <c:v>61.824512534818943</c:v>
                </c:pt>
                <c:pt idx="145">
                  <c:v>48.857883689344362</c:v>
                </c:pt>
                <c:pt idx="146">
                  <c:v>42.362996480643538</c:v>
                </c:pt>
                <c:pt idx="147">
                  <c:v>22.009029345372461</c:v>
                </c:pt>
                <c:pt idx="148">
                  <c:v>36.056535685645549</c:v>
                </c:pt>
                <c:pt idx="149">
                  <c:v>35.848655542565631</c:v>
                </c:pt>
                <c:pt idx="150">
                  <c:v>30.455683525287931</c:v>
                </c:pt>
                <c:pt idx="151">
                  <c:v>60.242474916387955</c:v>
                </c:pt>
                <c:pt idx="152">
                  <c:v>50.208839242350656</c:v>
                </c:pt>
                <c:pt idx="153">
                  <c:v>31.054934370442393</c:v>
                </c:pt>
                <c:pt idx="154">
                  <c:v>-25.738247938543939</c:v>
                </c:pt>
                <c:pt idx="155">
                  <c:v>-15.61122459950543</c:v>
                </c:pt>
                <c:pt idx="156">
                  <c:v>-26.361993286857732</c:v>
                </c:pt>
                <c:pt idx="157">
                  <c:v>-8.8420703384207027</c:v>
                </c:pt>
                <c:pt idx="158">
                  <c:v>-5.276168950416726</c:v>
                </c:pt>
                <c:pt idx="159">
                  <c:v>-4.1375830460011773</c:v>
                </c:pt>
                <c:pt idx="160">
                  <c:v>-7.7801517719000959</c:v>
                </c:pt>
                <c:pt idx="161">
                  <c:v>-9.4116726646847138</c:v>
                </c:pt>
                <c:pt idx="162">
                  <c:v>-8.8438507600184249</c:v>
                </c:pt>
                <c:pt idx="163">
                  <c:v>-6.202713279415601</c:v>
                </c:pt>
                <c:pt idx="164">
                  <c:v>-40.106052767718566</c:v>
                </c:pt>
                <c:pt idx="165">
                  <c:v>-29.304844573039546</c:v>
                </c:pt>
                <c:pt idx="166">
                  <c:v>-2.6288317357881752</c:v>
                </c:pt>
                <c:pt idx="167">
                  <c:v>-28.334819722257613</c:v>
                </c:pt>
                <c:pt idx="168">
                  <c:v>-9.2449742870500238</c:v>
                </c:pt>
                <c:pt idx="169">
                  <c:v>-11.847133757961783</c:v>
                </c:pt>
                <c:pt idx="170">
                  <c:v>-51.942435314294229</c:v>
                </c:pt>
                <c:pt idx="171">
                  <c:v>-42.433546802351088</c:v>
                </c:pt>
                <c:pt idx="172">
                  <c:v>-2.3168490852440682</c:v>
                </c:pt>
                <c:pt idx="173">
                  <c:v>4.7413420848087053</c:v>
                </c:pt>
                <c:pt idx="174">
                  <c:v>1.3643254168772108</c:v>
                </c:pt>
                <c:pt idx="175">
                  <c:v>-13.024129059175301</c:v>
                </c:pt>
                <c:pt idx="176">
                  <c:v>14.910386525588425</c:v>
                </c:pt>
                <c:pt idx="177">
                  <c:v>22.058977857067898</c:v>
                </c:pt>
                <c:pt idx="178">
                  <c:v>-11.052631578947368</c:v>
                </c:pt>
                <c:pt idx="179">
                  <c:v>16.035555555555554</c:v>
                </c:pt>
                <c:pt idx="180">
                  <c:v>10.779137153895686</c:v>
                </c:pt>
                <c:pt idx="181">
                  <c:v>10.332369942196532</c:v>
                </c:pt>
                <c:pt idx="182">
                  <c:v>88.673390224980608</c:v>
                </c:pt>
                <c:pt idx="183">
                  <c:v>112.05425175251446</c:v>
                </c:pt>
                <c:pt idx="184">
                  <c:v>34.783675472315366</c:v>
                </c:pt>
                <c:pt idx="185">
                  <c:v>21.322559366754618</c:v>
                </c:pt>
                <c:pt idx="186">
                  <c:v>20.521768029245596</c:v>
                </c:pt>
                <c:pt idx="187">
                  <c:v>-9.0901822833386632</c:v>
                </c:pt>
                <c:pt idx="188">
                  <c:v>14.911209245513483</c:v>
                </c:pt>
                <c:pt idx="189">
                  <c:v>-18.493680680938869</c:v>
                </c:pt>
                <c:pt idx="190">
                  <c:v>-16.403681788297174</c:v>
                </c:pt>
                <c:pt idx="191">
                  <c:v>-13.543741381951893</c:v>
                </c:pt>
                <c:pt idx="192">
                  <c:v>-18.64682631946059</c:v>
                </c:pt>
                <c:pt idx="193">
                  <c:v>-23.63177097951165</c:v>
                </c:pt>
                <c:pt idx="194">
                  <c:v>-27.401315789473685</c:v>
                </c:pt>
                <c:pt idx="195">
                  <c:v>-42.551203736974486</c:v>
                </c:pt>
                <c:pt idx="196">
                  <c:v>-47.129854368932037</c:v>
                </c:pt>
                <c:pt idx="197">
                  <c:v>-60.996330025825742</c:v>
                </c:pt>
                <c:pt idx="198">
                  <c:v>-26.82338342754722</c:v>
                </c:pt>
                <c:pt idx="199">
                  <c:v>-23.5775217658957</c:v>
                </c:pt>
                <c:pt idx="200">
                  <c:v>-32.853638593622243</c:v>
                </c:pt>
                <c:pt idx="201">
                  <c:v>-6.7194092827004228</c:v>
                </c:pt>
                <c:pt idx="202">
                  <c:v>1.9923974308559447</c:v>
                </c:pt>
                <c:pt idx="203">
                  <c:v>-20.334928229665074</c:v>
                </c:pt>
                <c:pt idx="204">
                  <c:v>-0.685910260074307</c:v>
                </c:pt>
                <c:pt idx="205">
                  <c:v>-10.927355139042019</c:v>
                </c:pt>
                <c:pt idx="206">
                  <c:v>18.747168101495244</c:v>
                </c:pt>
                <c:pt idx="207">
                  <c:v>24.455841881411057</c:v>
                </c:pt>
                <c:pt idx="208">
                  <c:v>19.809480087225985</c:v>
                </c:pt>
                <c:pt idx="209">
                  <c:v>86.286809548701854</c:v>
                </c:pt>
                <c:pt idx="210">
                  <c:v>-6.1516721620348562</c:v>
                </c:pt>
                <c:pt idx="211">
                  <c:v>16.098964326812428</c:v>
                </c:pt>
                <c:pt idx="212">
                  <c:v>-20.080370189965905</c:v>
                </c:pt>
                <c:pt idx="213">
                  <c:v>-7.011195295714125</c:v>
                </c:pt>
                <c:pt idx="214">
                  <c:v>17.118622285053334</c:v>
                </c:pt>
                <c:pt idx="215">
                  <c:v>17.506395284173063</c:v>
                </c:pt>
                <c:pt idx="216">
                  <c:v>10.60431654676259</c:v>
                </c:pt>
                <c:pt idx="217">
                  <c:v>33.186631825058448</c:v>
                </c:pt>
                <c:pt idx="218">
                  <c:v>20.957741104645617</c:v>
                </c:pt>
                <c:pt idx="219">
                  <c:v>19.429088350587996</c:v>
                </c:pt>
                <c:pt idx="220">
                  <c:v>20.327617587891559</c:v>
                </c:pt>
                <c:pt idx="221">
                  <c:v>10.270320830605181</c:v>
                </c:pt>
                <c:pt idx="222">
                  <c:v>21.551897209395705</c:v>
                </c:pt>
                <c:pt idx="223">
                  <c:v>39.686787590445036</c:v>
                </c:pt>
                <c:pt idx="224">
                  <c:v>61.968611915282644</c:v>
                </c:pt>
                <c:pt idx="225">
                  <c:v>45.044387693056066</c:v>
                </c:pt>
                <c:pt idx="226">
                  <c:v>38.834631844617576</c:v>
                </c:pt>
                <c:pt idx="227">
                  <c:v>28.263132986275437</c:v>
                </c:pt>
                <c:pt idx="228">
                  <c:v>15.116430336932481</c:v>
                </c:pt>
                <c:pt idx="229">
                  <c:v>5.3696819496075996</c:v>
                </c:pt>
                <c:pt idx="230">
                  <c:v>7.1687697160883284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BA-8848-952B-1FECA61881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2436671"/>
        <c:axId val="482438383"/>
      </c:lineChart>
      <c:dateAx>
        <c:axId val="4824366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500" b="1">
                    <a:solidFill>
                      <a:schemeClr val="tx1"/>
                    </a:solidFill>
                  </a:rPr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438383"/>
        <c:crosses val="autoZero"/>
        <c:auto val="1"/>
        <c:lblOffset val="100"/>
        <c:baseTimeUnit val="months"/>
      </c:dateAx>
      <c:valAx>
        <c:axId val="48243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500" b="1">
                    <a:solidFill>
                      <a:schemeClr val="tx1"/>
                    </a:solidFill>
                  </a:rPr>
                  <a:t>% cahnge</a:t>
                </a:r>
                <a:r>
                  <a:rPr lang="en-US" sz="1500" b="1" baseline="0">
                    <a:solidFill>
                      <a:schemeClr val="tx1"/>
                    </a:solidFill>
                  </a:rPr>
                  <a:t> per month</a:t>
                </a:r>
                <a:endParaRPr lang="en-US" sz="15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5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436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/>
                </a:solidFill>
              </a:rPr>
              <a:t>Annual % change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'Annual Descriptive Analysis'!$F$2</c:f>
              <c:strCache>
                <c:ptCount val="1"/>
                <c:pt idx="0">
                  <c:v>% change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'Annual Descriptive Analysis'!$D$3:$D$22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'Annual Descriptive Analysis'!$F$3:$F$22</c:f>
              <c:numCache>
                <c:formatCode>#,##0.00</c:formatCode>
                <c:ptCount val="20"/>
                <c:pt idx="0">
                  <c:v>0</c:v>
                </c:pt>
                <c:pt idx="1">
                  <c:v>6.13790938579052</c:v>
                </c:pt>
                <c:pt idx="2">
                  <c:v>-23.008267939061742</c:v>
                </c:pt>
                <c:pt idx="3">
                  <c:v>-19.852150308162464</c:v>
                </c:pt>
                <c:pt idx="4">
                  <c:v>-10.639045691766961</c:v>
                </c:pt>
                <c:pt idx="5">
                  <c:v>21.956830073539052</c:v>
                </c:pt>
                <c:pt idx="6">
                  <c:v>13.656753613557068</c:v>
                </c:pt>
                <c:pt idx="7">
                  <c:v>6.3888148447509394</c:v>
                </c:pt>
                <c:pt idx="8">
                  <c:v>2.3850897540552989</c:v>
                </c:pt>
                <c:pt idx="9">
                  <c:v>-14.06795181483762</c:v>
                </c:pt>
                <c:pt idx="10">
                  <c:v>25.129298069944973</c:v>
                </c:pt>
                <c:pt idx="11">
                  <c:v>-11.335271488561947</c:v>
                </c:pt>
                <c:pt idx="12">
                  <c:v>5.3878382406518064</c:v>
                </c:pt>
                <c:pt idx="13">
                  <c:v>25.40560500946739</c:v>
                </c:pt>
                <c:pt idx="14">
                  <c:v>-15.416470883062368</c:v>
                </c:pt>
                <c:pt idx="15">
                  <c:v>-8.2921012088172557</c:v>
                </c:pt>
                <c:pt idx="16">
                  <c:v>15.546832723542762</c:v>
                </c:pt>
                <c:pt idx="17">
                  <c:v>-30.402902238190432</c:v>
                </c:pt>
                <c:pt idx="18">
                  <c:v>10.77766729940643</c:v>
                </c:pt>
                <c:pt idx="19">
                  <c:v>28.057625704908524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AB-1942-86E2-64578FBD3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3815647"/>
        <c:axId val="533817359"/>
      </c:lineChart>
      <c:catAx>
        <c:axId val="5338156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500" b="1">
                    <a:solidFill>
                      <a:schemeClr val="tx1"/>
                    </a:solidFill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817359"/>
        <c:crosses val="autoZero"/>
        <c:auto val="1"/>
        <c:lblAlgn val="ctr"/>
        <c:lblOffset val="100"/>
        <c:noMultiLvlLbl val="0"/>
      </c:catAx>
      <c:valAx>
        <c:axId val="533817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500" b="1">
                    <a:solidFill>
                      <a:schemeClr val="tx1"/>
                    </a:solidFill>
                  </a:rPr>
                  <a:t>% </a:t>
                </a:r>
                <a:r>
                  <a:rPr lang="en-US" sz="1500" b="1" baseline="0">
                    <a:solidFill>
                      <a:schemeClr val="tx1"/>
                    </a:solidFill>
                  </a:rPr>
                  <a:t>change</a:t>
                </a:r>
                <a:endParaRPr lang="en-US" sz="15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5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815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/>
                </a:solidFill>
              </a:rPr>
              <a:t>Total Units Sold Annually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'Annual Descriptive Analysis'!$E$2</c:f>
              <c:strCache>
                <c:ptCount val="1"/>
                <c:pt idx="0">
                  <c:v>Units Sold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'Annual Descriptive Analysis'!$D$3:$D$22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'Annual Descriptive Analysis'!$E$3:$E$22</c:f>
              <c:numCache>
                <c:formatCode>#,##0</c:formatCode>
                <c:ptCount val="20"/>
                <c:pt idx="0">
                  <c:v>143355</c:v>
                </c:pt>
                <c:pt idx="1">
                  <c:v>152154</c:v>
                </c:pt>
                <c:pt idx="2">
                  <c:v>117146</c:v>
                </c:pt>
                <c:pt idx="3">
                  <c:v>93890</c:v>
                </c:pt>
                <c:pt idx="4">
                  <c:v>83901</c:v>
                </c:pt>
                <c:pt idx="5">
                  <c:v>102323</c:v>
                </c:pt>
                <c:pt idx="6">
                  <c:v>116297</c:v>
                </c:pt>
                <c:pt idx="7">
                  <c:v>123727</c:v>
                </c:pt>
                <c:pt idx="8">
                  <c:v>126678</c:v>
                </c:pt>
                <c:pt idx="9">
                  <c:v>108857</c:v>
                </c:pt>
                <c:pt idx="10">
                  <c:v>136212</c:v>
                </c:pt>
                <c:pt idx="11">
                  <c:v>120772</c:v>
                </c:pt>
                <c:pt idx="12">
                  <c:v>127279</c:v>
                </c:pt>
                <c:pt idx="13">
                  <c:v>159615</c:v>
                </c:pt>
                <c:pt idx="14">
                  <c:v>135008</c:v>
                </c:pt>
                <c:pt idx="15">
                  <c:v>123813</c:v>
                </c:pt>
                <c:pt idx="16">
                  <c:v>143062</c:v>
                </c:pt>
                <c:pt idx="17">
                  <c:v>99567</c:v>
                </c:pt>
                <c:pt idx="18">
                  <c:v>110298</c:v>
                </c:pt>
                <c:pt idx="19">
                  <c:v>141245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5C-3D40-9266-B528385B7B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6630992"/>
        <c:axId val="306632704"/>
      </c:lineChart>
      <c:catAx>
        <c:axId val="3066309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500" b="1">
                    <a:solidFill>
                      <a:schemeClr val="tx1"/>
                    </a:solidFill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632704"/>
        <c:crosses val="autoZero"/>
        <c:auto val="1"/>
        <c:lblAlgn val="ctr"/>
        <c:lblOffset val="100"/>
        <c:noMultiLvlLbl val="0"/>
      </c:catAx>
      <c:valAx>
        <c:axId val="30663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500" b="1">
                    <a:solidFill>
                      <a:schemeClr val="tx1"/>
                    </a:solidFill>
                  </a:rPr>
                  <a:t>Units sold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5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630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798983</xdr:colOff>
      <xdr:row>4</xdr:row>
      <xdr:rowOff>632</xdr:rowOff>
    </xdr:from>
    <xdr:to>
      <xdr:col>12</xdr:col>
      <xdr:colOff>361192</xdr:colOff>
      <xdr:row>22</xdr:row>
      <xdr:rowOff>111448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32A54C-6715-A549-96B0-4FA53A6D98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361950</xdr:colOff>
      <xdr:row>4</xdr:row>
      <xdr:rowOff>6350</xdr:rowOff>
    </xdr:from>
    <xdr:to>
      <xdr:col>16</xdr:col>
      <xdr:colOff>266700</xdr:colOff>
      <xdr:row>24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9007AD-F958-DC05-C02B-10A11B64F8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818443</xdr:colOff>
      <xdr:row>1</xdr:row>
      <xdr:rowOff>115944</xdr:rowOff>
    </xdr:from>
    <xdr:to>
      <xdr:col>15</xdr:col>
      <xdr:colOff>328705</xdr:colOff>
      <xdr:row>20</xdr:row>
      <xdr:rowOff>14940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976398-2513-ABCB-38C1-7C1EEA6B88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631402</xdr:colOff>
      <xdr:row>24</xdr:row>
      <xdr:rowOff>54728</xdr:rowOff>
    </xdr:from>
    <xdr:to>
      <xdr:col>15</xdr:col>
      <xdr:colOff>224118</xdr:colOff>
      <xdr:row>42</xdr:row>
      <xdr:rowOff>164353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25F86B-5260-26EA-DD27-0B94C75FB2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B45B4-A8EA-5743-9C8C-D424FD7D1ADD}">
  <dimension ref="A1:P246"/>
  <sheetViews>
    <sheetView topLeftCell="A2" workbookViewId="0">
      <selection activeCell="I27" sqref="I27:I28"/>
    </sheetView>
  </sheetViews>
  <sheetFormatPr baseColWidth="10" defaultRowHeight="16" x14ac:dyDescent="0.2"/>
  <cols>
    <col min="3" max="3" width="10.5" customWidth="1"/>
  </cols>
  <sheetData>
    <row r="1" spans="1:7" ht="29" thickBot="1" x14ac:dyDescent="0.35">
      <c r="A1" s="73" t="s">
        <v>8</v>
      </c>
      <c r="B1" s="74"/>
      <c r="C1" s="74"/>
      <c r="D1" s="74"/>
      <c r="E1" s="74"/>
      <c r="F1" s="74"/>
      <c r="G1" s="75"/>
    </row>
    <row r="2" spans="1:7" ht="17" thickBot="1" x14ac:dyDescent="0.25">
      <c r="A2" s="2" t="s">
        <v>0</v>
      </c>
      <c r="B2" s="1"/>
    </row>
    <row r="3" spans="1:7" ht="18" x14ac:dyDescent="0.2">
      <c r="A3" s="5" t="s">
        <v>1</v>
      </c>
      <c r="B3" s="5" t="s">
        <v>2</v>
      </c>
      <c r="C3" s="12"/>
    </row>
    <row r="4" spans="1:7" ht="18" x14ac:dyDescent="0.2">
      <c r="A4" s="7">
        <v>38353</v>
      </c>
      <c r="B4" s="17">
        <v>8837</v>
      </c>
      <c r="C4" s="13"/>
    </row>
    <row r="5" spans="1:7" ht="18" x14ac:dyDescent="0.2">
      <c r="A5" s="7">
        <v>38384</v>
      </c>
      <c r="B5" s="17">
        <v>10625</v>
      </c>
      <c r="C5" s="14"/>
    </row>
    <row r="6" spans="1:7" ht="18" x14ac:dyDescent="0.2">
      <c r="A6" s="7">
        <v>38412</v>
      </c>
      <c r="B6" s="17">
        <v>12071</v>
      </c>
      <c r="C6" s="14"/>
    </row>
    <row r="7" spans="1:7" ht="18" x14ac:dyDescent="0.2">
      <c r="A7" s="7">
        <v>38443</v>
      </c>
      <c r="B7" s="17">
        <v>10587</v>
      </c>
      <c r="C7" s="14"/>
    </row>
    <row r="8" spans="1:7" ht="18" x14ac:dyDescent="0.2">
      <c r="A8" s="7">
        <v>38473</v>
      </c>
      <c r="B8" s="17">
        <v>10109</v>
      </c>
      <c r="C8" s="14"/>
    </row>
    <row r="9" spans="1:7" ht="18" x14ac:dyDescent="0.2">
      <c r="A9" s="7">
        <v>38504</v>
      </c>
      <c r="B9" s="17">
        <v>11531</v>
      </c>
      <c r="C9" s="14"/>
    </row>
    <row r="10" spans="1:7" ht="18" x14ac:dyDescent="0.2">
      <c r="A10" s="7">
        <v>38534</v>
      </c>
      <c r="B10" s="17">
        <v>14726</v>
      </c>
      <c r="C10" s="14"/>
    </row>
    <row r="11" spans="1:7" ht="18" x14ac:dyDescent="0.2">
      <c r="A11" s="7">
        <v>38565</v>
      </c>
      <c r="B11" s="17">
        <v>13971</v>
      </c>
      <c r="C11" s="14"/>
    </row>
    <row r="12" spans="1:7" ht="18" x14ac:dyDescent="0.2">
      <c r="A12" s="7">
        <v>38596</v>
      </c>
      <c r="B12" s="17">
        <v>9198</v>
      </c>
      <c r="C12" s="14"/>
    </row>
    <row r="13" spans="1:7" ht="18" x14ac:dyDescent="0.2">
      <c r="A13" s="7">
        <v>38626</v>
      </c>
      <c r="B13" s="17">
        <v>10872</v>
      </c>
      <c r="C13" s="14"/>
    </row>
    <row r="14" spans="1:7" ht="18" x14ac:dyDescent="0.2">
      <c r="A14" s="7">
        <v>38657</v>
      </c>
      <c r="B14" s="17">
        <v>12040</v>
      </c>
      <c r="C14" s="14"/>
    </row>
    <row r="15" spans="1:7" ht="18" x14ac:dyDescent="0.2">
      <c r="A15" s="7">
        <v>38687</v>
      </c>
      <c r="B15" s="17">
        <v>18788</v>
      </c>
      <c r="C15" s="14"/>
    </row>
    <row r="16" spans="1:7" ht="18" x14ac:dyDescent="0.2">
      <c r="A16" s="7">
        <v>38718</v>
      </c>
      <c r="B16" s="17">
        <v>9999</v>
      </c>
      <c r="C16" s="14"/>
    </row>
    <row r="17" spans="1:16" ht="18" x14ac:dyDescent="0.2">
      <c r="A17" s="7">
        <v>38749</v>
      </c>
      <c r="B17" s="17">
        <v>10901</v>
      </c>
      <c r="C17" s="14"/>
    </row>
    <row r="18" spans="1:16" ht="18" x14ac:dyDescent="0.2">
      <c r="A18" s="7">
        <v>38777</v>
      </c>
      <c r="B18" s="17">
        <v>12966</v>
      </c>
      <c r="C18" s="14"/>
    </row>
    <row r="19" spans="1:16" ht="18" x14ac:dyDescent="0.2">
      <c r="A19" s="7">
        <v>38808</v>
      </c>
      <c r="B19" s="17">
        <v>12566</v>
      </c>
      <c r="C19" s="14"/>
    </row>
    <row r="20" spans="1:16" ht="18" x14ac:dyDescent="0.2">
      <c r="A20" s="7">
        <v>38838</v>
      </c>
      <c r="B20" s="17">
        <v>12856</v>
      </c>
      <c r="C20" s="14"/>
    </row>
    <row r="21" spans="1:16" ht="18" x14ac:dyDescent="0.2">
      <c r="A21" s="7">
        <v>38869</v>
      </c>
      <c r="B21" s="17">
        <v>11458</v>
      </c>
      <c r="C21" s="14"/>
    </row>
    <row r="22" spans="1:16" ht="18" x14ac:dyDescent="0.2">
      <c r="A22" s="7">
        <v>38899</v>
      </c>
      <c r="B22" s="17">
        <v>19490</v>
      </c>
      <c r="C22" s="14"/>
    </row>
    <row r="23" spans="1:16" ht="18" x14ac:dyDescent="0.2">
      <c r="A23" s="7">
        <v>38930</v>
      </c>
      <c r="B23" s="17">
        <v>19100</v>
      </c>
      <c r="C23" s="14"/>
    </row>
    <row r="24" spans="1:16" ht="18" x14ac:dyDescent="0.2">
      <c r="A24" s="7">
        <v>38961</v>
      </c>
      <c r="B24" s="17">
        <v>10001</v>
      </c>
      <c r="C24" s="14"/>
      <c r="D24" s="76" t="s">
        <v>33</v>
      </c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8"/>
    </row>
    <row r="25" spans="1:16" ht="18" x14ac:dyDescent="0.2">
      <c r="A25" s="7">
        <v>38991</v>
      </c>
      <c r="B25" s="17">
        <v>8335</v>
      </c>
      <c r="C25" s="14"/>
    </row>
    <row r="26" spans="1:16" ht="18" x14ac:dyDescent="0.2">
      <c r="A26" s="7">
        <v>39022</v>
      </c>
      <c r="B26" s="17">
        <v>9520</v>
      </c>
      <c r="C26" s="14"/>
    </row>
    <row r="27" spans="1:16" ht="18" x14ac:dyDescent="0.2">
      <c r="A27" s="7">
        <v>39052</v>
      </c>
      <c r="B27" s="17">
        <v>14962</v>
      </c>
      <c r="C27" s="14"/>
      <c r="D27" s="79"/>
      <c r="E27" s="80"/>
      <c r="F27" s="81"/>
      <c r="G27" s="21" t="s">
        <v>25</v>
      </c>
    </row>
    <row r="28" spans="1:16" ht="18" x14ac:dyDescent="0.2">
      <c r="A28" s="7">
        <v>39083</v>
      </c>
      <c r="B28" s="17">
        <v>9375</v>
      </c>
      <c r="C28" s="14"/>
      <c r="D28" s="21" t="s">
        <v>26</v>
      </c>
      <c r="E28" s="21"/>
      <c r="F28" s="21" t="s">
        <v>21</v>
      </c>
      <c r="G28" s="22">
        <f>'Moving Average Forecasting'!G52</f>
        <v>511</v>
      </c>
    </row>
    <row r="29" spans="1:16" ht="18" x14ac:dyDescent="0.2">
      <c r="A29" s="7">
        <v>39114</v>
      </c>
      <c r="B29" s="17">
        <v>10367</v>
      </c>
      <c r="C29" s="14"/>
      <c r="D29" s="21" t="s">
        <v>27</v>
      </c>
      <c r="E29" s="21"/>
      <c r="F29" s="21" t="s">
        <v>21</v>
      </c>
      <c r="G29" s="22">
        <f>'Moving Average Forecasting'!G53</f>
        <v>29</v>
      </c>
    </row>
    <row r="30" spans="1:16" ht="18" x14ac:dyDescent="0.2">
      <c r="A30" s="7">
        <v>39142</v>
      </c>
      <c r="B30" s="17">
        <v>14339</v>
      </c>
      <c r="C30" s="14"/>
      <c r="D30" s="85"/>
      <c r="E30" s="86"/>
      <c r="F30" s="86"/>
      <c r="G30" s="87"/>
    </row>
    <row r="31" spans="1:16" ht="18" x14ac:dyDescent="0.2">
      <c r="A31" s="7">
        <v>39173</v>
      </c>
      <c r="B31" s="17">
        <v>12047</v>
      </c>
      <c r="C31" s="14"/>
      <c r="D31" s="82"/>
      <c r="E31" s="83"/>
      <c r="F31" s="84"/>
      <c r="G31" s="31" t="s">
        <v>25</v>
      </c>
    </row>
    <row r="32" spans="1:16" ht="18" x14ac:dyDescent="0.2">
      <c r="A32" s="7">
        <v>39203</v>
      </c>
      <c r="B32" s="17">
        <v>10133</v>
      </c>
      <c r="C32" s="14"/>
      <c r="D32" s="31" t="s">
        <v>26</v>
      </c>
      <c r="E32" s="31"/>
      <c r="F32" s="31" t="s">
        <v>35</v>
      </c>
      <c r="G32" s="32">
        <v>3160.75</v>
      </c>
    </row>
    <row r="33" spans="1:7" ht="18" x14ac:dyDescent="0.2">
      <c r="A33" s="7">
        <v>39234</v>
      </c>
      <c r="B33" s="17">
        <v>10371</v>
      </c>
      <c r="C33" s="14"/>
      <c r="D33" s="31" t="s">
        <v>27</v>
      </c>
      <c r="E33" s="31"/>
      <c r="F33" s="31" t="s">
        <v>30</v>
      </c>
      <c r="G33" s="32">
        <v>2462.0700000000002</v>
      </c>
    </row>
    <row r="34" spans="1:7" ht="18" x14ac:dyDescent="0.2">
      <c r="A34" s="7">
        <v>39264</v>
      </c>
      <c r="B34" s="17">
        <v>13136</v>
      </c>
      <c r="C34" s="14"/>
    </row>
    <row r="35" spans="1:7" ht="18" x14ac:dyDescent="0.2">
      <c r="A35" s="7">
        <v>39295</v>
      </c>
      <c r="B35" s="17">
        <v>9504</v>
      </c>
      <c r="C35" s="14"/>
    </row>
    <row r="36" spans="1:7" ht="18" x14ac:dyDescent="0.2">
      <c r="A36" s="7">
        <v>39326</v>
      </c>
      <c r="B36" s="17">
        <v>6191</v>
      </c>
      <c r="C36" s="14"/>
    </row>
    <row r="37" spans="1:7" ht="18" x14ac:dyDescent="0.2">
      <c r="A37" s="7">
        <v>39356</v>
      </c>
      <c r="B37" s="17">
        <v>5920</v>
      </c>
      <c r="C37" s="14"/>
    </row>
    <row r="38" spans="1:7" ht="18" x14ac:dyDescent="0.2">
      <c r="A38" s="7">
        <v>39387</v>
      </c>
      <c r="B38" s="17">
        <v>5360</v>
      </c>
      <c r="C38" s="14"/>
    </row>
    <row r="39" spans="1:7" ht="18" x14ac:dyDescent="0.2">
      <c r="A39" s="7">
        <v>39417</v>
      </c>
      <c r="B39" s="17">
        <v>10403</v>
      </c>
      <c r="C39" s="14"/>
    </row>
    <row r="40" spans="1:7" ht="18" x14ac:dyDescent="0.2">
      <c r="A40" s="7">
        <v>39448</v>
      </c>
      <c r="B40" s="17">
        <v>8375</v>
      </c>
      <c r="C40" s="14"/>
    </row>
    <row r="41" spans="1:7" ht="18" x14ac:dyDescent="0.2">
      <c r="A41" s="7">
        <v>39479</v>
      </c>
      <c r="B41" s="17">
        <v>12881</v>
      </c>
      <c r="C41" s="14"/>
    </row>
    <row r="42" spans="1:7" ht="18" x14ac:dyDescent="0.2">
      <c r="A42" s="7">
        <v>39508</v>
      </c>
      <c r="B42" s="17">
        <v>10168</v>
      </c>
      <c r="C42" s="14"/>
    </row>
    <row r="43" spans="1:7" ht="18" x14ac:dyDescent="0.2">
      <c r="A43" s="7">
        <v>39539</v>
      </c>
      <c r="B43" s="17">
        <v>12200</v>
      </c>
      <c r="C43" s="14"/>
    </row>
    <row r="44" spans="1:7" ht="18" x14ac:dyDescent="0.2">
      <c r="A44" s="7">
        <v>39569</v>
      </c>
      <c r="B44" s="17">
        <v>8449</v>
      </c>
      <c r="C44" s="14"/>
    </row>
    <row r="45" spans="1:7" ht="18" x14ac:dyDescent="0.2">
      <c r="A45" s="7">
        <v>39600</v>
      </c>
      <c r="B45" s="17">
        <v>7282</v>
      </c>
      <c r="C45" s="14"/>
    </row>
    <row r="46" spans="1:7" ht="18" x14ac:dyDescent="0.2">
      <c r="A46" s="7">
        <v>39630</v>
      </c>
      <c r="B46" s="17">
        <v>7486</v>
      </c>
      <c r="C46" s="14"/>
    </row>
    <row r="47" spans="1:7" ht="18" x14ac:dyDescent="0.2">
      <c r="A47" s="7">
        <v>39661</v>
      </c>
      <c r="B47" s="17">
        <v>11276</v>
      </c>
      <c r="C47" s="14"/>
    </row>
    <row r="48" spans="1:7" ht="18" x14ac:dyDescent="0.2">
      <c r="A48" s="7">
        <v>39692</v>
      </c>
      <c r="B48" s="17">
        <v>5192</v>
      </c>
      <c r="C48" s="14"/>
    </row>
    <row r="49" spans="1:3" ht="18" x14ac:dyDescent="0.2">
      <c r="A49" s="7">
        <v>39722</v>
      </c>
      <c r="B49" s="17">
        <v>4980</v>
      </c>
      <c r="C49" s="14"/>
    </row>
    <row r="50" spans="1:3" ht="18" x14ac:dyDescent="0.2">
      <c r="A50" s="7">
        <v>39753</v>
      </c>
      <c r="B50" s="17">
        <v>5601</v>
      </c>
      <c r="C50" s="14"/>
    </row>
    <row r="51" spans="1:3" ht="18" x14ac:dyDescent="0.2">
      <c r="A51" s="7">
        <v>39783</v>
      </c>
      <c r="B51" s="17">
        <v>6735</v>
      </c>
      <c r="C51" s="14"/>
    </row>
    <row r="52" spans="1:3" ht="18" x14ac:dyDescent="0.2">
      <c r="A52" s="7">
        <v>39814</v>
      </c>
      <c r="B52" s="17">
        <v>6679</v>
      </c>
      <c r="C52" s="14"/>
    </row>
    <row r="53" spans="1:3" ht="18" x14ac:dyDescent="0.2">
      <c r="A53" s="7">
        <v>39845</v>
      </c>
      <c r="B53" s="17">
        <v>6678</v>
      </c>
      <c r="C53" s="14"/>
    </row>
    <row r="54" spans="1:3" ht="18" x14ac:dyDescent="0.2">
      <c r="A54" s="7">
        <v>39873</v>
      </c>
      <c r="B54" s="17">
        <v>6789</v>
      </c>
      <c r="C54" s="14"/>
    </row>
    <row r="55" spans="1:3" ht="18" x14ac:dyDescent="0.2">
      <c r="A55" s="7">
        <v>39904</v>
      </c>
      <c r="B55" s="17">
        <v>6569</v>
      </c>
      <c r="C55" s="14"/>
    </row>
    <row r="56" spans="1:3" ht="18" x14ac:dyDescent="0.2">
      <c r="A56" s="7">
        <v>39934</v>
      </c>
      <c r="B56" s="17">
        <v>7412</v>
      </c>
      <c r="C56" s="14"/>
    </row>
    <row r="57" spans="1:3" ht="18" x14ac:dyDescent="0.2">
      <c r="A57" s="7">
        <v>39965</v>
      </c>
      <c r="B57" s="17">
        <v>8171</v>
      </c>
      <c r="C57" s="14"/>
    </row>
    <row r="58" spans="1:3" ht="18" x14ac:dyDescent="0.2">
      <c r="A58" s="7">
        <v>39995</v>
      </c>
      <c r="B58" s="17">
        <v>6340</v>
      </c>
      <c r="C58" s="14"/>
    </row>
    <row r="59" spans="1:3" ht="18" x14ac:dyDescent="0.2">
      <c r="A59" s="7">
        <v>40026</v>
      </c>
      <c r="B59" s="17">
        <v>7800</v>
      </c>
      <c r="C59" s="14"/>
    </row>
    <row r="60" spans="1:3" ht="18" x14ac:dyDescent="0.2">
      <c r="A60" s="7">
        <v>40057</v>
      </c>
      <c r="B60" s="17">
        <v>5438</v>
      </c>
      <c r="C60" s="14"/>
    </row>
    <row r="61" spans="1:3" ht="18" x14ac:dyDescent="0.2">
      <c r="A61" s="7">
        <v>40087</v>
      </c>
      <c r="B61" s="17">
        <v>6339</v>
      </c>
      <c r="C61" s="14"/>
    </row>
    <row r="62" spans="1:3" ht="18" x14ac:dyDescent="0.2">
      <c r="A62" s="7">
        <v>40118</v>
      </c>
      <c r="B62" s="17">
        <v>6502</v>
      </c>
      <c r="C62" s="14"/>
    </row>
    <row r="63" spans="1:3" ht="18" x14ac:dyDescent="0.2">
      <c r="A63" s="7">
        <v>40148</v>
      </c>
      <c r="B63" s="17">
        <v>9184</v>
      </c>
      <c r="C63" s="14"/>
    </row>
    <row r="64" spans="1:3" ht="18" x14ac:dyDescent="0.2">
      <c r="A64" s="7">
        <v>40179</v>
      </c>
      <c r="B64" s="17">
        <v>4865</v>
      </c>
      <c r="C64" s="14"/>
    </row>
    <row r="65" spans="1:3" ht="18" x14ac:dyDescent="0.2">
      <c r="A65" s="7">
        <v>40210</v>
      </c>
      <c r="B65" s="17">
        <v>6672</v>
      </c>
      <c r="C65" s="14"/>
    </row>
    <row r="66" spans="1:3" ht="18" x14ac:dyDescent="0.2">
      <c r="A66" s="7">
        <v>40238</v>
      </c>
      <c r="B66" s="17">
        <v>10432</v>
      </c>
      <c r="C66" s="14"/>
    </row>
    <row r="67" spans="1:3" ht="18" x14ac:dyDescent="0.2">
      <c r="A67" s="7">
        <v>40269</v>
      </c>
      <c r="B67" s="17">
        <v>9322</v>
      </c>
      <c r="C67" s="14"/>
    </row>
    <row r="68" spans="1:3" ht="18" x14ac:dyDescent="0.2">
      <c r="A68" s="7">
        <v>40299</v>
      </c>
      <c r="B68" s="17">
        <v>9834</v>
      </c>
      <c r="C68" s="14"/>
    </row>
    <row r="69" spans="1:3" ht="18" x14ac:dyDescent="0.2">
      <c r="A69" s="7">
        <v>40330</v>
      </c>
      <c r="B69" s="17">
        <v>8986</v>
      </c>
      <c r="C69" s="14"/>
    </row>
    <row r="70" spans="1:3" ht="18" x14ac:dyDescent="0.2">
      <c r="A70" s="7">
        <v>40360</v>
      </c>
      <c r="B70" s="17">
        <v>9570</v>
      </c>
      <c r="C70" s="14"/>
    </row>
    <row r="71" spans="1:3" ht="18" x14ac:dyDescent="0.2">
      <c r="A71" s="7">
        <v>40391</v>
      </c>
      <c r="B71" s="17">
        <v>8484</v>
      </c>
      <c r="C71" s="14"/>
    </row>
    <row r="72" spans="1:3" ht="18" x14ac:dyDescent="0.2">
      <c r="A72" s="7">
        <v>40422</v>
      </c>
      <c r="B72" s="17">
        <v>8059</v>
      </c>
      <c r="C72" s="14"/>
    </row>
    <row r="73" spans="1:3" ht="18" x14ac:dyDescent="0.2">
      <c r="A73" s="7">
        <v>40452</v>
      </c>
      <c r="B73" s="17">
        <v>8169</v>
      </c>
      <c r="C73" s="14"/>
    </row>
    <row r="74" spans="1:3" ht="18" x14ac:dyDescent="0.2">
      <c r="A74" s="7">
        <v>40483</v>
      </c>
      <c r="B74" s="17">
        <v>7593</v>
      </c>
      <c r="C74" s="14"/>
    </row>
    <row r="75" spans="1:3" ht="18" x14ac:dyDescent="0.2">
      <c r="A75" s="7">
        <v>40513</v>
      </c>
      <c r="B75" s="17">
        <v>10337</v>
      </c>
      <c r="C75" s="14"/>
    </row>
    <row r="76" spans="1:3" ht="18" x14ac:dyDescent="0.2">
      <c r="A76" s="7">
        <v>40544</v>
      </c>
      <c r="B76" s="17">
        <v>6703</v>
      </c>
      <c r="C76" s="14"/>
    </row>
    <row r="77" spans="1:3" ht="18" x14ac:dyDescent="0.2">
      <c r="A77" s="7">
        <v>40575</v>
      </c>
      <c r="B77" s="17">
        <v>8224</v>
      </c>
      <c r="C77" s="14"/>
    </row>
    <row r="78" spans="1:3" ht="18" x14ac:dyDescent="0.2">
      <c r="A78" s="7">
        <v>40603</v>
      </c>
      <c r="B78" s="17">
        <v>9608</v>
      </c>
      <c r="C78" s="14"/>
    </row>
    <row r="79" spans="1:3" ht="18" x14ac:dyDescent="0.2">
      <c r="A79" s="7">
        <v>40634</v>
      </c>
      <c r="B79" s="17">
        <v>9488</v>
      </c>
      <c r="C79" s="14"/>
    </row>
    <row r="80" spans="1:3" ht="18" x14ac:dyDescent="0.2">
      <c r="A80" s="7">
        <v>40664</v>
      </c>
      <c r="B80" s="17">
        <v>8560</v>
      </c>
      <c r="C80" s="14"/>
    </row>
    <row r="81" spans="1:3" ht="18" x14ac:dyDescent="0.2">
      <c r="A81" s="7">
        <v>40695</v>
      </c>
      <c r="B81" s="17">
        <v>9035</v>
      </c>
      <c r="C81" s="14"/>
    </row>
    <row r="82" spans="1:3" ht="18" x14ac:dyDescent="0.2">
      <c r="A82" s="7">
        <v>40725</v>
      </c>
      <c r="B82" s="17">
        <v>9954</v>
      </c>
      <c r="C82" s="14"/>
    </row>
    <row r="83" spans="1:3" ht="18" x14ac:dyDescent="0.2">
      <c r="A83" s="7">
        <v>40756</v>
      </c>
      <c r="B83" s="17">
        <v>9825</v>
      </c>
      <c r="C83" s="14"/>
    </row>
    <row r="84" spans="1:3" ht="18" x14ac:dyDescent="0.2">
      <c r="A84" s="7">
        <v>40787</v>
      </c>
      <c r="B84" s="17">
        <v>10306</v>
      </c>
      <c r="C84" s="14"/>
    </row>
    <row r="85" spans="1:3" ht="18" x14ac:dyDescent="0.2">
      <c r="A85" s="7">
        <v>40817</v>
      </c>
      <c r="B85" s="17">
        <v>12466</v>
      </c>
      <c r="C85" s="14"/>
    </row>
    <row r="86" spans="1:3" ht="18" x14ac:dyDescent="0.2">
      <c r="A86" s="7">
        <v>40848</v>
      </c>
      <c r="B86" s="17">
        <v>10487</v>
      </c>
      <c r="C86" s="14"/>
    </row>
    <row r="87" spans="1:3" ht="18" x14ac:dyDescent="0.2">
      <c r="A87" s="7">
        <v>40878</v>
      </c>
      <c r="B87" s="17">
        <v>11641</v>
      </c>
      <c r="C87" s="14"/>
    </row>
    <row r="88" spans="1:3" ht="18" x14ac:dyDescent="0.2">
      <c r="A88" s="7">
        <v>40909</v>
      </c>
      <c r="B88" s="17">
        <v>6365</v>
      </c>
      <c r="C88" s="14"/>
    </row>
    <row r="89" spans="1:3" ht="18" x14ac:dyDescent="0.2">
      <c r="A89" s="7">
        <v>40940</v>
      </c>
      <c r="B89" s="17">
        <v>17758</v>
      </c>
      <c r="C89" s="14"/>
    </row>
    <row r="90" spans="1:3" ht="18" x14ac:dyDescent="0.2">
      <c r="A90" s="7">
        <v>40969</v>
      </c>
      <c r="B90" s="17">
        <v>10097</v>
      </c>
      <c r="C90" s="14"/>
    </row>
    <row r="91" spans="1:3" ht="18" x14ac:dyDescent="0.2">
      <c r="A91" s="7">
        <v>41000</v>
      </c>
      <c r="B91" s="17">
        <v>8827</v>
      </c>
      <c r="C91" s="14"/>
    </row>
    <row r="92" spans="1:3" ht="18" x14ac:dyDescent="0.2">
      <c r="A92" s="7">
        <v>41030</v>
      </c>
      <c r="B92" s="17">
        <v>10749</v>
      </c>
      <c r="C92" s="14"/>
    </row>
    <row r="93" spans="1:3" ht="18" x14ac:dyDescent="0.2">
      <c r="A93" s="7">
        <v>41061</v>
      </c>
      <c r="B93" s="17">
        <v>9959</v>
      </c>
      <c r="C93" s="14"/>
    </row>
    <row r="94" spans="1:3" ht="18" x14ac:dyDescent="0.2">
      <c r="A94" s="7">
        <v>41091</v>
      </c>
      <c r="B94" s="17">
        <v>9757</v>
      </c>
      <c r="C94" s="14"/>
    </row>
    <row r="95" spans="1:3" ht="18" x14ac:dyDescent="0.2">
      <c r="A95" s="7">
        <v>41122</v>
      </c>
      <c r="B95" s="17">
        <v>10610</v>
      </c>
      <c r="C95" s="14"/>
    </row>
    <row r="96" spans="1:3" ht="18" x14ac:dyDescent="0.2">
      <c r="A96" s="7">
        <v>41153</v>
      </c>
      <c r="B96" s="17">
        <v>10045</v>
      </c>
      <c r="C96" s="14"/>
    </row>
    <row r="97" spans="1:3" ht="18" x14ac:dyDescent="0.2">
      <c r="A97" s="7">
        <v>41183</v>
      </c>
      <c r="B97" s="17">
        <v>8828</v>
      </c>
      <c r="C97" s="14"/>
    </row>
    <row r="98" spans="1:3" ht="18" x14ac:dyDescent="0.2">
      <c r="A98" s="7">
        <v>41214</v>
      </c>
      <c r="B98" s="17">
        <v>9366</v>
      </c>
      <c r="C98" s="14"/>
    </row>
    <row r="99" spans="1:3" ht="18" x14ac:dyDescent="0.2">
      <c r="A99" s="7">
        <v>41244</v>
      </c>
      <c r="B99" s="17">
        <v>11366</v>
      </c>
      <c r="C99" s="14"/>
    </row>
    <row r="100" spans="1:3" ht="18" x14ac:dyDescent="0.2">
      <c r="A100" s="7">
        <v>41275</v>
      </c>
      <c r="B100" s="17">
        <v>7405</v>
      </c>
      <c r="C100" s="14"/>
    </row>
    <row r="101" spans="1:3" ht="18" x14ac:dyDescent="0.2">
      <c r="A101" s="7">
        <v>41306</v>
      </c>
      <c r="B101" s="17">
        <v>9614</v>
      </c>
      <c r="C101" s="14"/>
    </row>
    <row r="102" spans="1:3" ht="18" x14ac:dyDescent="0.2">
      <c r="A102" s="7">
        <v>41334</v>
      </c>
      <c r="B102" s="17">
        <v>11207</v>
      </c>
      <c r="C102" s="14"/>
    </row>
    <row r="103" spans="1:3" ht="18" x14ac:dyDescent="0.2">
      <c r="A103" s="7">
        <v>41365</v>
      </c>
      <c r="B103" s="17">
        <v>10613</v>
      </c>
      <c r="C103" s="14"/>
    </row>
    <row r="104" spans="1:3" ht="18" x14ac:dyDescent="0.2">
      <c r="A104" s="7">
        <v>41395</v>
      </c>
      <c r="B104" s="17">
        <v>11963</v>
      </c>
      <c r="C104" s="14"/>
    </row>
    <row r="105" spans="1:3" ht="18" x14ac:dyDescent="0.2">
      <c r="A105" s="7">
        <v>41426</v>
      </c>
      <c r="B105" s="17">
        <v>12085</v>
      </c>
      <c r="C105" s="14"/>
    </row>
    <row r="106" spans="1:3" ht="18" x14ac:dyDescent="0.2">
      <c r="A106" s="7">
        <v>41456</v>
      </c>
      <c r="B106" s="17">
        <v>12932</v>
      </c>
      <c r="C106" s="14"/>
    </row>
    <row r="107" spans="1:3" ht="18" x14ac:dyDescent="0.2">
      <c r="A107" s="7">
        <v>41487</v>
      </c>
      <c r="B107" s="17">
        <v>14877</v>
      </c>
      <c r="C107" s="14"/>
    </row>
    <row r="108" spans="1:3" ht="18" x14ac:dyDescent="0.2">
      <c r="A108" s="7">
        <v>41518</v>
      </c>
      <c r="B108" s="17">
        <v>9659</v>
      </c>
      <c r="C108" s="14"/>
    </row>
    <row r="109" spans="1:3" ht="18" x14ac:dyDescent="0.2">
      <c r="A109" s="7">
        <v>41548</v>
      </c>
      <c r="B109" s="17">
        <v>9202</v>
      </c>
      <c r="C109" s="14"/>
    </row>
    <row r="110" spans="1:3" ht="18" x14ac:dyDescent="0.2">
      <c r="A110" s="7">
        <v>41579</v>
      </c>
      <c r="B110" s="17">
        <v>8150</v>
      </c>
      <c r="C110" s="14"/>
    </row>
    <row r="111" spans="1:3" ht="18" x14ac:dyDescent="0.2">
      <c r="A111" s="7">
        <v>41609</v>
      </c>
      <c r="B111" s="17">
        <v>8971</v>
      </c>
      <c r="C111" s="14"/>
    </row>
    <row r="112" spans="1:3" ht="18" x14ac:dyDescent="0.2">
      <c r="A112" s="7">
        <v>41640</v>
      </c>
      <c r="B112" s="17">
        <v>6224</v>
      </c>
      <c r="C112" s="14"/>
    </row>
    <row r="113" spans="1:3" ht="18" x14ac:dyDescent="0.2">
      <c r="A113" s="7">
        <v>41671</v>
      </c>
      <c r="B113" s="17">
        <v>6913</v>
      </c>
      <c r="C113" s="14"/>
    </row>
    <row r="114" spans="1:3" ht="18" x14ac:dyDescent="0.2">
      <c r="A114" s="7">
        <v>41699</v>
      </c>
      <c r="B114" s="17">
        <v>8894</v>
      </c>
      <c r="C114" s="14"/>
    </row>
    <row r="115" spans="1:3" ht="18" x14ac:dyDescent="0.2">
      <c r="A115" s="7">
        <v>41730</v>
      </c>
      <c r="B115" s="17">
        <v>8765</v>
      </c>
      <c r="C115" s="14"/>
    </row>
    <row r="116" spans="1:3" ht="18" x14ac:dyDescent="0.2">
      <c r="A116" s="7">
        <v>41760</v>
      </c>
      <c r="B116" s="17">
        <v>10054</v>
      </c>
      <c r="C116" s="14"/>
    </row>
    <row r="117" spans="1:3" ht="18" x14ac:dyDescent="0.2">
      <c r="A117" s="7">
        <v>41791</v>
      </c>
      <c r="B117" s="17">
        <v>9830</v>
      </c>
      <c r="C117" s="14"/>
    </row>
    <row r="118" spans="1:3" ht="18" x14ac:dyDescent="0.2">
      <c r="A118" s="7">
        <v>41821</v>
      </c>
      <c r="B118" s="17">
        <v>10933</v>
      </c>
      <c r="C118" s="14"/>
    </row>
    <row r="119" spans="1:3" ht="18" x14ac:dyDescent="0.2">
      <c r="A119" s="7">
        <v>41852</v>
      </c>
      <c r="B119" s="17">
        <v>10810</v>
      </c>
      <c r="C119" s="14"/>
    </row>
    <row r="120" spans="1:3" ht="18" x14ac:dyDescent="0.2">
      <c r="A120" s="7">
        <v>41883</v>
      </c>
      <c r="B120" s="17">
        <v>7824</v>
      </c>
      <c r="C120" s="14"/>
    </row>
    <row r="121" spans="1:3" ht="18" x14ac:dyDescent="0.2">
      <c r="A121" s="7">
        <v>41913</v>
      </c>
      <c r="B121" s="17">
        <v>7903</v>
      </c>
      <c r="C121" s="14"/>
    </row>
    <row r="122" spans="1:3" ht="18" x14ac:dyDescent="0.2">
      <c r="A122" s="7">
        <v>41944</v>
      </c>
      <c r="B122" s="17">
        <v>9228</v>
      </c>
      <c r="C122" s="14"/>
    </row>
    <row r="123" spans="1:3" ht="18" x14ac:dyDescent="0.2">
      <c r="A123" s="7">
        <v>41974</v>
      </c>
      <c r="B123" s="17">
        <v>11479</v>
      </c>
      <c r="C123" s="14"/>
    </row>
    <row r="124" spans="1:3" ht="18" x14ac:dyDescent="0.2">
      <c r="A124" s="7">
        <v>42005</v>
      </c>
      <c r="B124" s="17">
        <v>12315</v>
      </c>
      <c r="C124" s="14"/>
    </row>
    <row r="125" spans="1:3" ht="18" x14ac:dyDescent="0.2">
      <c r="A125" s="7">
        <v>42036</v>
      </c>
      <c r="B125" s="17">
        <v>12629</v>
      </c>
      <c r="C125" s="14"/>
    </row>
    <row r="126" spans="1:3" ht="18" x14ac:dyDescent="0.2">
      <c r="A126" s="7">
        <v>42064</v>
      </c>
      <c r="B126" s="17">
        <v>11937</v>
      </c>
      <c r="C126" s="14"/>
    </row>
    <row r="127" spans="1:3" ht="18" x14ac:dyDescent="0.2">
      <c r="A127" s="7">
        <v>42095</v>
      </c>
      <c r="B127" s="17">
        <v>11222</v>
      </c>
      <c r="C127" s="14"/>
    </row>
    <row r="128" spans="1:3" ht="18" x14ac:dyDescent="0.2">
      <c r="A128" s="7">
        <v>42125</v>
      </c>
      <c r="B128" s="17">
        <v>11760</v>
      </c>
      <c r="C128" s="14"/>
    </row>
    <row r="129" spans="1:3" ht="18" x14ac:dyDescent="0.2">
      <c r="A129" s="7">
        <v>42156</v>
      </c>
      <c r="B129" s="17">
        <v>9093</v>
      </c>
      <c r="C129" s="14"/>
    </row>
    <row r="130" spans="1:3" ht="18" x14ac:dyDescent="0.2">
      <c r="A130" s="7">
        <v>42186</v>
      </c>
      <c r="B130" s="17">
        <v>9584</v>
      </c>
      <c r="C130" s="14"/>
    </row>
    <row r="131" spans="1:3" ht="18" x14ac:dyDescent="0.2">
      <c r="A131" s="7">
        <v>42217</v>
      </c>
      <c r="B131" s="17">
        <v>10202</v>
      </c>
      <c r="C131" s="14"/>
    </row>
    <row r="132" spans="1:3" ht="18" x14ac:dyDescent="0.2">
      <c r="A132" s="7">
        <v>42248</v>
      </c>
      <c r="B132" s="17">
        <v>10238</v>
      </c>
      <c r="C132" s="14"/>
    </row>
    <row r="133" spans="1:3" ht="18" x14ac:dyDescent="0.2">
      <c r="A133" s="7">
        <v>42278</v>
      </c>
      <c r="B133" s="17">
        <v>12913</v>
      </c>
      <c r="C133" s="14"/>
    </row>
    <row r="134" spans="1:3" ht="18" x14ac:dyDescent="0.2">
      <c r="A134" s="7">
        <v>42309</v>
      </c>
      <c r="B134" s="17">
        <v>10975</v>
      </c>
      <c r="C134" s="14"/>
    </row>
    <row r="135" spans="1:3" ht="18" x14ac:dyDescent="0.2">
      <c r="A135" s="7">
        <v>42339</v>
      </c>
      <c r="B135" s="17">
        <v>13344</v>
      </c>
      <c r="C135" s="14"/>
    </row>
    <row r="136" spans="1:3" ht="18" x14ac:dyDescent="0.2">
      <c r="A136" s="7">
        <v>42370</v>
      </c>
      <c r="B136" s="17">
        <v>8561</v>
      </c>
      <c r="C136" s="14"/>
    </row>
    <row r="137" spans="1:3" ht="18" x14ac:dyDescent="0.2">
      <c r="A137" s="7">
        <v>42401</v>
      </c>
      <c r="B137" s="17">
        <v>9572</v>
      </c>
      <c r="C137" s="14"/>
    </row>
    <row r="138" spans="1:3" ht="18" x14ac:dyDescent="0.2">
      <c r="A138" s="7">
        <v>42430</v>
      </c>
      <c r="B138" s="17">
        <v>10593</v>
      </c>
      <c r="C138" s="14"/>
    </row>
    <row r="139" spans="1:3" ht="18" x14ac:dyDescent="0.2">
      <c r="A139" s="7">
        <v>42461</v>
      </c>
      <c r="B139" s="17">
        <v>11370</v>
      </c>
      <c r="C139" s="14"/>
    </row>
    <row r="140" spans="1:3" ht="18" x14ac:dyDescent="0.2">
      <c r="A140" s="7">
        <v>42491</v>
      </c>
      <c r="B140" s="17">
        <v>11248</v>
      </c>
      <c r="C140" s="14"/>
    </row>
    <row r="141" spans="1:3" ht="18" x14ac:dyDescent="0.2">
      <c r="A141" s="7">
        <v>42522</v>
      </c>
      <c r="B141" s="17">
        <v>10830</v>
      </c>
      <c r="C141" s="14"/>
    </row>
    <row r="142" spans="1:3" ht="18" x14ac:dyDescent="0.2">
      <c r="A142" s="7">
        <v>42552</v>
      </c>
      <c r="B142" s="17">
        <v>10350</v>
      </c>
      <c r="C142" s="14"/>
    </row>
    <row r="143" spans="1:3" ht="18" x14ac:dyDescent="0.2">
      <c r="A143" s="7">
        <v>42583</v>
      </c>
      <c r="B143" s="17">
        <v>9269</v>
      </c>
      <c r="C143" s="14"/>
    </row>
    <row r="144" spans="1:3" ht="18" x14ac:dyDescent="0.2">
      <c r="A144" s="7">
        <v>42614</v>
      </c>
      <c r="B144" s="17">
        <v>9206</v>
      </c>
      <c r="C144" s="14"/>
    </row>
    <row r="145" spans="1:3" ht="18" x14ac:dyDescent="0.2">
      <c r="A145" s="7">
        <v>42644</v>
      </c>
      <c r="B145" s="17">
        <v>8677</v>
      </c>
      <c r="C145" s="14"/>
    </row>
    <row r="146" spans="1:3" ht="18" x14ac:dyDescent="0.2">
      <c r="A146" s="7">
        <v>42675</v>
      </c>
      <c r="B146" s="17">
        <v>9024</v>
      </c>
      <c r="C146" s="14"/>
    </row>
    <row r="147" spans="1:3" ht="18" x14ac:dyDescent="0.2">
      <c r="A147" s="7">
        <v>42705</v>
      </c>
      <c r="B147" s="17">
        <v>12072</v>
      </c>
      <c r="C147" s="14"/>
    </row>
    <row r="148" spans="1:3" ht="18" x14ac:dyDescent="0.2">
      <c r="A148" s="7">
        <v>42736</v>
      </c>
      <c r="B148" s="17">
        <v>7180</v>
      </c>
      <c r="C148" s="14"/>
    </row>
    <row r="149" spans="1:3" ht="18" x14ac:dyDescent="0.2">
      <c r="A149" s="7">
        <v>42767</v>
      </c>
      <c r="B149" s="17">
        <v>8099</v>
      </c>
      <c r="C149" s="14"/>
    </row>
    <row r="150" spans="1:3" ht="18" x14ac:dyDescent="0.2">
      <c r="A150" s="7">
        <v>42795</v>
      </c>
      <c r="B150" s="17">
        <v>9945</v>
      </c>
      <c r="C150" s="14"/>
    </row>
    <row r="151" spans="1:3" ht="18" x14ac:dyDescent="0.2">
      <c r="A151" s="7">
        <v>42826</v>
      </c>
      <c r="B151" s="17">
        <v>9746</v>
      </c>
      <c r="C151" s="14"/>
    </row>
    <row r="152" spans="1:3" ht="18" x14ac:dyDescent="0.2">
      <c r="A152" s="7">
        <v>42856</v>
      </c>
      <c r="B152" s="17">
        <v>9976</v>
      </c>
      <c r="C152" s="14"/>
    </row>
    <row r="153" spans="1:3" ht="18" x14ac:dyDescent="0.2">
      <c r="A153" s="7">
        <v>42887</v>
      </c>
      <c r="B153" s="17">
        <v>9409</v>
      </c>
      <c r="C153" s="14"/>
    </row>
    <row r="154" spans="1:3" ht="18" x14ac:dyDescent="0.2">
      <c r="A154" s="7">
        <v>42917</v>
      </c>
      <c r="B154" s="17">
        <v>9985</v>
      </c>
      <c r="C154" s="14"/>
    </row>
    <row r="155" spans="1:3" ht="18" x14ac:dyDescent="0.2">
      <c r="A155" s="7">
        <v>42948</v>
      </c>
      <c r="B155" s="17">
        <v>9568</v>
      </c>
      <c r="C155" s="14"/>
    </row>
    <row r="156" spans="1:3" ht="18" x14ac:dyDescent="0.2">
      <c r="A156" s="7">
        <v>42979</v>
      </c>
      <c r="B156" s="17">
        <v>10295</v>
      </c>
      <c r="C156" s="14"/>
    </row>
    <row r="157" spans="1:3" ht="18" x14ac:dyDescent="0.2">
      <c r="A157" s="7">
        <v>43009</v>
      </c>
      <c r="B157" s="17">
        <v>10285</v>
      </c>
      <c r="C157" s="14"/>
    </row>
    <row r="158" spans="1:3" ht="18" x14ac:dyDescent="0.2">
      <c r="A158" s="7">
        <v>43040</v>
      </c>
      <c r="B158" s="17">
        <v>14189</v>
      </c>
      <c r="C158" s="14"/>
    </row>
    <row r="159" spans="1:3" ht="18" x14ac:dyDescent="0.2">
      <c r="A159" s="7">
        <v>43070</v>
      </c>
      <c r="B159" s="17">
        <v>18602</v>
      </c>
      <c r="C159" s="14"/>
    </row>
    <row r="160" spans="1:3" ht="18" x14ac:dyDescent="0.2">
      <c r="A160" s="7">
        <v>43101</v>
      </c>
      <c r="B160" s="17">
        <v>11619</v>
      </c>
      <c r="C160" s="14"/>
    </row>
    <row r="161" spans="1:3" ht="18" x14ac:dyDescent="0.2">
      <c r="A161" s="7">
        <v>43132</v>
      </c>
      <c r="B161" s="17">
        <v>12056</v>
      </c>
      <c r="C161" s="14"/>
    </row>
    <row r="162" spans="1:3" ht="18" x14ac:dyDescent="0.2">
      <c r="A162" s="7">
        <v>43160</v>
      </c>
      <c r="B162" s="17">
        <v>14158</v>
      </c>
      <c r="C162" s="14"/>
    </row>
    <row r="163" spans="1:3" ht="18" x14ac:dyDescent="0.2">
      <c r="A163" s="7">
        <v>43191</v>
      </c>
      <c r="B163" s="17">
        <v>11891</v>
      </c>
      <c r="C163" s="14"/>
    </row>
    <row r="164" spans="1:3" ht="18" x14ac:dyDescent="0.2">
      <c r="A164" s="7">
        <v>43221</v>
      </c>
      <c r="B164" s="17">
        <v>13573</v>
      </c>
      <c r="C164" s="14"/>
    </row>
    <row r="165" spans="1:3" ht="18" x14ac:dyDescent="0.2">
      <c r="A165" s="7">
        <v>43252</v>
      </c>
      <c r="B165" s="17">
        <v>12782</v>
      </c>
      <c r="C165" s="14"/>
    </row>
    <row r="166" spans="1:3" ht="18" x14ac:dyDescent="0.2">
      <c r="A166" s="7">
        <v>43282</v>
      </c>
      <c r="B166" s="17">
        <v>13026</v>
      </c>
      <c r="C166" s="14"/>
    </row>
    <row r="167" spans="1:3" ht="18" x14ac:dyDescent="0.2">
      <c r="A167" s="7">
        <v>43313</v>
      </c>
      <c r="B167" s="17">
        <v>15332</v>
      </c>
      <c r="C167" s="14"/>
    </row>
    <row r="168" spans="1:3" ht="18" x14ac:dyDescent="0.2">
      <c r="A168" s="7">
        <v>43344</v>
      </c>
      <c r="B168" s="17">
        <v>15464</v>
      </c>
      <c r="C168" s="14"/>
    </row>
    <row r="169" spans="1:3" ht="18" x14ac:dyDescent="0.2">
      <c r="A169" s="7">
        <v>43374</v>
      </c>
      <c r="B169" s="17">
        <v>13479</v>
      </c>
      <c r="C169" s="14"/>
    </row>
    <row r="170" spans="1:3" ht="18" x14ac:dyDescent="0.2">
      <c r="A170" s="7">
        <v>43405</v>
      </c>
      <c r="B170" s="17">
        <v>10537</v>
      </c>
      <c r="C170" s="14"/>
    </row>
    <row r="171" spans="1:3" ht="18" x14ac:dyDescent="0.2">
      <c r="A171" s="7">
        <v>43435</v>
      </c>
      <c r="B171" s="17">
        <v>15698</v>
      </c>
      <c r="C171" s="14"/>
    </row>
    <row r="172" spans="1:3" ht="18" x14ac:dyDescent="0.2">
      <c r="A172" s="7">
        <v>43466</v>
      </c>
      <c r="B172" s="17">
        <v>8556</v>
      </c>
      <c r="C172" s="14"/>
    </row>
    <row r="173" spans="1:3" ht="18" x14ac:dyDescent="0.2">
      <c r="A173" s="7">
        <v>43497</v>
      </c>
      <c r="B173" s="17">
        <v>10990</v>
      </c>
      <c r="C173" s="14"/>
    </row>
    <row r="174" spans="1:3" ht="18" x14ac:dyDescent="0.2">
      <c r="A174" s="7">
        <v>43525</v>
      </c>
      <c r="B174" s="17">
        <v>13411</v>
      </c>
      <c r="C174" s="14"/>
    </row>
    <row r="175" spans="1:3" ht="18" x14ac:dyDescent="0.2">
      <c r="A175" s="7">
        <v>43556</v>
      </c>
      <c r="B175" s="17">
        <v>11399</v>
      </c>
      <c r="C175" s="14"/>
    </row>
    <row r="176" spans="1:3" ht="18" x14ac:dyDescent="0.2">
      <c r="A176" s="7">
        <v>43586</v>
      </c>
      <c r="B176" s="17">
        <v>12517</v>
      </c>
      <c r="C176" s="14"/>
    </row>
    <row r="177" spans="1:3" ht="18" x14ac:dyDescent="0.2">
      <c r="A177" s="7">
        <v>43617</v>
      </c>
      <c r="B177" s="17">
        <v>11579</v>
      </c>
      <c r="C177" s="14"/>
    </row>
    <row r="178" spans="1:3" ht="18" x14ac:dyDescent="0.2">
      <c r="A178" s="7">
        <v>43647</v>
      </c>
      <c r="B178" s="17">
        <v>11874</v>
      </c>
      <c r="C178" s="14"/>
    </row>
    <row r="179" spans="1:3" ht="18" x14ac:dyDescent="0.2">
      <c r="A179" s="7">
        <v>43678</v>
      </c>
      <c r="B179" s="17">
        <v>14381</v>
      </c>
      <c r="C179" s="14"/>
    </row>
    <row r="180" spans="1:3" ht="18" x14ac:dyDescent="0.2">
      <c r="A180" s="7">
        <v>43709</v>
      </c>
      <c r="B180" s="17">
        <v>9262</v>
      </c>
      <c r="C180" s="14"/>
    </row>
    <row r="181" spans="1:3" ht="18" x14ac:dyDescent="0.2">
      <c r="A181" s="7">
        <v>43739</v>
      </c>
      <c r="B181" s="17">
        <v>9529</v>
      </c>
      <c r="C181" s="14"/>
    </row>
    <row r="182" spans="1:3" ht="18" x14ac:dyDescent="0.2">
      <c r="A182" s="7">
        <v>43770</v>
      </c>
      <c r="B182" s="17">
        <v>10260</v>
      </c>
      <c r="C182" s="14"/>
    </row>
    <row r="183" spans="1:3" ht="18" x14ac:dyDescent="0.2">
      <c r="A183" s="7">
        <v>43800</v>
      </c>
      <c r="B183" s="17">
        <v>11250</v>
      </c>
      <c r="C183" s="14"/>
    </row>
    <row r="184" spans="1:3" ht="18" x14ac:dyDescent="0.2">
      <c r="A184" s="7">
        <v>43831</v>
      </c>
      <c r="B184" s="17">
        <v>7765</v>
      </c>
      <c r="C184" s="14"/>
    </row>
    <row r="185" spans="1:3" ht="18" x14ac:dyDescent="0.2">
      <c r="A185" s="7">
        <v>43862</v>
      </c>
      <c r="B185" s="17">
        <v>9688</v>
      </c>
      <c r="C185" s="14"/>
    </row>
    <row r="186" spans="1:3" ht="18" x14ac:dyDescent="0.2">
      <c r="A186" s="7">
        <v>43891</v>
      </c>
      <c r="B186" s="17">
        <v>6445</v>
      </c>
      <c r="C186" s="14"/>
    </row>
    <row r="187" spans="1:3" ht="18" x14ac:dyDescent="0.2">
      <c r="A187" s="7">
        <v>43922</v>
      </c>
      <c r="B187" s="17">
        <v>6562</v>
      </c>
      <c r="C187" s="14"/>
    </row>
    <row r="188" spans="1:3" ht="18" x14ac:dyDescent="0.2">
      <c r="A188" s="7">
        <v>43952</v>
      </c>
      <c r="B188" s="17">
        <v>12227</v>
      </c>
      <c r="C188" s="14"/>
    </row>
    <row r="189" spans="1:3" ht="18" x14ac:dyDescent="0.2">
      <c r="A189" s="7">
        <v>43983</v>
      </c>
      <c r="B189" s="17">
        <v>12128</v>
      </c>
      <c r="C189" s="14"/>
    </row>
    <row r="190" spans="1:3" ht="18" x14ac:dyDescent="0.2">
      <c r="A190" s="7">
        <v>44013</v>
      </c>
      <c r="B190" s="17">
        <v>12036</v>
      </c>
      <c r="C190" s="14"/>
    </row>
    <row r="191" spans="1:3" ht="18" x14ac:dyDescent="0.2">
      <c r="A191" s="7">
        <v>44044</v>
      </c>
      <c r="B191" s="17">
        <v>12508</v>
      </c>
      <c r="C191" s="14"/>
    </row>
    <row r="192" spans="1:3" ht="18" x14ac:dyDescent="0.2">
      <c r="A192" s="7">
        <v>44075</v>
      </c>
      <c r="B192" s="17">
        <v>10643</v>
      </c>
      <c r="C192" s="14"/>
    </row>
    <row r="193" spans="1:3" ht="18" x14ac:dyDescent="0.2">
      <c r="A193" s="7">
        <v>44105</v>
      </c>
      <c r="B193" s="17">
        <v>11631</v>
      </c>
      <c r="C193" s="14"/>
    </row>
    <row r="194" spans="1:3" ht="18" x14ac:dyDescent="0.2">
      <c r="A194" s="7">
        <v>44136</v>
      </c>
      <c r="B194" s="17">
        <v>9126</v>
      </c>
      <c r="C194" s="14"/>
    </row>
    <row r="195" spans="1:3" ht="18" x14ac:dyDescent="0.2">
      <c r="A195" s="7">
        <v>44166</v>
      </c>
      <c r="B195" s="17">
        <v>13054</v>
      </c>
      <c r="C195" s="14"/>
    </row>
    <row r="196" spans="1:3" ht="18" x14ac:dyDescent="0.2">
      <c r="A196" s="7">
        <v>44197</v>
      </c>
      <c r="B196" s="17">
        <v>8602</v>
      </c>
      <c r="C196" s="14"/>
    </row>
    <row r="197" spans="1:3" ht="18" x14ac:dyDescent="0.2">
      <c r="A197" s="7">
        <v>44228</v>
      </c>
      <c r="B197" s="17">
        <v>10689</v>
      </c>
      <c r="C197" s="14"/>
    </row>
    <row r="198" spans="1:3" ht="18" x14ac:dyDescent="0.2">
      <c r="A198" s="7">
        <v>44256</v>
      </c>
      <c r="B198" s="17">
        <v>12160</v>
      </c>
      <c r="C198" s="14"/>
    </row>
    <row r="199" spans="1:3" ht="18" x14ac:dyDescent="0.2">
      <c r="A199" s="7">
        <v>44287</v>
      </c>
      <c r="B199" s="17">
        <v>13915</v>
      </c>
      <c r="C199" s="14"/>
    </row>
    <row r="200" spans="1:3" ht="18" x14ac:dyDescent="0.2">
      <c r="A200" s="7">
        <v>44317</v>
      </c>
      <c r="B200" s="17">
        <v>16480</v>
      </c>
      <c r="C200" s="14"/>
    </row>
    <row r="201" spans="1:3" ht="18" x14ac:dyDescent="0.2">
      <c r="A201" s="7">
        <v>44348</v>
      </c>
      <c r="B201" s="17">
        <v>14714</v>
      </c>
      <c r="C201" s="14"/>
    </row>
    <row r="202" spans="1:3" ht="18" x14ac:dyDescent="0.2">
      <c r="A202" s="7">
        <v>44378</v>
      </c>
      <c r="B202" s="17">
        <v>14506</v>
      </c>
      <c r="C202" s="14"/>
    </row>
    <row r="203" spans="1:3" ht="18" x14ac:dyDescent="0.2">
      <c r="A203" s="7">
        <v>44409</v>
      </c>
      <c r="B203" s="17">
        <v>11371</v>
      </c>
      <c r="C203" s="14"/>
    </row>
    <row r="204" spans="1:3" ht="18" x14ac:dyDescent="0.2">
      <c r="A204" s="7">
        <v>44440</v>
      </c>
      <c r="B204" s="17">
        <v>12230</v>
      </c>
      <c r="C204" s="14"/>
    </row>
    <row r="205" spans="1:3" ht="18" x14ac:dyDescent="0.2">
      <c r="A205" s="7">
        <v>44470</v>
      </c>
      <c r="B205" s="17">
        <v>9480</v>
      </c>
      <c r="C205" s="14"/>
    </row>
    <row r="206" spans="1:3" ht="18" x14ac:dyDescent="0.2">
      <c r="A206" s="7">
        <v>44501</v>
      </c>
      <c r="B206" s="17">
        <v>7629</v>
      </c>
      <c r="C206" s="14"/>
    </row>
    <row r="207" spans="1:3" ht="18" x14ac:dyDescent="0.2">
      <c r="A207" s="7">
        <v>44531</v>
      </c>
      <c r="B207" s="17">
        <v>11286</v>
      </c>
      <c r="C207" s="14"/>
    </row>
    <row r="208" spans="1:3" ht="18" x14ac:dyDescent="0.2">
      <c r="A208" s="7">
        <v>44562</v>
      </c>
      <c r="B208" s="17">
        <v>6998</v>
      </c>
      <c r="C208" s="14"/>
    </row>
    <row r="209" spans="1:3" ht="18" x14ac:dyDescent="0.2">
      <c r="A209" s="7">
        <v>44593</v>
      </c>
      <c r="B209" s="17">
        <v>8163</v>
      </c>
      <c r="C209" s="14"/>
    </row>
    <row r="210" spans="1:3" ht="18" x14ac:dyDescent="0.2">
      <c r="A210" s="7">
        <v>44621</v>
      </c>
      <c r="B210" s="17">
        <v>8828</v>
      </c>
      <c r="C210" s="14"/>
    </row>
    <row r="211" spans="1:3" ht="18" x14ac:dyDescent="0.2">
      <c r="A211" s="7">
        <v>44652</v>
      </c>
      <c r="B211" s="17">
        <v>7994</v>
      </c>
      <c r="C211" s="14"/>
    </row>
    <row r="212" spans="1:3" ht="18" x14ac:dyDescent="0.2">
      <c r="A212" s="7">
        <v>44682</v>
      </c>
      <c r="B212" s="17">
        <v>8713</v>
      </c>
      <c r="C212" s="14"/>
    </row>
    <row r="213" spans="1:3" ht="18" x14ac:dyDescent="0.2">
      <c r="A213" s="7">
        <v>44713</v>
      </c>
      <c r="B213" s="17">
        <v>5739</v>
      </c>
      <c r="C213" s="14"/>
    </row>
    <row r="214" spans="1:3" ht="18" x14ac:dyDescent="0.2">
      <c r="A214" s="7">
        <v>44743</v>
      </c>
      <c r="B214" s="17">
        <v>10615</v>
      </c>
      <c r="C214" s="14"/>
    </row>
    <row r="215" spans="1:3" ht="18" x14ac:dyDescent="0.2">
      <c r="A215" s="7">
        <v>44774</v>
      </c>
      <c r="B215" s="17">
        <v>8690</v>
      </c>
      <c r="C215" s="14"/>
    </row>
    <row r="216" spans="1:3" ht="18" x14ac:dyDescent="0.2">
      <c r="A216" s="7">
        <v>44805</v>
      </c>
      <c r="B216" s="17">
        <v>8212</v>
      </c>
      <c r="C216" s="14"/>
    </row>
    <row r="217" spans="1:3" ht="18" x14ac:dyDescent="0.2">
      <c r="A217" s="7">
        <v>44835</v>
      </c>
      <c r="B217" s="17">
        <v>8843</v>
      </c>
      <c r="C217" s="14"/>
    </row>
    <row r="218" spans="1:3" ht="18" x14ac:dyDescent="0.2">
      <c r="A218" s="7">
        <v>44866</v>
      </c>
      <c r="B218" s="17">
        <v>7781</v>
      </c>
      <c r="C218" s="14"/>
    </row>
    <row r="219" spans="1:3" ht="18" x14ac:dyDescent="0.2">
      <c r="A219" s="7">
        <v>44896</v>
      </c>
      <c r="B219" s="17">
        <v>8991</v>
      </c>
      <c r="C219" s="14"/>
    </row>
    <row r="220" spans="1:3" ht="18" x14ac:dyDescent="0.2">
      <c r="A220" s="7">
        <v>44927</v>
      </c>
      <c r="B220" s="17">
        <v>6950</v>
      </c>
      <c r="C220" s="14"/>
    </row>
    <row r="221" spans="1:3" ht="18" x14ac:dyDescent="0.2">
      <c r="A221" s="7">
        <v>44958</v>
      </c>
      <c r="B221" s="17">
        <v>7271</v>
      </c>
      <c r="C221" s="14"/>
    </row>
    <row r="222" spans="1:3" ht="18" x14ac:dyDescent="0.2">
      <c r="A222" s="7">
        <v>44986</v>
      </c>
      <c r="B222" s="17">
        <v>10483</v>
      </c>
      <c r="C222" s="14"/>
    </row>
    <row r="223" spans="1:3" ht="18" x14ac:dyDescent="0.2">
      <c r="A223" s="7">
        <v>45017</v>
      </c>
      <c r="B223" s="17">
        <v>9949</v>
      </c>
      <c r="C223" s="14"/>
    </row>
    <row r="224" spans="1:3" ht="18" x14ac:dyDescent="0.2">
      <c r="A224" s="7">
        <v>45047</v>
      </c>
      <c r="B224" s="17">
        <v>10439</v>
      </c>
      <c r="C224" s="14"/>
    </row>
    <row r="225" spans="1:3" ht="18" x14ac:dyDescent="0.2">
      <c r="A225" s="7">
        <v>45078</v>
      </c>
      <c r="B225" s="17">
        <v>10691</v>
      </c>
      <c r="C225" s="14"/>
    </row>
    <row r="226" spans="1:3" ht="18" x14ac:dyDescent="0.2">
      <c r="A226" s="7">
        <v>45108</v>
      </c>
      <c r="B226" s="17">
        <v>9962</v>
      </c>
      <c r="C226" s="14"/>
    </row>
    <row r="227" spans="1:3" ht="18" x14ac:dyDescent="0.2">
      <c r="A227" s="7">
        <v>45139</v>
      </c>
      <c r="B227" s="17">
        <v>10089</v>
      </c>
      <c r="C227" s="14"/>
    </row>
    <row r="228" spans="1:3" ht="18" x14ac:dyDescent="0.2">
      <c r="A228" s="7">
        <v>45170</v>
      </c>
      <c r="B228" s="17">
        <v>6563</v>
      </c>
      <c r="C228" s="14"/>
    </row>
    <row r="229" spans="1:3" ht="18" x14ac:dyDescent="0.2">
      <c r="A229" s="7">
        <v>45200</v>
      </c>
      <c r="B229" s="17">
        <v>8223</v>
      </c>
      <c r="C229" s="14"/>
    </row>
    <row r="230" spans="1:3" ht="18" x14ac:dyDescent="0.2">
      <c r="A230" s="7">
        <v>45231</v>
      </c>
      <c r="B230" s="17">
        <v>9113</v>
      </c>
      <c r="C230" s="14"/>
    </row>
    <row r="231" spans="1:3" ht="18" x14ac:dyDescent="0.2">
      <c r="A231" s="7">
        <v>45261</v>
      </c>
      <c r="B231" s="17">
        <v>10565</v>
      </c>
      <c r="C231" s="14"/>
    </row>
    <row r="232" spans="1:3" ht="18" x14ac:dyDescent="0.2">
      <c r="A232" s="7">
        <v>45292</v>
      </c>
      <c r="B232" s="17">
        <v>7687</v>
      </c>
      <c r="C232" s="14"/>
    </row>
    <row r="233" spans="1:3" ht="18" x14ac:dyDescent="0.2">
      <c r="A233" s="7">
        <v>45323</v>
      </c>
      <c r="B233" s="17">
        <v>9684</v>
      </c>
      <c r="C233" s="14"/>
    </row>
    <row r="234" spans="1:3" ht="18" x14ac:dyDescent="0.2">
      <c r="A234" s="7">
        <v>45352</v>
      </c>
      <c r="B234" s="17">
        <v>12680</v>
      </c>
      <c r="C234" s="14"/>
    </row>
    <row r="235" spans="1:3" ht="18" x14ac:dyDescent="0.2">
      <c r="A235" s="7">
        <v>45383</v>
      </c>
      <c r="B235" s="17">
        <v>11882</v>
      </c>
      <c r="C235" s="14"/>
    </row>
    <row r="236" spans="1:3" ht="18" x14ac:dyDescent="0.2">
      <c r="A236" s="7">
        <v>45413</v>
      </c>
      <c r="B236" s="17">
        <v>12561</v>
      </c>
      <c r="C236" s="14"/>
    </row>
    <row r="237" spans="1:3" ht="18" x14ac:dyDescent="0.2">
      <c r="A237" s="7">
        <v>45444</v>
      </c>
      <c r="B237" s="17">
        <v>11789</v>
      </c>
      <c r="C237" s="14"/>
    </row>
    <row r="238" spans="1:3" ht="18" x14ac:dyDescent="0.2">
      <c r="A238" s="7">
        <v>45474</v>
      </c>
      <c r="B238" s="17">
        <v>12109</v>
      </c>
      <c r="C238" s="14"/>
    </row>
    <row r="239" spans="1:3" ht="18" x14ac:dyDescent="0.2">
      <c r="A239" s="7">
        <v>45505</v>
      </c>
      <c r="B239" s="17">
        <v>14093</v>
      </c>
      <c r="C239" s="14"/>
    </row>
    <row r="240" spans="1:3" ht="18" x14ac:dyDescent="0.2">
      <c r="A240" s="7">
        <v>45536</v>
      </c>
      <c r="B240" s="17">
        <v>10630</v>
      </c>
      <c r="C240" s="14"/>
    </row>
    <row r="241" spans="1:3" ht="18" x14ac:dyDescent="0.2">
      <c r="A241" s="7">
        <v>45566</v>
      </c>
      <c r="B241" s="17">
        <v>11927</v>
      </c>
      <c r="C241" s="14"/>
    </row>
    <row r="242" spans="1:3" ht="18" x14ac:dyDescent="0.2">
      <c r="A242" s="7">
        <v>45597</v>
      </c>
      <c r="B242" s="17">
        <v>12652</v>
      </c>
      <c r="C242" s="14"/>
    </row>
    <row r="243" spans="1:3" ht="18" x14ac:dyDescent="0.2">
      <c r="A243" s="7">
        <v>45627</v>
      </c>
      <c r="B243" s="17">
        <v>13551</v>
      </c>
      <c r="C243" s="14"/>
    </row>
    <row r="244" spans="1:3" ht="18" x14ac:dyDescent="0.2">
      <c r="A244" s="7">
        <v>45658</v>
      </c>
      <c r="B244" s="17">
        <v>8849</v>
      </c>
      <c r="C244" s="14"/>
    </row>
    <row r="245" spans="1:3" ht="18" x14ac:dyDescent="0.2">
      <c r="A245" s="7">
        <v>45689</v>
      </c>
      <c r="B245" s="17">
        <v>10204</v>
      </c>
      <c r="C245" s="14"/>
    </row>
    <row r="246" spans="1:3" ht="18" x14ac:dyDescent="0.2">
      <c r="A246" s="7">
        <v>45717</v>
      </c>
      <c r="B246" s="17">
        <v>13589</v>
      </c>
      <c r="C246" s="14"/>
    </row>
  </sheetData>
  <mergeCells count="5">
    <mergeCell ref="A1:G1"/>
    <mergeCell ref="D24:P24"/>
    <mergeCell ref="D27:F27"/>
    <mergeCell ref="D31:F31"/>
    <mergeCell ref="D30:G3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22071-CF50-9246-9637-4CBAE1D0F514}">
  <dimension ref="A1:E245"/>
  <sheetViews>
    <sheetView topLeftCell="E1" zoomScaleNormal="100" workbookViewId="0">
      <selection activeCell="I169" sqref="I169"/>
    </sheetView>
  </sheetViews>
  <sheetFormatPr baseColWidth="10" defaultRowHeight="16" x14ac:dyDescent="0.2"/>
  <cols>
    <col min="2" max="2" width="11.6640625" bestFit="1" customWidth="1"/>
    <col min="3" max="3" width="2.5" customWidth="1"/>
    <col min="5" max="5" width="23.83203125" bestFit="1" customWidth="1"/>
  </cols>
  <sheetData>
    <row r="1" spans="1:5" ht="19" thickBot="1" x14ac:dyDescent="0.25">
      <c r="A1" s="3" t="s">
        <v>9</v>
      </c>
      <c r="B1" s="4"/>
      <c r="E1" s="4"/>
    </row>
    <row r="2" spans="1:5" ht="18" x14ac:dyDescent="0.2">
      <c r="A2" s="5" t="s">
        <v>1</v>
      </c>
      <c r="B2" s="5" t="s">
        <v>2</v>
      </c>
      <c r="D2" s="5" t="s">
        <v>1</v>
      </c>
      <c r="E2" s="5" t="s">
        <v>31</v>
      </c>
    </row>
    <row r="3" spans="1:5" ht="18" x14ac:dyDescent="0.2">
      <c r="A3" s="7">
        <v>38353</v>
      </c>
      <c r="B3" s="17">
        <v>8837</v>
      </c>
      <c r="D3" s="7">
        <v>38718</v>
      </c>
      <c r="E3" s="8">
        <f t="shared" ref="E3:E66" si="0">(B15-B3)/B3*100</f>
        <v>13.149258798234694</v>
      </c>
    </row>
    <row r="4" spans="1:5" ht="18" x14ac:dyDescent="0.2">
      <c r="A4" s="7">
        <v>38384</v>
      </c>
      <c r="B4" s="17">
        <v>10625</v>
      </c>
      <c r="D4" s="7">
        <v>38749</v>
      </c>
      <c r="E4" s="8">
        <f t="shared" si="0"/>
        <v>2.5976470588235294</v>
      </c>
    </row>
    <row r="5" spans="1:5" ht="18" x14ac:dyDescent="0.2">
      <c r="A5" s="7">
        <v>38412</v>
      </c>
      <c r="B5" s="17">
        <v>12071</v>
      </c>
      <c r="D5" s="7">
        <v>38777</v>
      </c>
      <c r="E5" s="8">
        <f t="shared" si="0"/>
        <v>7.4144644188551077</v>
      </c>
    </row>
    <row r="6" spans="1:5" ht="18" x14ac:dyDescent="0.2">
      <c r="A6" s="7">
        <v>38443</v>
      </c>
      <c r="B6" s="17">
        <v>10587</v>
      </c>
      <c r="D6" s="7">
        <v>38808</v>
      </c>
      <c r="E6" s="8">
        <f t="shared" si="0"/>
        <v>18.692736374799281</v>
      </c>
    </row>
    <row r="7" spans="1:5" ht="18" x14ac:dyDescent="0.2">
      <c r="A7" s="7">
        <v>38473</v>
      </c>
      <c r="B7" s="17">
        <v>10109</v>
      </c>
      <c r="D7" s="7">
        <v>38838</v>
      </c>
      <c r="E7" s="8">
        <f t="shared" si="0"/>
        <v>27.17380551983381</v>
      </c>
    </row>
    <row r="8" spans="1:5" ht="18" x14ac:dyDescent="0.2">
      <c r="A8" s="7">
        <v>38504</v>
      </c>
      <c r="B8" s="17">
        <v>11531</v>
      </c>
      <c r="D8" s="7">
        <v>38869</v>
      </c>
      <c r="E8" s="8">
        <f t="shared" si="0"/>
        <v>-0.63307605584944937</v>
      </c>
    </row>
    <row r="9" spans="1:5" ht="18" x14ac:dyDescent="0.2">
      <c r="A9" s="7">
        <v>38534</v>
      </c>
      <c r="B9" s="17">
        <v>14726</v>
      </c>
      <c r="D9" s="7">
        <v>38899</v>
      </c>
      <c r="E9" s="8">
        <f t="shared" si="0"/>
        <v>32.350943908732852</v>
      </c>
    </row>
    <row r="10" spans="1:5" ht="18" x14ac:dyDescent="0.2">
      <c r="A10" s="7">
        <v>38565</v>
      </c>
      <c r="B10" s="17">
        <v>13971</v>
      </c>
      <c r="D10" s="7">
        <v>38930</v>
      </c>
      <c r="E10" s="8">
        <f t="shared" si="0"/>
        <v>36.711760074439908</v>
      </c>
    </row>
    <row r="11" spans="1:5" ht="18" x14ac:dyDescent="0.2">
      <c r="A11" s="7">
        <v>38596</v>
      </c>
      <c r="B11" s="17">
        <v>9198</v>
      </c>
      <c r="D11" s="7">
        <v>38961</v>
      </c>
      <c r="E11" s="8">
        <f t="shared" si="0"/>
        <v>8.7301587301587293</v>
      </c>
    </row>
    <row r="12" spans="1:5" ht="18" x14ac:dyDescent="0.2">
      <c r="A12" s="7">
        <v>38626</v>
      </c>
      <c r="B12" s="17">
        <v>10872</v>
      </c>
      <c r="D12" s="7">
        <v>38991</v>
      </c>
      <c r="E12" s="8">
        <f t="shared" si="0"/>
        <v>-23.335172921265638</v>
      </c>
    </row>
    <row r="13" spans="1:5" ht="18" x14ac:dyDescent="0.2">
      <c r="A13" s="7">
        <v>38657</v>
      </c>
      <c r="B13" s="17">
        <v>12040</v>
      </c>
      <c r="D13" s="7">
        <v>39022</v>
      </c>
      <c r="E13" s="8">
        <f t="shared" si="0"/>
        <v>-20.930232558139537</v>
      </c>
    </row>
    <row r="14" spans="1:5" ht="18" x14ac:dyDescent="0.2">
      <c r="A14" s="7">
        <v>38687</v>
      </c>
      <c r="B14" s="17">
        <v>18788</v>
      </c>
      <c r="D14" s="7">
        <v>39052</v>
      </c>
      <c r="E14" s="8">
        <f t="shared" si="0"/>
        <v>-20.364062167340855</v>
      </c>
    </row>
    <row r="15" spans="1:5" ht="18" x14ac:dyDescent="0.2">
      <c r="A15" s="7">
        <v>38718</v>
      </c>
      <c r="B15" s="17">
        <v>9999</v>
      </c>
      <c r="D15" s="7">
        <v>39083</v>
      </c>
      <c r="E15" s="8">
        <f t="shared" si="0"/>
        <v>-6.2406240624062406</v>
      </c>
    </row>
    <row r="16" spans="1:5" ht="18" x14ac:dyDescent="0.2">
      <c r="A16" s="7">
        <v>38749</v>
      </c>
      <c r="B16" s="17">
        <v>10901</v>
      </c>
      <c r="D16" s="7">
        <v>39114</v>
      </c>
      <c r="E16" s="8">
        <f t="shared" si="0"/>
        <v>-4.8986331529217502</v>
      </c>
    </row>
    <row r="17" spans="1:5" ht="18" x14ac:dyDescent="0.2">
      <c r="A17" s="7">
        <v>38777</v>
      </c>
      <c r="B17" s="17">
        <v>12966</v>
      </c>
      <c r="D17" s="7">
        <v>39142</v>
      </c>
      <c r="E17" s="8">
        <f t="shared" si="0"/>
        <v>10.589233379608206</v>
      </c>
    </row>
    <row r="18" spans="1:5" ht="18" x14ac:dyDescent="0.2">
      <c r="A18" s="7">
        <v>38808</v>
      </c>
      <c r="B18" s="17">
        <v>12566</v>
      </c>
      <c r="D18" s="7">
        <v>39173</v>
      </c>
      <c r="E18" s="8">
        <f t="shared" si="0"/>
        <v>-4.1301925831609108</v>
      </c>
    </row>
    <row r="19" spans="1:5" ht="18" x14ac:dyDescent="0.2">
      <c r="A19" s="7">
        <v>38838</v>
      </c>
      <c r="B19" s="17">
        <v>12856</v>
      </c>
      <c r="D19" s="7">
        <v>39203</v>
      </c>
      <c r="E19" s="8">
        <f t="shared" si="0"/>
        <v>-21.180771624144366</v>
      </c>
    </row>
    <row r="20" spans="1:5" ht="18" x14ac:dyDescent="0.2">
      <c r="A20" s="7">
        <v>38869</v>
      </c>
      <c r="B20" s="17">
        <v>11458</v>
      </c>
      <c r="D20" s="7">
        <v>39234</v>
      </c>
      <c r="E20" s="8">
        <f t="shared" si="0"/>
        <v>-9.4868214348053765</v>
      </c>
    </row>
    <row r="21" spans="1:5" ht="18" x14ac:dyDescent="0.2">
      <c r="A21" s="7">
        <v>38899</v>
      </c>
      <c r="B21" s="17">
        <v>19490</v>
      </c>
      <c r="D21" s="7">
        <v>39264</v>
      </c>
      <c r="E21" s="8">
        <f t="shared" si="0"/>
        <v>-32.601334017444842</v>
      </c>
    </row>
    <row r="22" spans="1:5" ht="18" x14ac:dyDescent="0.2">
      <c r="A22" s="7">
        <v>38930</v>
      </c>
      <c r="B22" s="17">
        <v>19100</v>
      </c>
      <c r="D22" s="7">
        <v>39295</v>
      </c>
      <c r="E22" s="8">
        <f t="shared" si="0"/>
        <v>-50.240837696335085</v>
      </c>
    </row>
    <row r="23" spans="1:5" ht="18" x14ac:dyDescent="0.2">
      <c r="A23" s="7">
        <v>38961</v>
      </c>
      <c r="B23" s="17">
        <v>10001</v>
      </c>
      <c r="D23" s="7">
        <v>39326</v>
      </c>
      <c r="E23" s="8">
        <f t="shared" si="0"/>
        <v>-38.0961903809619</v>
      </c>
    </row>
    <row r="24" spans="1:5" ht="18" x14ac:dyDescent="0.2">
      <c r="A24" s="7">
        <v>38991</v>
      </c>
      <c r="B24" s="17">
        <v>8335</v>
      </c>
      <c r="D24" s="7">
        <v>39356</v>
      </c>
      <c r="E24" s="8">
        <f t="shared" si="0"/>
        <v>-28.974205158968207</v>
      </c>
    </row>
    <row r="25" spans="1:5" ht="18" x14ac:dyDescent="0.2">
      <c r="A25" s="7">
        <v>39022</v>
      </c>
      <c r="B25" s="17">
        <v>9520</v>
      </c>
      <c r="D25" s="7">
        <v>39387</v>
      </c>
      <c r="E25" s="8">
        <f t="shared" si="0"/>
        <v>-43.69747899159664</v>
      </c>
    </row>
    <row r="26" spans="1:5" ht="18" x14ac:dyDescent="0.2">
      <c r="A26" s="7">
        <v>39052</v>
      </c>
      <c r="B26" s="17">
        <v>14962</v>
      </c>
      <c r="D26" s="7">
        <v>39417</v>
      </c>
      <c r="E26" s="8">
        <f t="shared" si="0"/>
        <v>-30.470525330838122</v>
      </c>
    </row>
    <row r="27" spans="1:5" ht="18" x14ac:dyDescent="0.2">
      <c r="A27" s="7">
        <v>39083</v>
      </c>
      <c r="B27" s="17">
        <v>9375</v>
      </c>
      <c r="D27" s="7">
        <v>39448</v>
      </c>
      <c r="E27" s="8">
        <f t="shared" si="0"/>
        <v>-10.666666666666668</v>
      </c>
    </row>
    <row r="28" spans="1:5" ht="18" x14ac:dyDescent="0.2">
      <c r="A28" s="7">
        <v>39114</v>
      </c>
      <c r="B28" s="17">
        <v>10367</v>
      </c>
      <c r="D28" s="7">
        <v>39479</v>
      </c>
      <c r="E28" s="8">
        <f t="shared" si="0"/>
        <v>24.250024114980224</v>
      </c>
    </row>
    <row r="29" spans="1:5" ht="18" x14ac:dyDescent="0.2">
      <c r="A29" s="7">
        <v>39142</v>
      </c>
      <c r="B29" s="17">
        <v>14339</v>
      </c>
      <c r="D29" s="7">
        <v>39508</v>
      </c>
      <c r="E29" s="8">
        <f t="shared" si="0"/>
        <v>-29.088499895390196</v>
      </c>
    </row>
    <row r="30" spans="1:5" ht="18" x14ac:dyDescent="0.2">
      <c r="A30" s="7">
        <v>39173</v>
      </c>
      <c r="B30" s="17">
        <v>12047</v>
      </c>
      <c r="D30" s="7">
        <v>39539</v>
      </c>
      <c r="E30" s="8">
        <f t="shared" si="0"/>
        <v>1.2700257325475222</v>
      </c>
    </row>
    <row r="31" spans="1:5" ht="18" x14ac:dyDescent="0.2">
      <c r="A31" s="7">
        <v>39203</v>
      </c>
      <c r="B31" s="17">
        <v>10133</v>
      </c>
      <c r="D31" s="7">
        <v>39569</v>
      </c>
      <c r="E31" s="8">
        <f t="shared" si="0"/>
        <v>-16.618967729201621</v>
      </c>
    </row>
    <row r="32" spans="1:5" ht="18" x14ac:dyDescent="0.2">
      <c r="A32" s="7">
        <v>39234</v>
      </c>
      <c r="B32" s="17">
        <v>10371</v>
      </c>
      <c r="D32" s="7">
        <v>39600</v>
      </c>
      <c r="E32" s="8">
        <f t="shared" si="0"/>
        <v>-29.784977340661463</v>
      </c>
    </row>
    <row r="33" spans="1:5" ht="18" x14ac:dyDescent="0.2">
      <c r="A33" s="7">
        <v>39264</v>
      </c>
      <c r="B33" s="17">
        <v>13136</v>
      </c>
      <c r="D33" s="7">
        <v>39630</v>
      </c>
      <c r="E33" s="8">
        <f t="shared" si="0"/>
        <v>-43.011571254567599</v>
      </c>
    </row>
    <row r="34" spans="1:5" ht="18" x14ac:dyDescent="0.2">
      <c r="A34" s="7">
        <v>39295</v>
      </c>
      <c r="B34" s="17">
        <v>9504</v>
      </c>
      <c r="D34" s="7">
        <v>39661</v>
      </c>
      <c r="E34" s="8">
        <f t="shared" si="0"/>
        <v>18.644781144781145</v>
      </c>
    </row>
    <row r="35" spans="1:5" ht="18" x14ac:dyDescent="0.2">
      <c r="A35" s="7">
        <v>39326</v>
      </c>
      <c r="B35" s="17">
        <v>6191</v>
      </c>
      <c r="D35" s="7">
        <v>39692</v>
      </c>
      <c r="E35" s="8">
        <f t="shared" si="0"/>
        <v>-16.13632692618317</v>
      </c>
    </row>
    <row r="36" spans="1:5" ht="18" x14ac:dyDescent="0.2">
      <c r="A36" s="7">
        <v>39356</v>
      </c>
      <c r="B36" s="17">
        <v>5920</v>
      </c>
      <c r="D36" s="7">
        <v>39722</v>
      </c>
      <c r="E36" s="8">
        <f t="shared" si="0"/>
        <v>-15.878378378378377</v>
      </c>
    </row>
    <row r="37" spans="1:5" ht="18" x14ac:dyDescent="0.2">
      <c r="A37" s="7">
        <v>39387</v>
      </c>
      <c r="B37" s="17">
        <v>5360</v>
      </c>
      <c r="D37" s="7">
        <v>39753</v>
      </c>
      <c r="E37" s="8">
        <f t="shared" si="0"/>
        <v>4.4962686567164178</v>
      </c>
    </row>
    <row r="38" spans="1:5" ht="18" x14ac:dyDescent="0.2">
      <c r="A38" s="7">
        <v>39417</v>
      </c>
      <c r="B38" s="17">
        <v>10403</v>
      </c>
      <c r="D38" s="7">
        <v>39783</v>
      </c>
      <c r="E38" s="8">
        <f t="shared" si="0"/>
        <v>-35.25905988657118</v>
      </c>
    </row>
    <row r="39" spans="1:5" ht="18" x14ac:dyDescent="0.2">
      <c r="A39" s="7">
        <v>39448</v>
      </c>
      <c r="B39" s="17">
        <v>8375</v>
      </c>
      <c r="D39" s="7">
        <v>39814</v>
      </c>
      <c r="E39" s="8">
        <f t="shared" si="0"/>
        <v>-20.250746268656716</v>
      </c>
    </row>
    <row r="40" spans="1:5" ht="18" x14ac:dyDescent="0.2">
      <c r="A40" s="7">
        <v>39479</v>
      </c>
      <c r="B40" s="17">
        <v>12881</v>
      </c>
      <c r="D40" s="7">
        <v>39845</v>
      </c>
      <c r="E40" s="8">
        <f t="shared" si="0"/>
        <v>-48.156199052868566</v>
      </c>
    </row>
    <row r="41" spans="1:5" ht="18" x14ac:dyDescent="0.2">
      <c r="A41" s="7">
        <v>39508</v>
      </c>
      <c r="B41" s="17">
        <v>10168</v>
      </c>
      <c r="D41" s="7">
        <v>39873</v>
      </c>
      <c r="E41" s="8">
        <f t="shared" si="0"/>
        <v>-33.231707317073173</v>
      </c>
    </row>
    <row r="42" spans="1:5" ht="18" x14ac:dyDescent="0.2">
      <c r="A42" s="7">
        <v>39539</v>
      </c>
      <c r="B42" s="17">
        <v>12200</v>
      </c>
      <c r="D42" s="7">
        <v>39904</v>
      </c>
      <c r="E42" s="8">
        <f t="shared" si="0"/>
        <v>-46.155737704918032</v>
      </c>
    </row>
    <row r="43" spans="1:5" ht="18" x14ac:dyDescent="0.2">
      <c r="A43" s="7">
        <v>39569</v>
      </c>
      <c r="B43" s="17">
        <v>8449</v>
      </c>
      <c r="D43" s="7">
        <v>39934</v>
      </c>
      <c r="E43" s="8">
        <f t="shared" si="0"/>
        <v>-12.273641851106639</v>
      </c>
    </row>
    <row r="44" spans="1:5" ht="18" x14ac:dyDescent="0.2">
      <c r="A44" s="7">
        <v>39600</v>
      </c>
      <c r="B44" s="17">
        <v>7282</v>
      </c>
      <c r="D44" s="7">
        <v>39965</v>
      </c>
      <c r="E44" s="8">
        <f t="shared" si="0"/>
        <v>12.208184564680034</v>
      </c>
    </row>
    <row r="45" spans="1:5" ht="18" x14ac:dyDescent="0.2">
      <c r="A45" s="7">
        <v>39630</v>
      </c>
      <c r="B45" s="17">
        <v>7486</v>
      </c>
      <c r="D45" s="7">
        <v>39995</v>
      </c>
      <c r="E45" s="8">
        <f t="shared" si="0"/>
        <v>-15.308576008549293</v>
      </c>
    </row>
    <row r="46" spans="1:5" ht="18" x14ac:dyDescent="0.2">
      <c r="A46" s="7">
        <v>39661</v>
      </c>
      <c r="B46" s="17">
        <v>11276</v>
      </c>
      <c r="D46" s="7">
        <v>40026</v>
      </c>
      <c r="E46" s="8">
        <f t="shared" si="0"/>
        <v>-30.826534231997162</v>
      </c>
    </row>
    <row r="47" spans="1:5" ht="18" x14ac:dyDescent="0.2">
      <c r="A47" s="7">
        <v>39692</v>
      </c>
      <c r="B47" s="17">
        <v>5192</v>
      </c>
      <c r="D47" s="7">
        <v>40057</v>
      </c>
      <c r="E47" s="8">
        <f t="shared" si="0"/>
        <v>4.7380585516178737</v>
      </c>
    </row>
    <row r="48" spans="1:5" ht="18" x14ac:dyDescent="0.2">
      <c r="A48" s="7">
        <v>39722</v>
      </c>
      <c r="B48" s="17">
        <v>4980</v>
      </c>
      <c r="D48" s="7">
        <v>40087</v>
      </c>
      <c r="E48" s="8">
        <f t="shared" si="0"/>
        <v>27.289156626506024</v>
      </c>
    </row>
    <row r="49" spans="1:5" ht="18" x14ac:dyDescent="0.2">
      <c r="A49" s="7">
        <v>39753</v>
      </c>
      <c r="B49" s="17">
        <v>5601</v>
      </c>
      <c r="D49" s="7">
        <v>40118</v>
      </c>
      <c r="E49" s="8">
        <f t="shared" si="0"/>
        <v>16.086413140510622</v>
      </c>
    </row>
    <row r="50" spans="1:5" ht="18" x14ac:dyDescent="0.2">
      <c r="A50" s="7">
        <v>39783</v>
      </c>
      <c r="B50" s="17">
        <v>6735</v>
      </c>
      <c r="D50" s="7">
        <v>40148</v>
      </c>
      <c r="E50" s="8">
        <f t="shared" si="0"/>
        <v>36.362286562732002</v>
      </c>
    </row>
    <row r="51" spans="1:5" ht="18" x14ac:dyDescent="0.2">
      <c r="A51" s="7">
        <v>39814</v>
      </c>
      <c r="B51" s="17">
        <v>6679</v>
      </c>
      <c r="D51" s="7">
        <v>40179</v>
      </c>
      <c r="E51" s="8">
        <f t="shared" si="0"/>
        <v>-27.15975445425962</v>
      </c>
    </row>
    <row r="52" spans="1:5" ht="18" x14ac:dyDescent="0.2">
      <c r="A52" s="7">
        <v>39845</v>
      </c>
      <c r="B52" s="17">
        <v>6678</v>
      </c>
      <c r="D52" s="7">
        <v>40210</v>
      </c>
      <c r="E52" s="8">
        <f t="shared" si="0"/>
        <v>-8.9847259658580425E-2</v>
      </c>
    </row>
    <row r="53" spans="1:5" ht="18" x14ac:dyDescent="0.2">
      <c r="A53" s="7">
        <v>39873</v>
      </c>
      <c r="B53" s="17">
        <v>6789</v>
      </c>
      <c r="D53" s="7">
        <v>40238</v>
      </c>
      <c r="E53" s="8">
        <f t="shared" si="0"/>
        <v>53.660332891442039</v>
      </c>
    </row>
    <row r="54" spans="1:5" ht="18" x14ac:dyDescent="0.2">
      <c r="A54" s="7">
        <v>39904</v>
      </c>
      <c r="B54" s="17">
        <v>6569</v>
      </c>
      <c r="D54" s="7">
        <v>40269</v>
      </c>
      <c r="E54" s="8">
        <f t="shared" si="0"/>
        <v>41.90896635713198</v>
      </c>
    </row>
    <row r="55" spans="1:5" ht="18" x14ac:dyDescent="0.2">
      <c r="A55" s="7">
        <v>39934</v>
      </c>
      <c r="B55" s="17">
        <v>7412</v>
      </c>
      <c r="D55" s="7">
        <v>40299</v>
      </c>
      <c r="E55" s="8">
        <f t="shared" si="0"/>
        <v>32.676740420939012</v>
      </c>
    </row>
    <row r="56" spans="1:5" ht="18" x14ac:dyDescent="0.2">
      <c r="A56" s="7">
        <v>39965</v>
      </c>
      <c r="B56" s="17">
        <v>8171</v>
      </c>
      <c r="D56" s="7">
        <v>40330</v>
      </c>
      <c r="E56" s="8">
        <f t="shared" si="0"/>
        <v>9.9742993513645821</v>
      </c>
    </row>
    <row r="57" spans="1:5" ht="18" x14ac:dyDescent="0.2">
      <c r="A57" s="7">
        <v>39995</v>
      </c>
      <c r="B57" s="17">
        <v>6340</v>
      </c>
      <c r="D57" s="7">
        <v>40360</v>
      </c>
      <c r="E57" s="8">
        <f t="shared" si="0"/>
        <v>50.946372239747639</v>
      </c>
    </row>
    <row r="58" spans="1:5" ht="18" x14ac:dyDescent="0.2">
      <c r="A58" s="7">
        <v>40026</v>
      </c>
      <c r="B58" s="17">
        <v>7800</v>
      </c>
      <c r="D58" s="7">
        <v>40391</v>
      </c>
      <c r="E58" s="8">
        <f t="shared" si="0"/>
        <v>8.7692307692307701</v>
      </c>
    </row>
    <row r="59" spans="1:5" ht="18" x14ac:dyDescent="0.2">
      <c r="A59" s="7">
        <v>40057</v>
      </c>
      <c r="B59" s="17">
        <v>5438</v>
      </c>
      <c r="D59" s="7">
        <v>40422</v>
      </c>
      <c r="E59" s="8">
        <f t="shared" si="0"/>
        <v>48.197866862817214</v>
      </c>
    </row>
    <row r="60" spans="1:5" ht="18" x14ac:dyDescent="0.2">
      <c r="A60" s="7">
        <v>40087</v>
      </c>
      <c r="B60" s="17">
        <v>6339</v>
      </c>
      <c r="D60" s="7">
        <v>40452</v>
      </c>
      <c r="E60" s="8">
        <f t="shared" si="0"/>
        <v>28.868906767628964</v>
      </c>
    </row>
    <row r="61" spans="1:5" ht="18" x14ac:dyDescent="0.2">
      <c r="A61" s="7">
        <v>40118</v>
      </c>
      <c r="B61" s="17">
        <v>6502</v>
      </c>
      <c r="D61" s="7">
        <v>40483</v>
      </c>
      <c r="E61" s="8">
        <f t="shared" si="0"/>
        <v>16.779452476161179</v>
      </c>
    </row>
    <row r="62" spans="1:5" ht="18" x14ac:dyDescent="0.2">
      <c r="A62" s="7">
        <v>40148</v>
      </c>
      <c r="B62" s="17">
        <v>9184</v>
      </c>
      <c r="D62" s="7">
        <v>40513</v>
      </c>
      <c r="E62" s="8">
        <f t="shared" si="0"/>
        <v>12.5544425087108</v>
      </c>
    </row>
    <row r="63" spans="1:5" ht="18" x14ac:dyDescent="0.2">
      <c r="A63" s="7">
        <v>40179</v>
      </c>
      <c r="B63" s="17">
        <v>4865</v>
      </c>
      <c r="D63" s="7">
        <v>40544</v>
      </c>
      <c r="E63" s="8">
        <f t="shared" si="0"/>
        <v>37.780061664953749</v>
      </c>
    </row>
    <row r="64" spans="1:5" ht="18" x14ac:dyDescent="0.2">
      <c r="A64" s="7">
        <v>40210</v>
      </c>
      <c r="B64" s="17">
        <v>6672</v>
      </c>
      <c r="D64" s="7">
        <v>40575</v>
      </c>
      <c r="E64" s="8">
        <f t="shared" si="0"/>
        <v>23.261390887290169</v>
      </c>
    </row>
    <row r="65" spans="1:5" ht="18" x14ac:dyDescent="0.2">
      <c r="A65" s="7">
        <v>40238</v>
      </c>
      <c r="B65" s="17">
        <v>10432</v>
      </c>
      <c r="D65" s="7">
        <v>40603</v>
      </c>
      <c r="E65" s="8">
        <f t="shared" si="0"/>
        <v>-7.8987730061349692</v>
      </c>
    </row>
    <row r="66" spans="1:5" ht="18" x14ac:dyDescent="0.2">
      <c r="A66" s="7">
        <v>40269</v>
      </c>
      <c r="B66" s="17">
        <v>9322</v>
      </c>
      <c r="D66" s="7">
        <v>40634</v>
      </c>
      <c r="E66" s="8">
        <f t="shared" si="0"/>
        <v>1.7807337481227203</v>
      </c>
    </row>
    <row r="67" spans="1:5" ht="18" x14ac:dyDescent="0.2">
      <c r="A67" s="7">
        <v>40299</v>
      </c>
      <c r="B67" s="17">
        <v>9834</v>
      </c>
      <c r="D67" s="7">
        <v>40664</v>
      </c>
      <c r="E67" s="8">
        <f t="shared" ref="E67:E130" si="1">(B79-B67)/B67*100</f>
        <v>-12.955053894651211</v>
      </c>
    </row>
    <row r="68" spans="1:5" ht="18" x14ac:dyDescent="0.2">
      <c r="A68" s="7">
        <v>40330</v>
      </c>
      <c r="B68" s="17">
        <v>8986</v>
      </c>
      <c r="D68" s="7">
        <v>40695</v>
      </c>
      <c r="E68" s="8">
        <f t="shared" si="1"/>
        <v>0.54529267749833066</v>
      </c>
    </row>
    <row r="69" spans="1:5" ht="18" x14ac:dyDescent="0.2">
      <c r="A69" s="7">
        <v>40360</v>
      </c>
      <c r="B69" s="17">
        <v>9570</v>
      </c>
      <c r="D69" s="7">
        <v>40725</v>
      </c>
      <c r="E69" s="8">
        <f t="shared" si="1"/>
        <v>4.0125391849529786</v>
      </c>
    </row>
    <row r="70" spans="1:5" ht="18" x14ac:dyDescent="0.2">
      <c r="A70" s="7">
        <v>40391</v>
      </c>
      <c r="B70" s="17">
        <v>8484</v>
      </c>
      <c r="D70" s="7">
        <v>40756</v>
      </c>
      <c r="E70" s="8">
        <f t="shared" si="1"/>
        <v>15.806223479490805</v>
      </c>
    </row>
    <row r="71" spans="1:5" ht="18" x14ac:dyDescent="0.2">
      <c r="A71" s="7">
        <v>40422</v>
      </c>
      <c r="B71" s="17">
        <v>8059</v>
      </c>
      <c r="D71" s="7">
        <v>40787</v>
      </c>
      <c r="E71" s="8">
        <f t="shared" si="1"/>
        <v>27.881871199900733</v>
      </c>
    </row>
    <row r="72" spans="1:5" ht="18" x14ac:dyDescent="0.2">
      <c r="A72" s="7">
        <v>40452</v>
      </c>
      <c r="B72" s="17">
        <v>8169</v>
      </c>
      <c r="D72" s="7">
        <v>40817</v>
      </c>
      <c r="E72" s="8">
        <f t="shared" si="1"/>
        <v>52.601297588444119</v>
      </c>
    </row>
    <row r="73" spans="1:5" ht="18" x14ac:dyDescent="0.2">
      <c r="A73" s="7">
        <v>40483</v>
      </c>
      <c r="B73" s="17">
        <v>7593</v>
      </c>
      <c r="D73" s="7">
        <v>40848</v>
      </c>
      <c r="E73" s="8">
        <f t="shared" si="1"/>
        <v>38.114052416699593</v>
      </c>
    </row>
    <row r="74" spans="1:5" ht="18" x14ac:dyDescent="0.2">
      <c r="A74" s="7">
        <v>40513</v>
      </c>
      <c r="B74" s="17">
        <v>10337</v>
      </c>
      <c r="D74" s="7">
        <v>40878</v>
      </c>
      <c r="E74" s="8">
        <f t="shared" si="1"/>
        <v>12.614878591467543</v>
      </c>
    </row>
    <row r="75" spans="1:5" ht="18" x14ac:dyDescent="0.2">
      <c r="A75" s="7">
        <v>40544</v>
      </c>
      <c r="B75" s="17">
        <v>6703</v>
      </c>
      <c r="D75" s="7">
        <v>40909</v>
      </c>
      <c r="E75" s="8">
        <f t="shared" si="1"/>
        <v>-5.0425182753990754</v>
      </c>
    </row>
    <row r="76" spans="1:5" ht="18" x14ac:dyDescent="0.2">
      <c r="A76" s="7">
        <v>40575</v>
      </c>
      <c r="B76" s="17">
        <v>8224</v>
      </c>
      <c r="D76" s="7">
        <v>40940</v>
      </c>
      <c r="E76" s="8">
        <f t="shared" si="1"/>
        <v>115.92898832684826</v>
      </c>
    </row>
    <row r="77" spans="1:5" ht="18" x14ac:dyDescent="0.2">
      <c r="A77" s="7">
        <v>40603</v>
      </c>
      <c r="B77" s="17">
        <v>9608</v>
      </c>
      <c r="D77" s="7">
        <v>40969</v>
      </c>
      <c r="E77" s="8">
        <f t="shared" si="1"/>
        <v>5.089508742714405</v>
      </c>
    </row>
    <row r="78" spans="1:5" ht="18" x14ac:dyDescent="0.2">
      <c r="A78" s="7">
        <v>40634</v>
      </c>
      <c r="B78" s="17">
        <v>9488</v>
      </c>
      <c r="D78" s="7">
        <v>41000</v>
      </c>
      <c r="E78" s="8">
        <f t="shared" si="1"/>
        <v>-6.9666947723440131</v>
      </c>
    </row>
    <row r="79" spans="1:5" ht="18" x14ac:dyDescent="0.2">
      <c r="A79" s="7">
        <v>40664</v>
      </c>
      <c r="B79" s="17">
        <v>8560</v>
      </c>
      <c r="D79" s="7">
        <v>41030</v>
      </c>
      <c r="E79" s="8">
        <f t="shared" si="1"/>
        <v>25.572429906542055</v>
      </c>
    </row>
    <row r="80" spans="1:5" ht="18" x14ac:dyDescent="0.2">
      <c r="A80" s="7">
        <v>40695</v>
      </c>
      <c r="B80" s="17">
        <v>9035</v>
      </c>
      <c r="D80" s="7">
        <v>41061</v>
      </c>
      <c r="E80" s="8">
        <f t="shared" si="1"/>
        <v>10.226895406751522</v>
      </c>
    </row>
    <row r="81" spans="1:5" ht="18" x14ac:dyDescent="0.2">
      <c r="A81" s="7">
        <v>40725</v>
      </c>
      <c r="B81" s="17">
        <v>9954</v>
      </c>
      <c r="D81" s="7">
        <v>41091</v>
      </c>
      <c r="E81" s="8">
        <f t="shared" si="1"/>
        <v>-1.9791038778380552</v>
      </c>
    </row>
    <row r="82" spans="1:5" ht="18" x14ac:dyDescent="0.2">
      <c r="A82" s="7">
        <v>40756</v>
      </c>
      <c r="B82" s="17">
        <v>9825</v>
      </c>
      <c r="D82" s="7">
        <v>41122</v>
      </c>
      <c r="E82" s="8">
        <f t="shared" si="1"/>
        <v>7.989821882951655</v>
      </c>
    </row>
    <row r="83" spans="1:5" ht="18" x14ac:dyDescent="0.2">
      <c r="A83" s="7">
        <v>40787</v>
      </c>
      <c r="B83" s="17">
        <v>10306</v>
      </c>
      <c r="D83" s="7">
        <v>41153</v>
      </c>
      <c r="E83" s="8">
        <f t="shared" si="1"/>
        <v>-2.5325053366970698</v>
      </c>
    </row>
    <row r="84" spans="1:5" ht="18" x14ac:dyDescent="0.2">
      <c r="A84" s="7">
        <v>40817</v>
      </c>
      <c r="B84" s="17">
        <v>12466</v>
      </c>
      <c r="D84" s="7">
        <v>41183</v>
      </c>
      <c r="E84" s="8">
        <f t="shared" si="1"/>
        <v>-29.183378790309643</v>
      </c>
    </row>
    <row r="85" spans="1:5" ht="18" x14ac:dyDescent="0.2">
      <c r="A85" s="7">
        <v>40848</v>
      </c>
      <c r="B85" s="17">
        <v>10487</v>
      </c>
      <c r="D85" s="7">
        <v>41214</v>
      </c>
      <c r="E85" s="8">
        <f t="shared" si="1"/>
        <v>-10.689425002383905</v>
      </c>
    </row>
    <row r="86" spans="1:5" ht="18" x14ac:dyDescent="0.2">
      <c r="A86" s="7">
        <v>40878</v>
      </c>
      <c r="B86" s="17">
        <v>11641</v>
      </c>
      <c r="D86" s="7">
        <v>41244</v>
      </c>
      <c r="E86" s="8">
        <f t="shared" si="1"/>
        <v>-2.3623400051541963</v>
      </c>
    </row>
    <row r="87" spans="1:5" ht="18" x14ac:dyDescent="0.2">
      <c r="A87" s="7">
        <v>40909</v>
      </c>
      <c r="B87" s="17">
        <v>6365</v>
      </c>
      <c r="D87" s="7">
        <v>41275</v>
      </c>
      <c r="E87" s="8">
        <f t="shared" si="1"/>
        <v>16.339355852317361</v>
      </c>
    </row>
    <row r="88" spans="1:5" ht="18" x14ac:dyDescent="0.2">
      <c r="A88" s="7">
        <v>40940</v>
      </c>
      <c r="B88" s="17">
        <v>17758</v>
      </c>
      <c r="D88" s="7">
        <v>41306</v>
      </c>
      <c r="E88" s="8">
        <f t="shared" si="1"/>
        <v>-45.861020385178513</v>
      </c>
    </row>
    <row r="89" spans="1:5" ht="18" x14ac:dyDescent="0.2">
      <c r="A89" s="7">
        <v>40969</v>
      </c>
      <c r="B89" s="17">
        <v>10097</v>
      </c>
      <c r="D89" s="7">
        <v>41334</v>
      </c>
      <c r="E89" s="8">
        <f t="shared" si="1"/>
        <v>10.993364365653164</v>
      </c>
    </row>
    <row r="90" spans="1:5" ht="18" x14ac:dyDescent="0.2">
      <c r="A90" s="7">
        <v>41000</v>
      </c>
      <c r="B90" s="17">
        <v>8827</v>
      </c>
      <c r="D90" s="7">
        <v>41365</v>
      </c>
      <c r="E90" s="8">
        <f t="shared" si="1"/>
        <v>20.233374872550129</v>
      </c>
    </row>
    <row r="91" spans="1:5" ht="18" x14ac:dyDescent="0.2">
      <c r="A91" s="7">
        <v>41030</v>
      </c>
      <c r="B91" s="17">
        <v>10749</v>
      </c>
      <c r="D91" s="7">
        <v>41395</v>
      </c>
      <c r="E91" s="8">
        <f t="shared" si="1"/>
        <v>11.294073867336497</v>
      </c>
    </row>
    <row r="92" spans="1:5" ht="18" x14ac:dyDescent="0.2">
      <c r="A92" s="7">
        <v>41061</v>
      </c>
      <c r="B92" s="17">
        <v>9959</v>
      </c>
      <c r="D92" s="7">
        <v>41426</v>
      </c>
      <c r="E92" s="8">
        <f t="shared" si="1"/>
        <v>21.347524851892761</v>
      </c>
    </row>
    <row r="93" spans="1:5" ht="18" x14ac:dyDescent="0.2">
      <c r="A93" s="7">
        <v>41091</v>
      </c>
      <c r="B93" s="17">
        <v>9757</v>
      </c>
      <c r="D93" s="7">
        <v>41456</v>
      </c>
      <c r="E93" s="8">
        <f t="shared" si="1"/>
        <v>32.54073998155171</v>
      </c>
    </row>
    <row r="94" spans="1:5" ht="18" x14ac:dyDescent="0.2">
      <c r="A94" s="7">
        <v>41122</v>
      </c>
      <c r="B94" s="17">
        <v>10610</v>
      </c>
      <c r="D94" s="7">
        <v>41487</v>
      </c>
      <c r="E94" s="8">
        <f t="shared" si="1"/>
        <v>40.216776625824693</v>
      </c>
    </row>
    <row r="95" spans="1:5" ht="18" x14ac:dyDescent="0.2">
      <c r="A95" s="7">
        <v>41153</v>
      </c>
      <c r="B95" s="17">
        <v>10045</v>
      </c>
      <c r="D95" s="7">
        <v>41518</v>
      </c>
      <c r="E95" s="8">
        <f t="shared" si="1"/>
        <v>-3.8427078148332501</v>
      </c>
    </row>
    <row r="96" spans="1:5" ht="18" x14ac:dyDescent="0.2">
      <c r="A96" s="7">
        <v>41183</v>
      </c>
      <c r="B96" s="17">
        <v>8828</v>
      </c>
      <c r="D96" s="7">
        <v>41548</v>
      </c>
      <c r="E96" s="8">
        <f t="shared" si="1"/>
        <v>4.2365201631173539</v>
      </c>
    </row>
    <row r="97" spans="1:5" ht="18" x14ac:dyDescent="0.2">
      <c r="A97" s="7">
        <v>41214</v>
      </c>
      <c r="B97" s="17">
        <v>9366</v>
      </c>
      <c r="D97" s="7">
        <v>41579</v>
      </c>
      <c r="E97" s="8">
        <f t="shared" si="1"/>
        <v>-12.98313047191971</v>
      </c>
    </row>
    <row r="98" spans="1:5" ht="18" x14ac:dyDescent="0.2">
      <c r="A98" s="7">
        <v>41244</v>
      </c>
      <c r="B98" s="17">
        <v>11366</v>
      </c>
      <c r="D98" s="7">
        <v>41609</v>
      </c>
      <c r="E98" s="8">
        <f t="shared" si="1"/>
        <v>-21.071617103642442</v>
      </c>
    </row>
    <row r="99" spans="1:5" ht="18" x14ac:dyDescent="0.2">
      <c r="A99" s="7">
        <v>41275</v>
      </c>
      <c r="B99" s="17">
        <v>7405</v>
      </c>
      <c r="D99" s="7">
        <v>41640</v>
      </c>
      <c r="E99" s="8">
        <f t="shared" si="1"/>
        <v>-15.948683322079676</v>
      </c>
    </row>
    <row r="100" spans="1:5" ht="18" x14ac:dyDescent="0.2">
      <c r="A100" s="7">
        <v>41306</v>
      </c>
      <c r="B100" s="17">
        <v>9614</v>
      </c>
      <c r="D100" s="7">
        <v>41671</v>
      </c>
      <c r="E100" s="8">
        <f t="shared" si="1"/>
        <v>-28.094445600166424</v>
      </c>
    </row>
    <row r="101" spans="1:5" ht="18" x14ac:dyDescent="0.2">
      <c r="A101" s="7">
        <v>41334</v>
      </c>
      <c r="B101" s="17">
        <v>11207</v>
      </c>
      <c r="D101" s="7">
        <v>41699</v>
      </c>
      <c r="E101" s="8">
        <f t="shared" si="1"/>
        <v>-20.638886410279291</v>
      </c>
    </row>
    <row r="102" spans="1:5" ht="18" x14ac:dyDescent="0.2">
      <c r="A102" s="7">
        <v>41365</v>
      </c>
      <c r="B102" s="17">
        <v>10613</v>
      </c>
      <c r="D102" s="7">
        <v>41730</v>
      </c>
      <c r="E102" s="8">
        <f t="shared" si="1"/>
        <v>-17.412607179873739</v>
      </c>
    </row>
    <row r="103" spans="1:5" ht="18" x14ac:dyDescent="0.2">
      <c r="A103" s="7">
        <v>41395</v>
      </c>
      <c r="B103" s="17">
        <v>11963</v>
      </c>
      <c r="D103" s="7">
        <v>41760</v>
      </c>
      <c r="E103" s="8">
        <f t="shared" si="1"/>
        <v>-15.95753573518348</v>
      </c>
    </row>
    <row r="104" spans="1:5" ht="18" x14ac:dyDescent="0.2">
      <c r="A104" s="7">
        <v>41426</v>
      </c>
      <c r="B104" s="17">
        <v>12085</v>
      </c>
      <c r="D104" s="7">
        <v>41791</v>
      </c>
      <c r="E104" s="8">
        <f t="shared" si="1"/>
        <v>-18.659495242035582</v>
      </c>
    </row>
    <row r="105" spans="1:5" ht="18" x14ac:dyDescent="0.2">
      <c r="A105" s="7">
        <v>41456</v>
      </c>
      <c r="B105" s="17">
        <v>12932</v>
      </c>
      <c r="D105" s="7">
        <v>41821</v>
      </c>
      <c r="E105" s="8">
        <f t="shared" si="1"/>
        <v>-15.457779152489948</v>
      </c>
    </row>
    <row r="106" spans="1:5" ht="18" x14ac:dyDescent="0.2">
      <c r="A106" s="7">
        <v>41487</v>
      </c>
      <c r="B106" s="17">
        <v>14877</v>
      </c>
      <c r="D106" s="7">
        <v>41852</v>
      </c>
      <c r="E106" s="8">
        <f t="shared" si="1"/>
        <v>-27.337500840223161</v>
      </c>
    </row>
    <row r="107" spans="1:5" ht="18" x14ac:dyDescent="0.2">
      <c r="A107" s="7">
        <v>41518</v>
      </c>
      <c r="B107" s="17">
        <v>9659</v>
      </c>
      <c r="D107" s="7">
        <v>41883</v>
      </c>
      <c r="E107" s="8">
        <f t="shared" si="1"/>
        <v>-18.997825861890465</v>
      </c>
    </row>
    <row r="108" spans="1:5" ht="18" x14ac:dyDescent="0.2">
      <c r="A108" s="7">
        <v>41548</v>
      </c>
      <c r="B108" s="17">
        <v>9202</v>
      </c>
      <c r="D108" s="7">
        <v>41913</v>
      </c>
      <c r="E108" s="8">
        <f t="shared" si="1"/>
        <v>-14.116496413823082</v>
      </c>
    </row>
    <row r="109" spans="1:5" ht="18" x14ac:dyDescent="0.2">
      <c r="A109" s="7">
        <v>41579</v>
      </c>
      <c r="B109" s="17">
        <v>8150</v>
      </c>
      <c r="D109" s="7">
        <v>41944</v>
      </c>
      <c r="E109" s="8">
        <f t="shared" si="1"/>
        <v>13.226993865030675</v>
      </c>
    </row>
    <row r="110" spans="1:5" ht="18" x14ac:dyDescent="0.2">
      <c r="A110" s="7">
        <v>41609</v>
      </c>
      <c r="B110" s="17">
        <v>8971</v>
      </c>
      <c r="D110" s="7">
        <v>41974</v>
      </c>
      <c r="E110" s="8">
        <f t="shared" si="1"/>
        <v>27.956749526251258</v>
      </c>
    </row>
    <row r="111" spans="1:5" ht="18" x14ac:dyDescent="0.2">
      <c r="A111" s="7">
        <v>41640</v>
      </c>
      <c r="B111" s="17">
        <v>6224</v>
      </c>
      <c r="D111" s="7">
        <v>42005</v>
      </c>
      <c r="E111" s="8">
        <f t="shared" si="1"/>
        <v>97.863110539845749</v>
      </c>
    </row>
    <row r="112" spans="1:5" ht="18" x14ac:dyDescent="0.2">
      <c r="A112" s="7">
        <v>41671</v>
      </c>
      <c r="B112" s="17">
        <v>6913</v>
      </c>
      <c r="D112" s="7">
        <v>42036</v>
      </c>
      <c r="E112" s="8">
        <f t="shared" si="1"/>
        <v>82.684796759728059</v>
      </c>
    </row>
    <row r="113" spans="1:5" ht="18" x14ac:dyDescent="0.2">
      <c r="A113" s="7">
        <v>41699</v>
      </c>
      <c r="B113" s="17">
        <v>8894</v>
      </c>
      <c r="D113" s="7">
        <v>42064</v>
      </c>
      <c r="E113" s="8">
        <f t="shared" si="1"/>
        <v>34.21407690577918</v>
      </c>
    </row>
    <row r="114" spans="1:5" ht="18" x14ac:dyDescent="0.2">
      <c r="A114" s="7">
        <v>41730</v>
      </c>
      <c r="B114" s="17">
        <v>8765</v>
      </c>
      <c r="D114" s="7">
        <v>42095</v>
      </c>
      <c r="E114" s="8">
        <f t="shared" si="1"/>
        <v>28.031945236737023</v>
      </c>
    </row>
    <row r="115" spans="1:5" ht="18" x14ac:dyDescent="0.2">
      <c r="A115" s="7">
        <v>41760</v>
      </c>
      <c r="B115" s="17">
        <v>10054</v>
      </c>
      <c r="D115" s="7">
        <v>42125</v>
      </c>
      <c r="E115" s="8">
        <f t="shared" si="1"/>
        <v>16.968370797692462</v>
      </c>
    </row>
    <row r="116" spans="1:5" ht="18" x14ac:dyDescent="0.2">
      <c r="A116" s="7">
        <v>41791</v>
      </c>
      <c r="B116" s="17">
        <v>9830</v>
      </c>
      <c r="D116" s="7">
        <v>42156</v>
      </c>
      <c r="E116" s="8">
        <f t="shared" si="1"/>
        <v>-7.4974567650050865</v>
      </c>
    </row>
    <row r="117" spans="1:5" ht="18" x14ac:dyDescent="0.2">
      <c r="A117" s="7">
        <v>41821</v>
      </c>
      <c r="B117" s="17">
        <v>10933</v>
      </c>
      <c r="D117" s="7">
        <v>42186</v>
      </c>
      <c r="E117" s="8">
        <f t="shared" si="1"/>
        <v>-12.338790816793194</v>
      </c>
    </row>
    <row r="118" spans="1:5" ht="18" x14ac:dyDescent="0.2">
      <c r="A118" s="7">
        <v>41852</v>
      </c>
      <c r="B118" s="17">
        <v>10810</v>
      </c>
      <c r="D118" s="7">
        <v>42217</v>
      </c>
      <c r="E118" s="8">
        <f t="shared" si="1"/>
        <v>-5.6244218316373731</v>
      </c>
    </row>
    <row r="119" spans="1:5" ht="18" x14ac:dyDescent="0.2">
      <c r="A119" s="7">
        <v>41883</v>
      </c>
      <c r="B119" s="17">
        <v>7824</v>
      </c>
      <c r="D119" s="7">
        <v>42248</v>
      </c>
      <c r="E119" s="8">
        <f t="shared" si="1"/>
        <v>30.853783231083842</v>
      </c>
    </row>
    <row r="120" spans="1:5" ht="18" x14ac:dyDescent="0.2">
      <c r="A120" s="7">
        <v>41913</v>
      </c>
      <c r="B120" s="17">
        <v>7903</v>
      </c>
      <c r="D120" s="7">
        <v>42278</v>
      </c>
      <c r="E120" s="8">
        <f t="shared" si="1"/>
        <v>63.393647981779068</v>
      </c>
    </row>
    <row r="121" spans="1:5" ht="18" x14ac:dyDescent="0.2">
      <c r="A121" s="7">
        <v>41944</v>
      </c>
      <c r="B121" s="17">
        <v>9228</v>
      </c>
      <c r="D121" s="7">
        <v>42309</v>
      </c>
      <c r="E121" s="8">
        <f t="shared" si="1"/>
        <v>18.931512787169485</v>
      </c>
    </row>
    <row r="122" spans="1:5" ht="18" x14ac:dyDescent="0.2">
      <c r="A122" s="7">
        <v>41974</v>
      </c>
      <c r="B122" s="17">
        <v>11479</v>
      </c>
      <c r="D122" s="7">
        <v>42339</v>
      </c>
      <c r="E122" s="8">
        <f t="shared" si="1"/>
        <v>16.24705984841885</v>
      </c>
    </row>
    <row r="123" spans="1:5" ht="18" x14ac:dyDescent="0.2">
      <c r="A123" s="7">
        <v>42005</v>
      </c>
      <c r="B123" s="17">
        <v>12315</v>
      </c>
      <c r="D123" s="7">
        <v>42370</v>
      </c>
      <c r="E123" s="8">
        <f t="shared" si="1"/>
        <v>-30.483150629313844</v>
      </c>
    </row>
    <row r="124" spans="1:5" ht="18" x14ac:dyDescent="0.2">
      <c r="A124" s="7">
        <v>42036</v>
      </c>
      <c r="B124" s="17">
        <v>12629</v>
      </c>
      <c r="D124" s="7">
        <v>42401</v>
      </c>
      <c r="E124" s="8">
        <f t="shared" si="1"/>
        <v>-24.206192097553249</v>
      </c>
    </row>
    <row r="125" spans="1:5" ht="18" x14ac:dyDescent="0.2">
      <c r="A125" s="7">
        <v>42064</v>
      </c>
      <c r="B125" s="17">
        <v>11937</v>
      </c>
      <c r="D125" s="7">
        <v>42430</v>
      </c>
      <c r="E125" s="8">
        <f t="shared" si="1"/>
        <v>-11.25911032922845</v>
      </c>
    </row>
    <row r="126" spans="1:5" ht="18" x14ac:dyDescent="0.2">
      <c r="A126" s="7">
        <v>42095</v>
      </c>
      <c r="B126" s="17">
        <v>11222</v>
      </c>
      <c r="D126" s="7">
        <v>42461</v>
      </c>
      <c r="E126" s="8">
        <f t="shared" si="1"/>
        <v>1.3188379967920156</v>
      </c>
    </row>
    <row r="127" spans="1:5" ht="18" x14ac:dyDescent="0.2">
      <c r="A127" s="7">
        <v>42125</v>
      </c>
      <c r="B127" s="17">
        <v>11760</v>
      </c>
      <c r="D127" s="7">
        <v>42491</v>
      </c>
      <c r="E127" s="8">
        <f t="shared" si="1"/>
        <v>-4.353741496598639</v>
      </c>
    </row>
    <row r="128" spans="1:5" ht="18" x14ac:dyDescent="0.2">
      <c r="A128" s="7">
        <v>42156</v>
      </c>
      <c r="B128" s="17">
        <v>9093</v>
      </c>
      <c r="D128" s="7">
        <v>42522</v>
      </c>
      <c r="E128" s="8">
        <f t="shared" si="1"/>
        <v>19.102606400527876</v>
      </c>
    </row>
    <row r="129" spans="1:5" ht="18" x14ac:dyDescent="0.2">
      <c r="A129" s="7">
        <v>42186</v>
      </c>
      <c r="B129" s="17">
        <v>9584</v>
      </c>
      <c r="D129" s="7">
        <v>42552</v>
      </c>
      <c r="E129" s="8">
        <f t="shared" si="1"/>
        <v>7.9924874791318867</v>
      </c>
    </row>
    <row r="130" spans="1:5" ht="18" x14ac:dyDescent="0.2">
      <c r="A130" s="7">
        <v>42217</v>
      </c>
      <c r="B130" s="17">
        <v>10202</v>
      </c>
      <c r="D130" s="7">
        <v>42583</v>
      </c>
      <c r="E130" s="8">
        <f t="shared" si="1"/>
        <v>-9.145265634189375</v>
      </c>
    </row>
    <row r="131" spans="1:5" ht="18" x14ac:dyDescent="0.2">
      <c r="A131" s="7">
        <v>42248</v>
      </c>
      <c r="B131" s="17">
        <v>10238</v>
      </c>
      <c r="D131" s="7">
        <v>42614</v>
      </c>
      <c r="E131" s="8">
        <f t="shared" ref="E131:E194" si="2">(B143-B131)/B131*100</f>
        <v>-10.080093768314125</v>
      </c>
    </row>
    <row r="132" spans="1:5" ht="18" x14ac:dyDescent="0.2">
      <c r="A132" s="7">
        <v>42278</v>
      </c>
      <c r="B132" s="17">
        <v>12913</v>
      </c>
      <c r="D132" s="7">
        <v>42644</v>
      </c>
      <c r="E132" s="8">
        <f t="shared" si="2"/>
        <v>-32.804150855726789</v>
      </c>
    </row>
    <row r="133" spans="1:5" ht="18" x14ac:dyDescent="0.2">
      <c r="A133" s="7">
        <v>42309</v>
      </c>
      <c r="B133" s="17">
        <v>10975</v>
      </c>
      <c r="D133" s="7">
        <v>42675</v>
      </c>
      <c r="E133" s="8">
        <f t="shared" si="2"/>
        <v>-17.776765375854215</v>
      </c>
    </row>
    <row r="134" spans="1:5" ht="18" x14ac:dyDescent="0.2">
      <c r="A134" s="7">
        <v>42339</v>
      </c>
      <c r="B134" s="17">
        <v>13344</v>
      </c>
      <c r="D134" s="7">
        <v>42705</v>
      </c>
      <c r="E134" s="8">
        <f t="shared" si="2"/>
        <v>-9.5323741007194247</v>
      </c>
    </row>
    <row r="135" spans="1:5" ht="18" x14ac:dyDescent="0.2">
      <c r="A135" s="7">
        <v>42370</v>
      </c>
      <c r="B135" s="17">
        <v>8561</v>
      </c>
      <c r="D135" s="7">
        <v>42736</v>
      </c>
      <c r="E135" s="8">
        <f t="shared" si="2"/>
        <v>-16.13129307323911</v>
      </c>
    </row>
    <row r="136" spans="1:5" ht="18" x14ac:dyDescent="0.2">
      <c r="A136" s="7">
        <v>42401</v>
      </c>
      <c r="B136" s="17">
        <v>9572</v>
      </c>
      <c r="D136" s="7">
        <v>42767</v>
      </c>
      <c r="E136" s="8">
        <f t="shared" si="2"/>
        <v>-15.38863351441705</v>
      </c>
    </row>
    <row r="137" spans="1:5" ht="18" x14ac:dyDescent="0.2">
      <c r="A137" s="7">
        <v>42430</v>
      </c>
      <c r="B137" s="17">
        <v>10593</v>
      </c>
      <c r="D137" s="7">
        <v>42795</v>
      </c>
      <c r="E137" s="8">
        <f t="shared" si="2"/>
        <v>-6.117247238742566</v>
      </c>
    </row>
    <row r="138" spans="1:5" ht="18" x14ac:dyDescent="0.2">
      <c r="A138" s="7">
        <v>42461</v>
      </c>
      <c r="B138" s="17">
        <v>11370</v>
      </c>
      <c r="D138" s="7">
        <v>42826</v>
      </c>
      <c r="E138" s="8">
        <f t="shared" si="2"/>
        <v>-14.283201407211962</v>
      </c>
    </row>
    <row r="139" spans="1:5" ht="18" x14ac:dyDescent="0.2">
      <c r="A139" s="7">
        <v>42491</v>
      </c>
      <c r="B139" s="17">
        <v>11248</v>
      </c>
      <c r="D139" s="7">
        <v>42856</v>
      </c>
      <c r="E139" s="8">
        <f t="shared" si="2"/>
        <v>-11.308677098150783</v>
      </c>
    </row>
    <row r="140" spans="1:5" ht="18" x14ac:dyDescent="0.2">
      <c r="A140" s="7">
        <v>42522</v>
      </c>
      <c r="B140" s="17">
        <v>10830</v>
      </c>
      <c r="D140" s="7">
        <v>42887</v>
      </c>
      <c r="E140" s="8">
        <f t="shared" si="2"/>
        <v>-13.12096029547553</v>
      </c>
    </row>
    <row r="141" spans="1:5" ht="18" x14ac:dyDescent="0.2">
      <c r="A141" s="7">
        <v>42552</v>
      </c>
      <c r="B141" s="17">
        <v>10350</v>
      </c>
      <c r="D141" s="7">
        <v>42917</v>
      </c>
      <c r="E141" s="8">
        <f t="shared" si="2"/>
        <v>-3.5265700483091784</v>
      </c>
    </row>
    <row r="142" spans="1:5" ht="18" x14ac:dyDescent="0.2">
      <c r="A142" s="7">
        <v>42583</v>
      </c>
      <c r="B142" s="17">
        <v>9269</v>
      </c>
      <c r="D142" s="7">
        <v>42948</v>
      </c>
      <c r="E142" s="8">
        <f t="shared" si="2"/>
        <v>3.225806451612903</v>
      </c>
    </row>
    <row r="143" spans="1:5" ht="18" x14ac:dyDescent="0.2">
      <c r="A143" s="7">
        <v>42614</v>
      </c>
      <c r="B143" s="17">
        <v>9206</v>
      </c>
      <c r="D143" s="7">
        <v>42979</v>
      </c>
      <c r="E143" s="8">
        <f t="shared" si="2"/>
        <v>11.829241798826851</v>
      </c>
    </row>
    <row r="144" spans="1:5" ht="18" x14ac:dyDescent="0.2">
      <c r="A144" s="7">
        <v>42644</v>
      </c>
      <c r="B144" s="17">
        <v>8677</v>
      </c>
      <c r="D144" s="7">
        <v>43009</v>
      </c>
      <c r="E144" s="8">
        <f t="shared" si="2"/>
        <v>18.531750605047829</v>
      </c>
    </row>
    <row r="145" spans="1:5" ht="18" x14ac:dyDescent="0.2">
      <c r="A145" s="7">
        <v>42675</v>
      </c>
      <c r="B145" s="17">
        <v>9024</v>
      </c>
      <c r="D145" s="7">
        <v>43040</v>
      </c>
      <c r="E145" s="8">
        <f t="shared" si="2"/>
        <v>57.236258865248224</v>
      </c>
    </row>
    <row r="146" spans="1:5" ht="18" x14ac:dyDescent="0.2">
      <c r="A146" s="7">
        <v>42705</v>
      </c>
      <c r="B146" s="17">
        <v>12072</v>
      </c>
      <c r="D146" s="7">
        <v>43070</v>
      </c>
      <c r="E146" s="8">
        <f t="shared" si="2"/>
        <v>54.092113982770051</v>
      </c>
    </row>
    <row r="147" spans="1:5" ht="18" x14ac:dyDescent="0.2">
      <c r="A147" s="7">
        <v>42736</v>
      </c>
      <c r="B147" s="17">
        <v>7180</v>
      </c>
      <c r="D147" s="7">
        <v>43101</v>
      </c>
      <c r="E147" s="8">
        <f t="shared" si="2"/>
        <v>61.824512534818943</v>
      </c>
    </row>
    <row r="148" spans="1:5" ht="18" x14ac:dyDescent="0.2">
      <c r="A148" s="7">
        <v>42767</v>
      </c>
      <c r="B148" s="17">
        <v>8099</v>
      </c>
      <c r="D148" s="7">
        <v>43132</v>
      </c>
      <c r="E148" s="8">
        <f t="shared" si="2"/>
        <v>48.857883689344362</v>
      </c>
    </row>
    <row r="149" spans="1:5" ht="18" x14ac:dyDescent="0.2">
      <c r="A149" s="7">
        <v>42795</v>
      </c>
      <c r="B149" s="17">
        <v>9945</v>
      </c>
      <c r="D149" s="7">
        <v>43160</v>
      </c>
      <c r="E149" s="8">
        <f t="shared" si="2"/>
        <v>42.362996480643538</v>
      </c>
    </row>
    <row r="150" spans="1:5" ht="18" x14ac:dyDescent="0.2">
      <c r="A150" s="7">
        <v>42826</v>
      </c>
      <c r="B150" s="17">
        <v>9746</v>
      </c>
      <c r="D150" s="7">
        <v>43191</v>
      </c>
      <c r="E150" s="8">
        <f t="shared" si="2"/>
        <v>22.009029345372461</v>
      </c>
    </row>
    <row r="151" spans="1:5" ht="18" x14ac:dyDescent="0.2">
      <c r="A151" s="7">
        <v>42856</v>
      </c>
      <c r="B151" s="17">
        <v>9976</v>
      </c>
      <c r="D151" s="7">
        <v>43221</v>
      </c>
      <c r="E151" s="8">
        <f t="shared" si="2"/>
        <v>36.056535685645549</v>
      </c>
    </row>
    <row r="152" spans="1:5" ht="18" x14ac:dyDescent="0.2">
      <c r="A152" s="7">
        <v>42887</v>
      </c>
      <c r="B152" s="17">
        <v>9409</v>
      </c>
      <c r="D152" s="7">
        <v>43252</v>
      </c>
      <c r="E152" s="8">
        <f t="shared" si="2"/>
        <v>35.848655542565631</v>
      </c>
    </row>
    <row r="153" spans="1:5" ht="18" x14ac:dyDescent="0.2">
      <c r="A153" s="7">
        <v>42917</v>
      </c>
      <c r="B153" s="17">
        <v>9985</v>
      </c>
      <c r="D153" s="7">
        <v>43282</v>
      </c>
      <c r="E153" s="8">
        <f t="shared" si="2"/>
        <v>30.455683525287931</v>
      </c>
    </row>
    <row r="154" spans="1:5" ht="18" x14ac:dyDescent="0.2">
      <c r="A154" s="7">
        <v>42948</v>
      </c>
      <c r="B154" s="17">
        <v>9568</v>
      </c>
      <c r="D154" s="7">
        <v>43313</v>
      </c>
      <c r="E154" s="8">
        <f t="shared" si="2"/>
        <v>60.242474916387955</v>
      </c>
    </row>
    <row r="155" spans="1:5" ht="18" x14ac:dyDescent="0.2">
      <c r="A155" s="7">
        <v>42979</v>
      </c>
      <c r="B155" s="17">
        <v>10295</v>
      </c>
      <c r="D155" s="7">
        <v>43344</v>
      </c>
      <c r="E155" s="8">
        <f t="shared" si="2"/>
        <v>50.208839242350656</v>
      </c>
    </row>
    <row r="156" spans="1:5" ht="18" x14ac:dyDescent="0.2">
      <c r="A156" s="7">
        <v>43009</v>
      </c>
      <c r="B156" s="17">
        <v>10285</v>
      </c>
      <c r="D156" s="7">
        <v>43374</v>
      </c>
      <c r="E156" s="8">
        <f t="shared" si="2"/>
        <v>31.054934370442393</v>
      </c>
    </row>
    <row r="157" spans="1:5" ht="18" x14ac:dyDescent="0.2">
      <c r="A157" s="7">
        <v>43040</v>
      </c>
      <c r="B157" s="17">
        <v>14189</v>
      </c>
      <c r="D157" s="7">
        <v>43405</v>
      </c>
      <c r="E157" s="8">
        <f t="shared" si="2"/>
        <v>-25.738247938543939</v>
      </c>
    </row>
    <row r="158" spans="1:5" ht="18" x14ac:dyDescent="0.2">
      <c r="A158" s="7">
        <v>43070</v>
      </c>
      <c r="B158" s="17">
        <v>18602</v>
      </c>
      <c r="D158" s="7">
        <v>43435</v>
      </c>
      <c r="E158" s="8">
        <f t="shared" si="2"/>
        <v>-15.61122459950543</v>
      </c>
    </row>
    <row r="159" spans="1:5" ht="18" x14ac:dyDescent="0.2">
      <c r="A159" s="7">
        <v>43101</v>
      </c>
      <c r="B159" s="17">
        <v>11619</v>
      </c>
      <c r="D159" s="7">
        <v>43466</v>
      </c>
      <c r="E159" s="8">
        <f t="shared" si="2"/>
        <v>-26.361993286857732</v>
      </c>
    </row>
    <row r="160" spans="1:5" ht="18" x14ac:dyDescent="0.2">
      <c r="A160" s="7">
        <v>43132</v>
      </c>
      <c r="B160" s="17">
        <v>12056</v>
      </c>
      <c r="D160" s="7">
        <v>43497</v>
      </c>
      <c r="E160" s="8">
        <f t="shared" si="2"/>
        <v>-8.8420703384207027</v>
      </c>
    </row>
    <row r="161" spans="1:5" ht="18" x14ac:dyDescent="0.2">
      <c r="A161" s="7">
        <v>43160</v>
      </c>
      <c r="B161" s="17">
        <v>14158</v>
      </c>
      <c r="D161" s="7">
        <v>43525</v>
      </c>
      <c r="E161" s="8">
        <f t="shared" si="2"/>
        <v>-5.276168950416726</v>
      </c>
    </row>
    <row r="162" spans="1:5" ht="18" x14ac:dyDescent="0.2">
      <c r="A162" s="7">
        <v>43191</v>
      </c>
      <c r="B162" s="17">
        <v>11891</v>
      </c>
      <c r="D162" s="7">
        <v>43556</v>
      </c>
      <c r="E162" s="8">
        <f t="shared" si="2"/>
        <v>-4.1375830460011773</v>
      </c>
    </row>
    <row r="163" spans="1:5" ht="18" x14ac:dyDescent="0.2">
      <c r="A163" s="7">
        <v>43221</v>
      </c>
      <c r="B163" s="17">
        <v>13573</v>
      </c>
      <c r="D163" s="7">
        <v>43586</v>
      </c>
      <c r="E163" s="8">
        <f t="shared" si="2"/>
        <v>-7.7801517719000959</v>
      </c>
    </row>
    <row r="164" spans="1:5" ht="18" x14ac:dyDescent="0.2">
      <c r="A164" s="7">
        <v>43252</v>
      </c>
      <c r="B164" s="17">
        <v>12782</v>
      </c>
      <c r="D164" s="7">
        <v>43617</v>
      </c>
      <c r="E164" s="8">
        <f t="shared" si="2"/>
        <v>-9.4116726646847138</v>
      </c>
    </row>
    <row r="165" spans="1:5" ht="18" x14ac:dyDescent="0.2">
      <c r="A165" s="7">
        <v>43282</v>
      </c>
      <c r="B165" s="17">
        <v>13026</v>
      </c>
      <c r="D165" s="7">
        <v>43647</v>
      </c>
      <c r="E165" s="8">
        <f t="shared" si="2"/>
        <v>-8.8438507600184249</v>
      </c>
    </row>
    <row r="166" spans="1:5" ht="18" x14ac:dyDescent="0.2">
      <c r="A166" s="7">
        <v>43313</v>
      </c>
      <c r="B166" s="17">
        <v>15332</v>
      </c>
      <c r="D166" s="7">
        <v>43678</v>
      </c>
      <c r="E166" s="8">
        <f t="shared" si="2"/>
        <v>-6.202713279415601</v>
      </c>
    </row>
    <row r="167" spans="1:5" ht="18" x14ac:dyDescent="0.2">
      <c r="A167" s="7">
        <v>43344</v>
      </c>
      <c r="B167" s="17">
        <v>15464</v>
      </c>
      <c r="D167" s="7">
        <v>43709</v>
      </c>
      <c r="E167" s="8">
        <f t="shared" si="2"/>
        <v>-40.106052767718566</v>
      </c>
    </row>
    <row r="168" spans="1:5" ht="18" x14ac:dyDescent="0.2">
      <c r="A168" s="7">
        <v>43374</v>
      </c>
      <c r="B168" s="17">
        <v>13479</v>
      </c>
      <c r="D168" s="7">
        <v>43739</v>
      </c>
      <c r="E168" s="8">
        <f t="shared" si="2"/>
        <v>-29.304844573039546</v>
      </c>
    </row>
    <row r="169" spans="1:5" ht="18" x14ac:dyDescent="0.2">
      <c r="A169" s="7">
        <v>43405</v>
      </c>
      <c r="B169" s="17">
        <v>10537</v>
      </c>
      <c r="D169" s="7">
        <v>43770</v>
      </c>
      <c r="E169" s="8">
        <f t="shared" si="2"/>
        <v>-2.6288317357881752</v>
      </c>
    </row>
    <row r="170" spans="1:5" ht="18" x14ac:dyDescent="0.2">
      <c r="A170" s="7">
        <v>43435</v>
      </c>
      <c r="B170" s="17">
        <v>15698</v>
      </c>
      <c r="D170" s="7">
        <v>43800</v>
      </c>
      <c r="E170" s="8">
        <f t="shared" si="2"/>
        <v>-28.334819722257613</v>
      </c>
    </row>
    <row r="171" spans="1:5" ht="18" x14ac:dyDescent="0.2">
      <c r="A171" s="7">
        <v>43466</v>
      </c>
      <c r="B171" s="17">
        <v>8556</v>
      </c>
      <c r="D171" s="7">
        <v>43831</v>
      </c>
      <c r="E171" s="8">
        <f t="shared" si="2"/>
        <v>-9.2449742870500238</v>
      </c>
    </row>
    <row r="172" spans="1:5" ht="18" x14ac:dyDescent="0.2">
      <c r="A172" s="7">
        <v>43497</v>
      </c>
      <c r="B172" s="17">
        <v>10990</v>
      </c>
      <c r="D172" s="7">
        <v>43862</v>
      </c>
      <c r="E172" s="8">
        <f t="shared" si="2"/>
        <v>-11.847133757961783</v>
      </c>
    </row>
    <row r="173" spans="1:5" ht="18" x14ac:dyDescent="0.2">
      <c r="A173" s="7">
        <v>43525</v>
      </c>
      <c r="B173" s="17">
        <v>13411</v>
      </c>
      <c r="D173" s="7">
        <v>43891</v>
      </c>
      <c r="E173" s="8">
        <f t="shared" si="2"/>
        <v>-51.942435314294229</v>
      </c>
    </row>
    <row r="174" spans="1:5" ht="18" x14ac:dyDescent="0.2">
      <c r="A174" s="7">
        <v>43556</v>
      </c>
      <c r="B174" s="17">
        <v>11399</v>
      </c>
      <c r="D174" s="7">
        <v>43922</v>
      </c>
      <c r="E174" s="8">
        <f t="shared" si="2"/>
        <v>-42.433546802351088</v>
      </c>
    </row>
    <row r="175" spans="1:5" ht="18" x14ac:dyDescent="0.2">
      <c r="A175" s="7">
        <v>43586</v>
      </c>
      <c r="B175" s="17">
        <v>12517</v>
      </c>
      <c r="D175" s="7">
        <v>43952</v>
      </c>
      <c r="E175" s="8">
        <f t="shared" si="2"/>
        <v>-2.3168490852440682</v>
      </c>
    </row>
    <row r="176" spans="1:5" ht="18" x14ac:dyDescent="0.2">
      <c r="A176" s="7">
        <v>43617</v>
      </c>
      <c r="B176" s="17">
        <v>11579</v>
      </c>
      <c r="D176" s="7">
        <v>43983</v>
      </c>
      <c r="E176" s="8">
        <f t="shared" si="2"/>
        <v>4.7413420848087053</v>
      </c>
    </row>
    <row r="177" spans="1:5" ht="18" x14ac:dyDescent="0.2">
      <c r="A177" s="7">
        <v>43647</v>
      </c>
      <c r="B177" s="17">
        <v>11874</v>
      </c>
      <c r="D177" s="7">
        <v>44013</v>
      </c>
      <c r="E177" s="8">
        <f t="shared" si="2"/>
        <v>1.3643254168772108</v>
      </c>
    </row>
    <row r="178" spans="1:5" ht="18" x14ac:dyDescent="0.2">
      <c r="A178" s="7">
        <v>43678</v>
      </c>
      <c r="B178" s="17">
        <v>14381</v>
      </c>
      <c r="D178" s="7">
        <v>44044</v>
      </c>
      <c r="E178" s="8">
        <f t="shared" si="2"/>
        <v>-13.024129059175301</v>
      </c>
    </row>
    <row r="179" spans="1:5" ht="18" x14ac:dyDescent="0.2">
      <c r="A179" s="7">
        <v>43709</v>
      </c>
      <c r="B179" s="17">
        <v>9262</v>
      </c>
      <c r="D179" s="7">
        <v>44075</v>
      </c>
      <c r="E179" s="8">
        <f t="shared" si="2"/>
        <v>14.910386525588425</v>
      </c>
    </row>
    <row r="180" spans="1:5" ht="18" x14ac:dyDescent="0.2">
      <c r="A180" s="7">
        <v>43739</v>
      </c>
      <c r="B180" s="17">
        <v>9529</v>
      </c>
      <c r="D180" s="7">
        <v>44105</v>
      </c>
      <c r="E180" s="8">
        <f t="shared" si="2"/>
        <v>22.058977857067898</v>
      </c>
    </row>
    <row r="181" spans="1:5" ht="18" x14ac:dyDescent="0.2">
      <c r="A181" s="7">
        <v>43770</v>
      </c>
      <c r="B181" s="17">
        <v>10260</v>
      </c>
      <c r="D181" s="7">
        <v>44136</v>
      </c>
      <c r="E181" s="8">
        <f t="shared" si="2"/>
        <v>-11.052631578947368</v>
      </c>
    </row>
    <row r="182" spans="1:5" ht="18" x14ac:dyDescent="0.2">
      <c r="A182" s="7">
        <v>43800</v>
      </c>
      <c r="B182" s="17">
        <v>11250</v>
      </c>
      <c r="D182" s="7">
        <v>44166</v>
      </c>
      <c r="E182" s="8">
        <f t="shared" si="2"/>
        <v>16.035555555555554</v>
      </c>
    </row>
    <row r="183" spans="1:5" ht="18" x14ac:dyDescent="0.2">
      <c r="A183" s="7">
        <v>43831</v>
      </c>
      <c r="B183" s="17">
        <v>7765</v>
      </c>
      <c r="D183" s="7">
        <v>44197</v>
      </c>
      <c r="E183" s="8">
        <f t="shared" si="2"/>
        <v>10.779137153895686</v>
      </c>
    </row>
    <row r="184" spans="1:5" ht="18" x14ac:dyDescent="0.2">
      <c r="A184" s="7">
        <v>43862</v>
      </c>
      <c r="B184" s="17">
        <v>9688</v>
      </c>
      <c r="D184" s="7">
        <v>44228</v>
      </c>
      <c r="E184" s="8">
        <f t="shared" si="2"/>
        <v>10.332369942196532</v>
      </c>
    </row>
    <row r="185" spans="1:5" ht="18" x14ac:dyDescent="0.2">
      <c r="A185" s="7">
        <v>43891</v>
      </c>
      <c r="B185" s="17">
        <v>6445</v>
      </c>
      <c r="D185" s="7">
        <v>44256</v>
      </c>
      <c r="E185" s="8">
        <f t="shared" si="2"/>
        <v>88.673390224980608</v>
      </c>
    </row>
    <row r="186" spans="1:5" ht="18" x14ac:dyDescent="0.2">
      <c r="A186" s="7">
        <v>43922</v>
      </c>
      <c r="B186" s="17">
        <v>6562</v>
      </c>
      <c r="D186" s="7">
        <v>44287</v>
      </c>
      <c r="E186" s="8">
        <f t="shared" si="2"/>
        <v>112.05425175251446</v>
      </c>
    </row>
    <row r="187" spans="1:5" ht="18" x14ac:dyDescent="0.2">
      <c r="A187" s="7">
        <v>43952</v>
      </c>
      <c r="B187" s="17">
        <v>12227</v>
      </c>
      <c r="D187" s="7">
        <v>44317</v>
      </c>
      <c r="E187" s="8">
        <f t="shared" si="2"/>
        <v>34.783675472315366</v>
      </c>
    </row>
    <row r="188" spans="1:5" ht="18" x14ac:dyDescent="0.2">
      <c r="A188" s="7">
        <v>43983</v>
      </c>
      <c r="B188" s="17">
        <v>12128</v>
      </c>
      <c r="D188" s="7">
        <v>44348</v>
      </c>
      <c r="E188" s="8">
        <f t="shared" si="2"/>
        <v>21.322559366754618</v>
      </c>
    </row>
    <row r="189" spans="1:5" ht="18" x14ac:dyDescent="0.2">
      <c r="A189" s="7">
        <v>44013</v>
      </c>
      <c r="B189" s="17">
        <v>12036</v>
      </c>
      <c r="D189" s="7">
        <v>44378</v>
      </c>
      <c r="E189" s="8">
        <f t="shared" si="2"/>
        <v>20.521768029245596</v>
      </c>
    </row>
    <row r="190" spans="1:5" ht="18" x14ac:dyDescent="0.2">
      <c r="A190" s="7">
        <v>44044</v>
      </c>
      <c r="B190" s="17">
        <v>12508</v>
      </c>
      <c r="D190" s="7">
        <v>44409</v>
      </c>
      <c r="E190" s="8">
        <f t="shared" si="2"/>
        <v>-9.0901822833386632</v>
      </c>
    </row>
    <row r="191" spans="1:5" ht="18" x14ac:dyDescent="0.2">
      <c r="A191" s="7">
        <v>44075</v>
      </c>
      <c r="B191" s="17">
        <v>10643</v>
      </c>
      <c r="D191" s="7">
        <v>44440</v>
      </c>
      <c r="E191" s="8">
        <f t="shared" si="2"/>
        <v>14.911209245513483</v>
      </c>
    </row>
    <row r="192" spans="1:5" ht="18" x14ac:dyDescent="0.2">
      <c r="A192" s="7">
        <v>44105</v>
      </c>
      <c r="B192" s="17">
        <v>11631</v>
      </c>
      <c r="D192" s="7">
        <v>44470</v>
      </c>
      <c r="E192" s="8">
        <f t="shared" si="2"/>
        <v>-18.493680680938869</v>
      </c>
    </row>
    <row r="193" spans="1:5" ht="18" x14ac:dyDescent="0.2">
      <c r="A193" s="7">
        <v>44136</v>
      </c>
      <c r="B193" s="17">
        <v>9126</v>
      </c>
      <c r="D193" s="7">
        <v>44501</v>
      </c>
      <c r="E193" s="8">
        <f t="shared" si="2"/>
        <v>-16.403681788297174</v>
      </c>
    </row>
    <row r="194" spans="1:5" ht="18" x14ac:dyDescent="0.2">
      <c r="A194" s="7">
        <v>44166</v>
      </c>
      <c r="B194" s="17">
        <v>13054</v>
      </c>
      <c r="D194" s="7">
        <v>44531</v>
      </c>
      <c r="E194" s="8">
        <f t="shared" si="2"/>
        <v>-13.543741381951893</v>
      </c>
    </row>
    <row r="195" spans="1:5" ht="18" x14ac:dyDescent="0.2">
      <c r="A195" s="7">
        <v>44197</v>
      </c>
      <c r="B195" s="17">
        <v>8602</v>
      </c>
      <c r="D195" s="7">
        <v>44562</v>
      </c>
      <c r="E195" s="8">
        <f t="shared" ref="E195:E233" si="3">(B207-B195)/B195*100</f>
        <v>-18.64682631946059</v>
      </c>
    </row>
    <row r="196" spans="1:5" ht="18" x14ac:dyDescent="0.2">
      <c r="A196" s="7">
        <v>44228</v>
      </c>
      <c r="B196" s="17">
        <v>10689</v>
      </c>
      <c r="D196" s="7">
        <v>44593</v>
      </c>
      <c r="E196" s="8">
        <f t="shared" si="3"/>
        <v>-23.63177097951165</v>
      </c>
    </row>
    <row r="197" spans="1:5" ht="18" x14ac:dyDescent="0.2">
      <c r="A197" s="7">
        <v>44256</v>
      </c>
      <c r="B197" s="17">
        <v>12160</v>
      </c>
      <c r="D197" s="7">
        <v>44621</v>
      </c>
      <c r="E197" s="8">
        <f t="shared" si="3"/>
        <v>-27.401315789473685</v>
      </c>
    </row>
    <row r="198" spans="1:5" ht="18" x14ac:dyDescent="0.2">
      <c r="A198" s="7">
        <v>44287</v>
      </c>
      <c r="B198" s="17">
        <v>13915</v>
      </c>
      <c r="D198" s="7">
        <v>44652</v>
      </c>
      <c r="E198" s="8">
        <f t="shared" si="3"/>
        <v>-42.551203736974486</v>
      </c>
    </row>
    <row r="199" spans="1:5" ht="18" x14ac:dyDescent="0.2">
      <c r="A199" s="7">
        <v>44317</v>
      </c>
      <c r="B199" s="17">
        <v>16480</v>
      </c>
      <c r="D199" s="7">
        <v>44682</v>
      </c>
      <c r="E199" s="8">
        <f t="shared" si="3"/>
        <v>-47.129854368932037</v>
      </c>
    </row>
    <row r="200" spans="1:5" ht="18" x14ac:dyDescent="0.2">
      <c r="A200" s="7">
        <v>44348</v>
      </c>
      <c r="B200" s="17">
        <v>14714</v>
      </c>
      <c r="D200" s="7">
        <v>44713</v>
      </c>
      <c r="E200" s="8">
        <f t="shared" si="3"/>
        <v>-60.996330025825742</v>
      </c>
    </row>
    <row r="201" spans="1:5" ht="18" x14ac:dyDescent="0.2">
      <c r="A201" s="7">
        <v>44378</v>
      </c>
      <c r="B201" s="17">
        <v>14506</v>
      </c>
      <c r="D201" s="7">
        <v>44743</v>
      </c>
      <c r="E201" s="8">
        <f t="shared" si="3"/>
        <v>-26.82338342754722</v>
      </c>
    </row>
    <row r="202" spans="1:5" ht="18" x14ac:dyDescent="0.2">
      <c r="A202" s="7">
        <v>44409</v>
      </c>
      <c r="B202" s="17">
        <v>11371</v>
      </c>
      <c r="D202" s="7">
        <v>44774</v>
      </c>
      <c r="E202" s="8">
        <f t="shared" si="3"/>
        <v>-23.5775217658957</v>
      </c>
    </row>
    <row r="203" spans="1:5" ht="18" x14ac:dyDescent="0.2">
      <c r="A203" s="7">
        <v>44440</v>
      </c>
      <c r="B203" s="17">
        <v>12230</v>
      </c>
      <c r="D203" s="7">
        <v>44805</v>
      </c>
      <c r="E203" s="8">
        <f t="shared" si="3"/>
        <v>-32.853638593622243</v>
      </c>
    </row>
    <row r="204" spans="1:5" ht="18" x14ac:dyDescent="0.2">
      <c r="A204" s="7">
        <v>44470</v>
      </c>
      <c r="B204" s="17">
        <v>9480</v>
      </c>
      <c r="D204" s="7">
        <v>44835</v>
      </c>
      <c r="E204" s="8">
        <f t="shared" si="3"/>
        <v>-6.7194092827004228</v>
      </c>
    </row>
    <row r="205" spans="1:5" ht="18" x14ac:dyDescent="0.2">
      <c r="A205" s="7">
        <v>44501</v>
      </c>
      <c r="B205" s="17">
        <v>7629</v>
      </c>
      <c r="D205" s="7">
        <v>44866</v>
      </c>
      <c r="E205" s="8">
        <f t="shared" si="3"/>
        <v>1.9923974308559447</v>
      </c>
    </row>
    <row r="206" spans="1:5" ht="18" x14ac:dyDescent="0.2">
      <c r="A206" s="7">
        <v>44531</v>
      </c>
      <c r="B206" s="17">
        <v>11286</v>
      </c>
      <c r="D206" s="7">
        <v>44896</v>
      </c>
      <c r="E206" s="8">
        <f t="shared" si="3"/>
        <v>-20.334928229665074</v>
      </c>
    </row>
    <row r="207" spans="1:5" ht="18" x14ac:dyDescent="0.2">
      <c r="A207" s="7">
        <v>44562</v>
      </c>
      <c r="B207" s="17">
        <v>6998</v>
      </c>
      <c r="D207" s="7">
        <v>44927</v>
      </c>
      <c r="E207" s="8">
        <f t="shared" si="3"/>
        <v>-0.685910260074307</v>
      </c>
    </row>
    <row r="208" spans="1:5" ht="18" x14ac:dyDescent="0.2">
      <c r="A208" s="7">
        <v>44593</v>
      </c>
      <c r="B208" s="17">
        <v>8163</v>
      </c>
      <c r="D208" s="7">
        <v>44958</v>
      </c>
      <c r="E208" s="8">
        <f t="shared" si="3"/>
        <v>-10.927355139042019</v>
      </c>
    </row>
    <row r="209" spans="1:5" ht="18" x14ac:dyDescent="0.2">
      <c r="A209" s="7">
        <v>44621</v>
      </c>
      <c r="B209" s="17">
        <v>8828</v>
      </c>
      <c r="D209" s="7">
        <v>44986</v>
      </c>
      <c r="E209" s="8">
        <f t="shared" si="3"/>
        <v>18.747168101495244</v>
      </c>
    </row>
    <row r="210" spans="1:5" ht="18" x14ac:dyDescent="0.2">
      <c r="A210" s="7">
        <v>44652</v>
      </c>
      <c r="B210" s="17">
        <v>7994</v>
      </c>
      <c r="D210" s="7">
        <v>45017</v>
      </c>
      <c r="E210" s="8">
        <f t="shared" si="3"/>
        <v>24.455841881411057</v>
      </c>
    </row>
    <row r="211" spans="1:5" ht="18" x14ac:dyDescent="0.2">
      <c r="A211" s="7">
        <v>44682</v>
      </c>
      <c r="B211" s="17">
        <v>8713</v>
      </c>
      <c r="D211" s="7">
        <v>45047</v>
      </c>
      <c r="E211" s="8">
        <f t="shared" si="3"/>
        <v>19.809480087225985</v>
      </c>
    </row>
    <row r="212" spans="1:5" ht="18" x14ac:dyDescent="0.2">
      <c r="A212" s="7">
        <v>44713</v>
      </c>
      <c r="B212" s="17">
        <v>5739</v>
      </c>
      <c r="D212" s="7">
        <v>45078</v>
      </c>
      <c r="E212" s="8">
        <f t="shared" si="3"/>
        <v>86.286809548701854</v>
      </c>
    </row>
    <row r="213" spans="1:5" ht="18" x14ac:dyDescent="0.2">
      <c r="A213" s="7">
        <v>44743</v>
      </c>
      <c r="B213" s="17">
        <v>10615</v>
      </c>
      <c r="D213" s="7">
        <v>45108</v>
      </c>
      <c r="E213" s="8">
        <f t="shared" si="3"/>
        <v>-6.1516721620348562</v>
      </c>
    </row>
    <row r="214" spans="1:5" ht="18" x14ac:dyDescent="0.2">
      <c r="A214" s="7">
        <v>44774</v>
      </c>
      <c r="B214" s="17">
        <v>8690</v>
      </c>
      <c r="D214" s="7">
        <v>45139</v>
      </c>
      <c r="E214" s="8">
        <f t="shared" si="3"/>
        <v>16.098964326812428</v>
      </c>
    </row>
    <row r="215" spans="1:5" ht="18" x14ac:dyDescent="0.2">
      <c r="A215" s="7">
        <v>44805</v>
      </c>
      <c r="B215" s="17">
        <v>8212</v>
      </c>
      <c r="D215" s="7">
        <v>45170</v>
      </c>
      <c r="E215" s="8">
        <f t="shared" si="3"/>
        <v>-20.080370189965905</v>
      </c>
    </row>
    <row r="216" spans="1:5" ht="18" x14ac:dyDescent="0.2">
      <c r="A216" s="7">
        <v>44835</v>
      </c>
      <c r="B216" s="17">
        <v>8843</v>
      </c>
      <c r="D216" s="7">
        <v>45200</v>
      </c>
      <c r="E216" s="8">
        <f t="shared" si="3"/>
        <v>-7.011195295714125</v>
      </c>
    </row>
    <row r="217" spans="1:5" ht="18" x14ac:dyDescent="0.2">
      <c r="A217" s="7">
        <v>44866</v>
      </c>
      <c r="B217" s="17">
        <v>7781</v>
      </c>
      <c r="D217" s="7">
        <v>45231</v>
      </c>
      <c r="E217" s="8">
        <f t="shared" si="3"/>
        <v>17.118622285053334</v>
      </c>
    </row>
    <row r="218" spans="1:5" ht="18" x14ac:dyDescent="0.2">
      <c r="A218" s="7">
        <v>44896</v>
      </c>
      <c r="B218" s="17">
        <v>8991</v>
      </c>
      <c r="D218" s="7">
        <v>45261</v>
      </c>
      <c r="E218" s="8">
        <f t="shared" si="3"/>
        <v>17.506395284173063</v>
      </c>
    </row>
    <row r="219" spans="1:5" ht="18" x14ac:dyDescent="0.2">
      <c r="A219" s="7">
        <v>44927</v>
      </c>
      <c r="B219" s="17">
        <v>6950</v>
      </c>
      <c r="D219" s="7">
        <v>45292</v>
      </c>
      <c r="E219" s="8">
        <f t="shared" si="3"/>
        <v>10.60431654676259</v>
      </c>
    </row>
    <row r="220" spans="1:5" ht="18" x14ac:dyDescent="0.2">
      <c r="A220" s="7">
        <v>44958</v>
      </c>
      <c r="B220" s="17">
        <v>7271</v>
      </c>
      <c r="D220" s="7">
        <v>45323</v>
      </c>
      <c r="E220" s="8">
        <f t="shared" si="3"/>
        <v>33.186631825058448</v>
      </c>
    </row>
    <row r="221" spans="1:5" ht="18" x14ac:dyDescent="0.2">
      <c r="A221" s="7">
        <v>44986</v>
      </c>
      <c r="B221" s="17">
        <v>10483</v>
      </c>
      <c r="D221" s="7">
        <v>45352</v>
      </c>
      <c r="E221" s="8">
        <f t="shared" si="3"/>
        <v>20.957741104645617</v>
      </c>
    </row>
    <row r="222" spans="1:5" ht="18" x14ac:dyDescent="0.2">
      <c r="A222" s="7">
        <v>45017</v>
      </c>
      <c r="B222" s="17">
        <v>9949</v>
      </c>
      <c r="D222" s="7">
        <v>45383</v>
      </c>
      <c r="E222" s="8">
        <f t="shared" si="3"/>
        <v>19.429088350587996</v>
      </c>
    </row>
    <row r="223" spans="1:5" ht="18" x14ac:dyDescent="0.2">
      <c r="A223" s="7">
        <v>45047</v>
      </c>
      <c r="B223" s="17">
        <v>10439</v>
      </c>
      <c r="D223" s="7">
        <v>45413</v>
      </c>
      <c r="E223" s="8">
        <f t="shared" si="3"/>
        <v>20.327617587891559</v>
      </c>
    </row>
    <row r="224" spans="1:5" ht="18" x14ac:dyDescent="0.2">
      <c r="A224" s="7">
        <v>45078</v>
      </c>
      <c r="B224" s="17">
        <v>10691</v>
      </c>
      <c r="D224" s="7">
        <v>45444</v>
      </c>
      <c r="E224" s="8">
        <f t="shared" si="3"/>
        <v>10.270320830605181</v>
      </c>
    </row>
    <row r="225" spans="1:5" ht="18" x14ac:dyDescent="0.2">
      <c r="A225" s="7">
        <v>45108</v>
      </c>
      <c r="B225" s="17">
        <v>9962</v>
      </c>
      <c r="D225" s="7">
        <v>45474</v>
      </c>
      <c r="E225" s="8">
        <f t="shared" si="3"/>
        <v>21.551897209395705</v>
      </c>
    </row>
    <row r="226" spans="1:5" ht="18" x14ac:dyDescent="0.2">
      <c r="A226" s="7">
        <v>45139</v>
      </c>
      <c r="B226" s="17">
        <v>10089</v>
      </c>
      <c r="D226" s="7">
        <v>45505</v>
      </c>
      <c r="E226" s="8">
        <f t="shared" si="3"/>
        <v>39.686787590445036</v>
      </c>
    </row>
    <row r="227" spans="1:5" ht="18" x14ac:dyDescent="0.2">
      <c r="A227" s="7">
        <v>45170</v>
      </c>
      <c r="B227" s="17">
        <v>6563</v>
      </c>
      <c r="D227" s="7">
        <v>45536</v>
      </c>
      <c r="E227" s="8">
        <f t="shared" si="3"/>
        <v>61.968611915282644</v>
      </c>
    </row>
    <row r="228" spans="1:5" ht="18" x14ac:dyDescent="0.2">
      <c r="A228" s="7">
        <v>45200</v>
      </c>
      <c r="B228" s="17">
        <v>8223</v>
      </c>
      <c r="D228" s="7">
        <v>45566</v>
      </c>
      <c r="E228" s="8">
        <f t="shared" si="3"/>
        <v>45.044387693056066</v>
      </c>
    </row>
    <row r="229" spans="1:5" ht="18" x14ac:dyDescent="0.2">
      <c r="A229" s="7">
        <v>45231</v>
      </c>
      <c r="B229" s="17">
        <v>9113</v>
      </c>
      <c r="D229" s="7">
        <v>45597</v>
      </c>
      <c r="E229" s="8">
        <f t="shared" si="3"/>
        <v>38.834631844617576</v>
      </c>
    </row>
    <row r="230" spans="1:5" ht="18" x14ac:dyDescent="0.2">
      <c r="A230" s="7">
        <v>45261</v>
      </c>
      <c r="B230" s="17">
        <v>10565</v>
      </c>
      <c r="D230" s="7">
        <v>45627</v>
      </c>
      <c r="E230" s="8">
        <f t="shared" si="3"/>
        <v>28.263132986275437</v>
      </c>
    </row>
    <row r="231" spans="1:5" ht="18" x14ac:dyDescent="0.2">
      <c r="A231" s="7">
        <v>45292</v>
      </c>
      <c r="B231" s="17">
        <v>7687</v>
      </c>
      <c r="D231" s="7">
        <v>45658</v>
      </c>
      <c r="E231" s="8">
        <f t="shared" si="3"/>
        <v>15.116430336932481</v>
      </c>
    </row>
    <row r="232" spans="1:5" ht="18" x14ac:dyDescent="0.2">
      <c r="A232" s="7">
        <v>45323</v>
      </c>
      <c r="B232" s="17">
        <v>9684</v>
      </c>
      <c r="D232" s="7">
        <v>45689</v>
      </c>
      <c r="E232" s="8">
        <f t="shared" si="3"/>
        <v>5.3696819496075996</v>
      </c>
    </row>
    <row r="233" spans="1:5" ht="18" x14ac:dyDescent="0.2">
      <c r="A233" s="7">
        <v>45352</v>
      </c>
      <c r="B233" s="17">
        <v>12680</v>
      </c>
      <c r="D233" s="7">
        <v>45717</v>
      </c>
      <c r="E233" s="8">
        <f t="shared" si="3"/>
        <v>7.1687697160883284</v>
      </c>
    </row>
    <row r="234" spans="1:5" ht="18" x14ac:dyDescent="0.2">
      <c r="A234" s="7">
        <v>45383</v>
      </c>
      <c r="B234" s="17">
        <v>11882</v>
      </c>
    </row>
    <row r="235" spans="1:5" ht="18" x14ac:dyDescent="0.2">
      <c r="A235" s="7">
        <v>45413</v>
      </c>
      <c r="B235" s="17">
        <v>12561</v>
      </c>
    </row>
    <row r="236" spans="1:5" ht="18" x14ac:dyDescent="0.2">
      <c r="A236" s="7">
        <v>45444</v>
      </c>
      <c r="B236" s="17">
        <v>11789</v>
      </c>
    </row>
    <row r="237" spans="1:5" ht="18" x14ac:dyDescent="0.2">
      <c r="A237" s="7">
        <v>45474</v>
      </c>
      <c r="B237" s="17">
        <v>12109</v>
      </c>
    </row>
    <row r="238" spans="1:5" ht="18" x14ac:dyDescent="0.2">
      <c r="A238" s="7">
        <v>45505</v>
      </c>
      <c r="B238" s="17">
        <v>14093</v>
      </c>
    </row>
    <row r="239" spans="1:5" ht="18" x14ac:dyDescent="0.2">
      <c r="A239" s="7">
        <v>45536</v>
      </c>
      <c r="B239" s="17">
        <v>10630</v>
      </c>
    </row>
    <row r="240" spans="1:5" ht="18" x14ac:dyDescent="0.2">
      <c r="A240" s="7">
        <v>45566</v>
      </c>
      <c r="B240" s="17">
        <v>11927</v>
      </c>
    </row>
    <row r="241" spans="1:2" ht="18" x14ac:dyDescent="0.2">
      <c r="A241" s="7">
        <v>45597</v>
      </c>
      <c r="B241" s="17">
        <v>12652</v>
      </c>
    </row>
    <row r="242" spans="1:2" ht="18" x14ac:dyDescent="0.2">
      <c r="A242" s="7">
        <v>45627</v>
      </c>
      <c r="B242" s="17">
        <v>13551</v>
      </c>
    </row>
    <row r="243" spans="1:2" ht="18" x14ac:dyDescent="0.2">
      <c r="A243" s="7">
        <v>45658</v>
      </c>
      <c r="B243" s="17">
        <v>8849</v>
      </c>
    </row>
    <row r="244" spans="1:2" ht="18" x14ac:dyDescent="0.2">
      <c r="A244" s="7">
        <v>45689</v>
      </c>
      <c r="B244" s="17">
        <v>10204</v>
      </c>
    </row>
    <row r="245" spans="1:2" ht="18" x14ac:dyDescent="0.2">
      <c r="A245" s="7">
        <v>45717</v>
      </c>
      <c r="B245" s="17">
        <v>13589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98122-4C8F-F24B-ACAA-9A984A58D397}">
  <dimension ref="A1:G245"/>
  <sheetViews>
    <sheetView topLeftCell="E1" zoomScale="109" zoomScaleNormal="108" workbookViewId="0">
      <selection activeCell="Q14" sqref="Q14"/>
    </sheetView>
  </sheetViews>
  <sheetFormatPr baseColWidth="10" defaultRowHeight="16" x14ac:dyDescent="0.2"/>
  <cols>
    <col min="2" max="2" width="11.6640625" bestFit="1" customWidth="1"/>
    <col min="3" max="3" width="2.1640625" customWidth="1"/>
    <col min="4" max="4" width="12.6640625" style="13" customWidth="1"/>
    <col min="5" max="5" width="13.5" style="13" customWidth="1"/>
    <col min="6" max="6" width="11.5" style="13" customWidth="1"/>
    <col min="8" max="8" width="11.1640625" customWidth="1"/>
  </cols>
  <sheetData>
    <row r="1" spans="1:7" ht="19" thickBot="1" x14ac:dyDescent="0.25">
      <c r="A1" s="3" t="s">
        <v>9</v>
      </c>
      <c r="B1" s="4"/>
      <c r="C1" s="4"/>
    </row>
    <row r="2" spans="1:7" ht="18" x14ac:dyDescent="0.2">
      <c r="A2" s="5" t="s">
        <v>1</v>
      </c>
      <c r="B2" s="5" t="s">
        <v>2</v>
      </c>
      <c r="D2" s="5" t="s">
        <v>32</v>
      </c>
      <c r="E2" s="19" t="s">
        <v>2</v>
      </c>
      <c r="F2" s="5" t="s">
        <v>10</v>
      </c>
      <c r="G2" s="15"/>
    </row>
    <row r="3" spans="1:7" ht="18" x14ac:dyDescent="0.2">
      <c r="A3" s="7">
        <v>38353</v>
      </c>
      <c r="B3" s="17">
        <v>8837</v>
      </c>
      <c r="C3" s="16"/>
      <c r="D3" s="18">
        <v>2005</v>
      </c>
      <c r="E3" s="20">
        <f>SUM(B3:B14)</f>
        <v>143355</v>
      </c>
      <c r="F3" s="10" t="s">
        <v>3</v>
      </c>
      <c r="G3" s="13"/>
    </row>
    <row r="4" spans="1:7" ht="18" x14ac:dyDescent="0.2">
      <c r="A4" s="7">
        <v>38384</v>
      </c>
      <c r="B4" s="17">
        <v>10625</v>
      </c>
      <c r="C4" s="16"/>
      <c r="D4" s="18">
        <v>2006</v>
      </c>
      <c r="E4" s="20">
        <f>SUM(B15:B26)</f>
        <v>152154</v>
      </c>
      <c r="F4" s="10">
        <f>((E4-E3)/E3)*100</f>
        <v>6.13790938579052</v>
      </c>
      <c r="G4" s="13"/>
    </row>
    <row r="5" spans="1:7" ht="18" x14ac:dyDescent="0.2">
      <c r="A5" s="7">
        <v>38412</v>
      </c>
      <c r="B5" s="17">
        <v>12071</v>
      </c>
      <c r="C5" s="16"/>
      <c r="D5" s="18">
        <v>2007</v>
      </c>
      <c r="E5" s="20">
        <f>SUM(B27:B38)</f>
        <v>117146</v>
      </c>
      <c r="F5" s="10">
        <f t="shared" ref="F5:F22" si="0">((E5-E4)/E4)*100</f>
        <v>-23.008267939061742</v>
      </c>
      <c r="G5" s="13"/>
    </row>
    <row r="6" spans="1:7" ht="18" x14ac:dyDescent="0.2">
      <c r="A6" s="7">
        <v>38443</v>
      </c>
      <c r="B6" s="17">
        <v>10587</v>
      </c>
      <c r="C6" s="16"/>
      <c r="D6" s="18">
        <v>2008</v>
      </c>
      <c r="E6" s="20">
        <f>SUM(B39:B49)</f>
        <v>93890</v>
      </c>
      <c r="F6" s="10">
        <f t="shared" si="0"/>
        <v>-19.852150308162464</v>
      </c>
      <c r="G6" s="13"/>
    </row>
    <row r="7" spans="1:7" ht="18" x14ac:dyDescent="0.2">
      <c r="A7" s="7">
        <v>38473</v>
      </c>
      <c r="B7" s="17">
        <v>10109</v>
      </c>
      <c r="C7" s="16"/>
      <c r="D7" s="18">
        <v>2009</v>
      </c>
      <c r="E7" s="20">
        <f>SUM(B51:B62)</f>
        <v>83901</v>
      </c>
      <c r="F7" s="10">
        <f t="shared" si="0"/>
        <v>-10.639045691766961</v>
      </c>
      <c r="G7" s="13"/>
    </row>
    <row r="8" spans="1:7" ht="18" x14ac:dyDescent="0.2">
      <c r="A8" s="7">
        <v>38504</v>
      </c>
      <c r="B8" s="17">
        <v>11531</v>
      </c>
      <c r="C8" s="16"/>
      <c r="D8" s="18">
        <v>2010</v>
      </c>
      <c r="E8" s="20">
        <f>SUM(B63:B74)</f>
        <v>102323</v>
      </c>
      <c r="F8" s="10">
        <f t="shared" si="0"/>
        <v>21.956830073539052</v>
      </c>
      <c r="G8" s="13"/>
    </row>
    <row r="9" spans="1:7" ht="18" x14ac:dyDescent="0.2">
      <c r="A9" s="7">
        <v>38534</v>
      </c>
      <c r="B9" s="17">
        <v>14726</v>
      </c>
      <c r="C9" s="16"/>
      <c r="D9" s="18">
        <v>2011</v>
      </c>
      <c r="E9" s="20">
        <f>SUM(B75:B86)</f>
        <v>116297</v>
      </c>
      <c r="F9" s="10">
        <f t="shared" si="0"/>
        <v>13.656753613557068</v>
      </c>
      <c r="G9" s="13"/>
    </row>
    <row r="10" spans="1:7" ht="18" x14ac:dyDescent="0.2">
      <c r="A10" s="7">
        <v>38565</v>
      </c>
      <c r="B10" s="17">
        <v>13971</v>
      </c>
      <c r="C10" s="16"/>
      <c r="D10" s="18">
        <v>2012</v>
      </c>
      <c r="E10" s="20">
        <f>SUM(B87:B98)</f>
        <v>123727</v>
      </c>
      <c r="F10" s="10">
        <f t="shared" si="0"/>
        <v>6.3888148447509394</v>
      </c>
      <c r="G10" s="13"/>
    </row>
    <row r="11" spans="1:7" ht="18" x14ac:dyDescent="0.2">
      <c r="A11" s="7">
        <v>38596</v>
      </c>
      <c r="B11" s="17">
        <v>9198</v>
      </c>
      <c r="C11" s="16"/>
      <c r="D11" s="18">
        <v>2013</v>
      </c>
      <c r="E11" s="20">
        <f>SUM(B99:B110)</f>
        <v>126678</v>
      </c>
      <c r="F11" s="10">
        <f t="shared" si="0"/>
        <v>2.3850897540552989</v>
      </c>
      <c r="G11" s="13"/>
    </row>
    <row r="12" spans="1:7" ht="18" x14ac:dyDescent="0.2">
      <c r="A12" s="7">
        <v>38626</v>
      </c>
      <c r="B12" s="17">
        <v>10872</v>
      </c>
      <c r="C12" s="16"/>
      <c r="D12" s="18">
        <v>2014</v>
      </c>
      <c r="E12" s="20">
        <f>SUM(B111:B122)</f>
        <v>108857</v>
      </c>
      <c r="F12" s="10">
        <f t="shared" si="0"/>
        <v>-14.06795181483762</v>
      </c>
      <c r="G12" s="13"/>
    </row>
    <row r="13" spans="1:7" ht="18" x14ac:dyDescent="0.2">
      <c r="A13" s="7">
        <v>38657</v>
      </c>
      <c r="B13" s="17">
        <v>12040</v>
      </c>
      <c r="C13" s="16"/>
      <c r="D13" s="18">
        <v>2015</v>
      </c>
      <c r="E13" s="20">
        <f>SUM(B123:B134)</f>
        <v>136212</v>
      </c>
      <c r="F13" s="10">
        <f t="shared" si="0"/>
        <v>25.129298069944973</v>
      </c>
      <c r="G13" s="13"/>
    </row>
    <row r="14" spans="1:7" ht="18" x14ac:dyDescent="0.2">
      <c r="A14" s="7">
        <v>38687</v>
      </c>
      <c r="B14" s="17">
        <v>18788</v>
      </c>
      <c r="C14" s="16"/>
      <c r="D14" s="18">
        <v>2016</v>
      </c>
      <c r="E14" s="20">
        <f>SUM(B135:B146)</f>
        <v>120772</v>
      </c>
      <c r="F14" s="10">
        <f t="shared" si="0"/>
        <v>-11.335271488561947</v>
      </c>
      <c r="G14" s="13"/>
    </row>
    <row r="15" spans="1:7" ht="18" x14ac:dyDescent="0.2">
      <c r="A15" s="7">
        <v>38718</v>
      </c>
      <c r="B15" s="17">
        <v>9999</v>
      </c>
      <c r="C15" s="16"/>
      <c r="D15" s="18">
        <v>2017</v>
      </c>
      <c r="E15" s="20">
        <f>SUM(B147:B158)</f>
        <v>127279</v>
      </c>
      <c r="F15" s="10">
        <f t="shared" si="0"/>
        <v>5.3878382406518064</v>
      </c>
      <c r="G15" s="13"/>
    </row>
    <row r="16" spans="1:7" ht="18" x14ac:dyDescent="0.2">
      <c r="A16" s="7">
        <v>38749</v>
      </c>
      <c r="B16" s="17">
        <v>10901</v>
      </c>
      <c r="C16" s="16"/>
      <c r="D16" s="18">
        <v>2018</v>
      </c>
      <c r="E16" s="20">
        <f>SUM(B159:B170)</f>
        <v>159615</v>
      </c>
      <c r="F16" s="10">
        <f t="shared" si="0"/>
        <v>25.40560500946739</v>
      </c>
      <c r="G16" s="13"/>
    </row>
    <row r="17" spans="1:7" ht="18" x14ac:dyDescent="0.2">
      <c r="A17" s="7">
        <v>38777</v>
      </c>
      <c r="B17" s="17">
        <v>12966</v>
      </c>
      <c r="C17" s="16"/>
      <c r="D17" s="18">
        <v>2019</v>
      </c>
      <c r="E17" s="20">
        <f>SUM(B171:B182)</f>
        <v>135008</v>
      </c>
      <c r="F17" s="10">
        <f t="shared" si="0"/>
        <v>-15.416470883062368</v>
      </c>
      <c r="G17" s="13"/>
    </row>
    <row r="18" spans="1:7" ht="18" x14ac:dyDescent="0.2">
      <c r="A18" s="7">
        <v>38808</v>
      </c>
      <c r="B18" s="17">
        <v>12566</v>
      </c>
      <c r="C18" s="16"/>
      <c r="D18" s="18">
        <v>2020</v>
      </c>
      <c r="E18" s="20">
        <f>SUM(B183:B194)</f>
        <v>123813</v>
      </c>
      <c r="F18" s="10">
        <f t="shared" si="0"/>
        <v>-8.2921012088172557</v>
      </c>
      <c r="G18" s="13"/>
    </row>
    <row r="19" spans="1:7" ht="18" x14ac:dyDescent="0.2">
      <c r="A19" s="7">
        <v>38838</v>
      </c>
      <c r="B19" s="17">
        <v>12856</v>
      </c>
      <c r="C19" s="16"/>
      <c r="D19" s="18">
        <v>2021</v>
      </c>
      <c r="E19" s="20">
        <f>SUM(B195:B206)</f>
        <v>143062</v>
      </c>
      <c r="F19" s="10">
        <f t="shared" si="0"/>
        <v>15.546832723542762</v>
      </c>
      <c r="G19" s="13"/>
    </row>
    <row r="20" spans="1:7" ht="18" x14ac:dyDescent="0.2">
      <c r="A20" s="7">
        <v>38869</v>
      </c>
      <c r="B20" s="17">
        <v>11458</v>
      </c>
      <c r="C20" s="16"/>
      <c r="D20" s="18">
        <v>2022</v>
      </c>
      <c r="E20" s="20">
        <f>SUM(B207:B218)</f>
        <v>99567</v>
      </c>
      <c r="F20" s="10">
        <f t="shared" si="0"/>
        <v>-30.402902238190432</v>
      </c>
      <c r="G20" s="13"/>
    </row>
    <row r="21" spans="1:7" ht="18" x14ac:dyDescent="0.2">
      <c r="A21" s="7">
        <v>38899</v>
      </c>
      <c r="B21" s="17">
        <v>19490</v>
      </c>
      <c r="C21" s="16"/>
      <c r="D21" s="18">
        <v>2023</v>
      </c>
      <c r="E21" s="20">
        <f>SUM(B219:B230)</f>
        <v>110298</v>
      </c>
      <c r="F21" s="10">
        <f t="shared" si="0"/>
        <v>10.77766729940643</v>
      </c>
      <c r="G21" s="13"/>
    </row>
    <row r="22" spans="1:7" ht="18" x14ac:dyDescent="0.2">
      <c r="A22" s="7">
        <v>38930</v>
      </c>
      <c r="B22" s="17">
        <v>19100</v>
      </c>
      <c r="C22" s="16"/>
      <c r="D22" s="18">
        <v>2024</v>
      </c>
      <c r="E22" s="20">
        <f>SUM(B231:B242)</f>
        <v>141245</v>
      </c>
      <c r="F22" s="10">
        <f t="shared" si="0"/>
        <v>28.057625704908524</v>
      </c>
      <c r="G22" s="13"/>
    </row>
    <row r="23" spans="1:7" ht="18" x14ac:dyDescent="0.2">
      <c r="A23" s="7">
        <v>38961</v>
      </c>
      <c r="B23" s="17">
        <v>10001</v>
      </c>
      <c r="C23" s="16"/>
      <c r="D23" s="33"/>
      <c r="E23" s="34"/>
      <c r="F23" s="35"/>
      <c r="G23" s="13"/>
    </row>
    <row r="24" spans="1:7" ht="18" x14ac:dyDescent="0.2">
      <c r="A24" s="7">
        <v>38991</v>
      </c>
      <c r="B24" s="17">
        <v>8335</v>
      </c>
      <c r="C24" s="16"/>
    </row>
    <row r="25" spans="1:7" ht="18" x14ac:dyDescent="0.2">
      <c r="A25" s="7">
        <v>39022</v>
      </c>
      <c r="B25" s="17">
        <v>9520</v>
      </c>
      <c r="C25" s="16"/>
    </row>
    <row r="26" spans="1:7" ht="18" x14ac:dyDescent="0.2">
      <c r="A26" s="7">
        <v>39052</v>
      </c>
      <c r="B26" s="17">
        <v>14962</v>
      </c>
      <c r="C26" s="16"/>
    </row>
    <row r="27" spans="1:7" ht="18" x14ac:dyDescent="0.2">
      <c r="A27" s="7">
        <v>39083</v>
      </c>
      <c r="B27" s="17">
        <v>9375</v>
      </c>
      <c r="C27" s="16"/>
    </row>
    <row r="28" spans="1:7" ht="18" x14ac:dyDescent="0.2">
      <c r="A28" s="7">
        <v>39114</v>
      </c>
      <c r="B28" s="17">
        <v>10367</v>
      </c>
      <c r="C28" s="16"/>
    </row>
    <row r="29" spans="1:7" ht="18" x14ac:dyDescent="0.2">
      <c r="A29" s="7">
        <v>39142</v>
      </c>
      <c r="B29" s="17">
        <v>14339</v>
      </c>
      <c r="C29" s="16"/>
    </row>
    <row r="30" spans="1:7" ht="18" x14ac:dyDescent="0.2">
      <c r="A30" s="7">
        <v>39173</v>
      </c>
      <c r="B30" s="17">
        <v>12047</v>
      </c>
      <c r="C30" s="16"/>
    </row>
    <row r="31" spans="1:7" ht="18" x14ac:dyDescent="0.2">
      <c r="A31" s="7">
        <v>39203</v>
      </c>
      <c r="B31" s="17">
        <v>10133</v>
      </c>
      <c r="C31" s="16"/>
    </row>
    <row r="32" spans="1:7" ht="18" x14ac:dyDescent="0.2">
      <c r="A32" s="7">
        <v>39234</v>
      </c>
      <c r="B32" s="17">
        <v>10371</v>
      </c>
      <c r="C32" s="16"/>
    </row>
    <row r="33" spans="1:3" ht="18" x14ac:dyDescent="0.2">
      <c r="A33" s="7">
        <v>39264</v>
      </c>
      <c r="B33" s="17">
        <v>13136</v>
      </c>
      <c r="C33" s="16"/>
    </row>
    <row r="34" spans="1:3" ht="18" x14ac:dyDescent="0.2">
      <c r="A34" s="7">
        <v>39295</v>
      </c>
      <c r="B34" s="17">
        <v>9504</v>
      </c>
      <c r="C34" s="16"/>
    </row>
    <row r="35" spans="1:3" ht="18" x14ac:dyDescent="0.2">
      <c r="A35" s="7">
        <v>39326</v>
      </c>
      <c r="B35" s="17">
        <v>6191</v>
      </c>
      <c r="C35" s="16"/>
    </row>
    <row r="36" spans="1:3" ht="18" x14ac:dyDescent="0.2">
      <c r="A36" s="7">
        <v>39356</v>
      </c>
      <c r="B36" s="17">
        <v>5920</v>
      </c>
      <c r="C36" s="16"/>
    </row>
    <row r="37" spans="1:3" ht="18" x14ac:dyDescent="0.2">
      <c r="A37" s="7">
        <v>39387</v>
      </c>
      <c r="B37" s="17">
        <v>5360</v>
      </c>
      <c r="C37" s="16"/>
    </row>
    <row r="38" spans="1:3" ht="18" x14ac:dyDescent="0.2">
      <c r="A38" s="7">
        <v>39417</v>
      </c>
      <c r="B38" s="17">
        <v>10403</v>
      </c>
      <c r="C38" s="16"/>
    </row>
    <row r="39" spans="1:3" ht="18" x14ac:dyDescent="0.2">
      <c r="A39" s="7">
        <v>39448</v>
      </c>
      <c r="B39" s="17">
        <v>8375</v>
      </c>
      <c r="C39" s="16"/>
    </row>
    <row r="40" spans="1:3" ht="18" x14ac:dyDescent="0.2">
      <c r="A40" s="7">
        <v>39479</v>
      </c>
      <c r="B40" s="17">
        <v>12881</v>
      </c>
      <c r="C40" s="16"/>
    </row>
    <row r="41" spans="1:3" ht="18" x14ac:dyDescent="0.2">
      <c r="A41" s="7">
        <v>39508</v>
      </c>
      <c r="B41" s="17">
        <v>10168</v>
      </c>
      <c r="C41" s="16"/>
    </row>
    <row r="42" spans="1:3" ht="18" x14ac:dyDescent="0.2">
      <c r="A42" s="7">
        <v>39539</v>
      </c>
      <c r="B42" s="17">
        <v>12200</v>
      </c>
      <c r="C42" s="16"/>
    </row>
    <row r="43" spans="1:3" ht="18" x14ac:dyDescent="0.2">
      <c r="A43" s="7">
        <v>39569</v>
      </c>
      <c r="B43" s="17">
        <v>8449</v>
      </c>
      <c r="C43" s="16"/>
    </row>
    <row r="44" spans="1:3" ht="18" x14ac:dyDescent="0.2">
      <c r="A44" s="7">
        <v>39600</v>
      </c>
      <c r="B44" s="17">
        <v>7282</v>
      </c>
      <c r="C44" s="16"/>
    </row>
    <row r="45" spans="1:3" ht="18" x14ac:dyDescent="0.2">
      <c r="A45" s="7">
        <v>39630</v>
      </c>
      <c r="B45" s="17">
        <v>7486</v>
      </c>
      <c r="C45" s="16"/>
    </row>
    <row r="46" spans="1:3" ht="18" x14ac:dyDescent="0.2">
      <c r="A46" s="7">
        <v>39661</v>
      </c>
      <c r="B46" s="17">
        <v>11276</v>
      </c>
      <c r="C46" s="16"/>
    </row>
    <row r="47" spans="1:3" ht="18" x14ac:dyDescent="0.2">
      <c r="A47" s="7">
        <v>39692</v>
      </c>
      <c r="B47" s="17">
        <v>5192</v>
      </c>
      <c r="C47" s="16"/>
    </row>
    <row r="48" spans="1:3" ht="18" x14ac:dyDescent="0.2">
      <c r="A48" s="7">
        <v>39722</v>
      </c>
      <c r="B48" s="17">
        <v>4980</v>
      </c>
      <c r="C48" s="16"/>
    </row>
    <row r="49" spans="1:3" ht="18" x14ac:dyDescent="0.2">
      <c r="A49" s="7">
        <v>39753</v>
      </c>
      <c r="B49" s="17">
        <v>5601</v>
      </c>
      <c r="C49" s="16"/>
    </row>
    <row r="50" spans="1:3" ht="18" x14ac:dyDescent="0.2">
      <c r="A50" s="7">
        <v>39783</v>
      </c>
      <c r="B50" s="17">
        <v>6735</v>
      </c>
      <c r="C50" s="16"/>
    </row>
    <row r="51" spans="1:3" ht="18" x14ac:dyDescent="0.2">
      <c r="A51" s="7">
        <v>39814</v>
      </c>
      <c r="B51" s="17">
        <v>6679</v>
      </c>
      <c r="C51" s="16"/>
    </row>
    <row r="52" spans="1:3" ht="18" x14ac:dyDescent="0.2">
      <c r="A52" s="7">
        <v>39845</v>
      </c>
      <c r="B52" s="17">
        <v>6678</v>
      </c>
      <c r="C52" s="16"/>
    </row>
    <row r="53" spans="1:3" ht="18" x14ac:dyDescent="0.2">
      <c r="A53" s="7">
        <v>39873</v>
      </c>
      <c r="B53" s="17">
        <v>6789</v>
      </c>
      <c r="C53" s="16"/>
    </row>
    <row r="54" spans="1:3" ht="18" x14ac:dyDescent="0.2">
      <c r="A54" s="7">
        <v>39904</v>
      </c>
      <c r="B54" s="17">
        <v>6569</v>
      </c>
      <c r="C54" s="16"/>
    </row>
    <row r="55" spans="1:3" ht="18" x14ac:dyDescent="0.2">
      <c r="A55" s="7">
        <v>39934</v>
      </c>
      <c r="B55" s="17">
        <v>7412</v>
      </c>
      <c r="C55" s="16"/>
    </row>
    <row r="56" spans="1:3" ht="18" x14ac:dyDescent="0.2">
      <c r="A56" s="7">
        <v>39965</v>
      </c>
      <c r="B56" s="17">
        <v>8171</v>
      </c>
      <c r="C56" s="16"/>
    </row>
    <row r="57" spans="1:3" ht="18" x14ac:dyDescent="0.2">
      <c r="A57" s="7">
        <v>39995</v>
      </c>
      <c r="B57" s="17">
        <v>6340</v>
      </c>
      <c r="C57" s="16"/>
    </row>
    <row r="58" spans="1:3" ht="18" x14ac:dyDescent="0.2">
      <c r="A58" s="7">
        <v>40026</v>
      </c>
      <c r="B58" s="17">
        <v>7800</v>
      </c>
      <c r="C58" s="16"/>
    </row>
    <row r="59" spans="1:3" ht="18" x14ac:dyDescent="0.2">
      <c r="A59" s="7">
        <v>40057</v>
      </c>
      <c r="B59" s="17">
        <v>5438</v>
      </c>
      <c r="C59" s="16"/>
    </row>
    <row r="60" spans="1:3" ht="18" x14ac:dyDescent="0.2">
      <c r="A60" s="7">
        <v>40087</v>
      </c>
      <c r="B60" s="17">
        <v>6339</v>
      </c>
      <c r="C60" s="16"/>
    </row>
    <row r="61" spans="1:3" ht="18" x14ac:dyDescent="0.2">
      <c r="A61" s="7">
        <v>40118</v>
      </c>
      <c r="B61" s="17">
        <v>6502</v>
      </c>
      <c r="C61" s="16"/>
    </row>
    <row r="62" spans="1:3" ht="18" x14ac:dyDescent="0.2">
      <c r="A62" s="7">
        <v>40148</v>
      </c>
      <c r="B62" s="17">
        <v>9184</v>
      </c>
      <c r="C62" s="16"/>
    </row>
    <row r="63" spans="1:3" ht="18" x14ac:dyDescent="0.2">
      <c r="A63" s="7">
        <v>40179</v>
      </c>
      <c r="B63" s="17">
        <v>4865</v>
      </c>
      <c r="C63" s="16"/>
    </row>
    <row r="64" spans="1:3" ht="18" x14ac:dyDescent="0.2">
      <c r="A64" s="7">
        <v>40210</v>
      </c>
      <c r="B64" s="17">
        <v>6672</v>
      </c>
      <c r="C64" s="16"/>
    </row>
    <row r="65" spans="1:3" ht="18" x14ac:dyDescent="0.2">
      <c r="A65" s="7">
        <v>40238</v>
      </c>
      <c r="B65" s="17">
        <v>10432</v>
      </c>
      <c r="C65" s="16"/>
    </row>
    <row r="66" spans="1:3" ht="18" x14ac:dyDescent="0.2">
      <c r="A66" s="7">
        <v>40269</v>
      </c>
      <c r="B66" s="17">
        <v>9322</v>
      </c>
      <c r="C66" s="16"/>
    </row>
    <row r="67" spans="1:3" ht="18" x14ac:dyDescent="0.2">
      <c r="A67" s="7">
        <v>40299</v>
      </c>
      <c r="B67" s="17">
        <v>9834</v>
      </c>
      <c r="C67" s="16"/>
    </row>
    <row r="68" spans="1:3" ht="18" x14ac:dyDescent="0.2">
      <c r="A68" s="7">
        <v>40330</v>
      </c>
      <c r="B68" s="17">
        <v>8986</v>
      </c>
      <c r="C68" s="16"/>
    </row>
    <row r="69" spans="1:3" ht="18" x14ac:dyDescent="0.2">
      <c r="A69" s="7">
        <v>40360</v>
      </c>
      <c r="B69" s="17">
        <v>9570</v>
      </c>
      <c r="C69" s="16"/>
    </row>
    <row r="70" spans="1:3" ht="18" x14ac:dyDescent="0.2">
      <c r="A70" s="7">
        <v>40391</v>
      </c>
      <c r="B70" s="17">
        <v>8484</v>
      </c>
      <c r="C70" s="16"/>
    </row>
    <row r="71" spans="1:3" ht="18" x14ac:dyDescent="0.2">
      <c r="A71" s="7">
        <v>40422</v>
      </c>
      <c r="B71" s="17">
        <v>8059</v>
      </c>
      <c r="C71" s="16"/>
    </row>
    <row r="72" spans="1:3" ht="18" x14ac:dyDescent="0.2">
      <c r="A72" s="7">
        <v>40452</v>
      </c>
      <c r="B72" s="17">
        <v>8169</v>
      </c>
      <c r="C72" s="16"/>
    </row>
    <row r="73" spans="1:3" ht="18" x14ac:dyDescent="0.2">
      <c r="A73" s="7">
        <v>40483</v>
      </c>
      <c r="B73" s="17">
        <v>7593</v>
      </c>
      <c r="C73" s="16"/>
    </row>
    <row r="74" spans="1:3" ht="18" x14ac:dyDescent="0.2">
      <c r="A74" s="7">
        <v>40513</v>
      </c>
      <c r="B74" s="17">
        <v>10337</v>
      </c>
      <c r="C74" s="16"/>
    </row>
    <row r="75" spans="1:3" ht="18" x14ac:dyDescent="0.2">
      <c r="A75" s="7">
        <v>40544</v>
      </c>
      <c r="B75" s="17">
        <v>6703</v>
      </c>
      <c r="C75" s="16"/>
    </row>
    <row r="76" spans="1:3" ht="18" x14ac:dyDescent="0.2">
      <c r="A76" s="7">
        <v>40575</v>
      </c>
      <c r="B76" s="17">
        <v>8224</v>
      </c>
      <c r="C76" s="16"/>
    </row>
    <row r="77" spans="1:3" ht="18" x14ac:dyDescent="0.2">
      <c r="A77" s="7">
        <v>40603</v>
      </c>
      <c r="B77" s="17">
        <v>9608</v>
      </c>
      <c r="C77" s="16"/>
    </row>
    <row r="78" spans="1:3" ht="18" x14ac:dyDescent="0.2">
      <c r="A78" s="7">
        <v>40634</v>
      </c>
      <c r="B78" s="17">
        <v>9488</v>
      </c>
      <c r="C78" s="16"/>
    </row>
    <row r="79" spans="1:3" ht="18" x14ac:dyDescent="0.2">
      <c r="A79" s="7">
        <v>40664</v>
      </c>
      <c r="B79" s="17">
        <v>8560</v>
      </c>
      <c r="C79" s="16"/>
    </row>
    <row r="80" spans="1:3" ht="18" x14ac:dyDescent="0.2">
      <c r="A80" s="7">
        <v>40695</v>
      </c>
      <c r="B80" s="17">
        <v>9035</v>
      </c>
      <c r="C80" s="16"/>
    </row>
    <row r="81" spans="1:3" ht="18" x14ac:dyDescent="0.2">
      <c r="A81" s="7">
        <v>40725</v>
      </c>
      <c r="B81" s="17">
        <v>9954</v>
      </c>
      <c r="C81" s="16"/>
    </row>
    <row r="82" spans="1:3" ht="18" x14ac:dyDescent="0.2">
      <c r="A82" s="7">
        <v>40756</v>
      </c>
      <c r="B82" s="17">
        <v>9825</v>
      </c>
      <c r="C82" s="16"/>
    </row>
    <row r="83" spans="1:3" ht="18" x14ac:dyDescent="0.2">
      <c r="A83" s="7">
        <v>40787</v>
      </c>
      <c r="B83" s="17">
        <v>10306</v>
      </c>
      <c r="C83" s="16"/>
    </row>
    <row r="84" spans="1:3" ht="18" x14ac:dyDescent="0.2">
      <c r="A84" s="7">
        <v>40817</v>
      </c>
      <c r="B84" s="17">
        <v>12466</v>
      </c>
      <c r="C84" s="16"/>
    </row>
    <row r="85" spans="1:3" ht="18" x14ac:dyDescent="0.2">
      <c r="A85" s="7">
        <v>40848</v>
      </c>
      <c r="B85" s="17">
        <v>10487</v>
      </c>
      <c r="C85" s="16"/>
    </row>
    <row r="86" spans="1:3" ht="18" x14ac:dyDescent="0.2">
      <c r="A86" s="7">
        <v>40878</v>
      </c>
      <c r="B86" s="17">
        <v>11641</v>
      </c>
      <c r="C86" s="16"/>
    </row>
    <row r="87" spans="1:3" ht="18" x14ac:dyDescent="0.2">
      <c r="A87" s="7">
        <v>40909</v>
      </c>
      <c r="B87" s="17">
        <v>6365</v>
      </c>
      <c r="C87" s="16"/>
    </row>
    <row r="88" spans="1:3" ht="18" x14ac:dyDescent="0.2">
      <c r="A88" s="7">
        <v>40940</v>
      </c>
      <c r="B88" s="17">
        <v>17758</v>
      </c>
      <c r="C88" s="16"/>
    </row>
    <row r="89" spans="1:3" ht="18" x14ac:dyDescent="0.2">
      <c r="A89" s="7">
        <v>40969</v>
      </c>
      <c r="B89" s="17">
        <v>10097</v>
      </c>
      <c r="C89" s="16"/>
    </row>
    <row r="90" spans="1:3" ht="18" x14ac:dyDescent="0.2">
      <c r="A90" s="7">
        <v>41000</v>
      </c>
      <c r="B90" s="17">
        <v>8827</v>
      </c>
      <c r="C90" s="16"/>
    </row>
    <row r="91" spans="1:3" ht="18" x14ac:dyDescent="0.2">
      <c r="A91" s="7">
        <v>41030</v>
      </c>
      <c r="B91" s="17">
        <v>10749</v>
      </c>
      <c r="C91" s="16"/>
    </row>
    <row r="92" spans="1:3" ht="18" x14ac:dyDescent="0.2">
      <c r="A92" s="7">
        <v>41061</v>
      </c>
      <c r="B92" s="17">
        <v>9959</v>
      </c>
      <c r="C92" s="16"/>
    </row>
    <row r="93" spans="1:3" ht="18" x14ac:dyDescent="0.2">
      <c r="A93" s="7">
        <v>41091</v>
      </c>
      <c r="B93" s="17">
        <v>9757</v>
      </c>
      <c r="C93" s="16"/>
    </row>
    <row r="94" spans="1:3" ht="18" x14ac:dyDescent="0.2">
      <c r="A94" s="7">
        <v>41122</v>
      </c>
      <c r="B94" s="17">
        <v>10610</v>
      </c>
      <c r="C94" s="16"/>
    </row>
    <row r="95" spans="1:3" ht="18" x14ac:dyDescent="0.2">
      <c r="A95" s="7">
        <v>41153</v>
      </c>
      <c r="B95" s="17">
        <v>10045</v>
      </c>
      <c r="C95" s="16"/>
    </row>
    <row r="96" spans="1:3" ht="18" x14ac:dyDescent="0.2">
      <c r="A96" s="7">
        <v>41183</v>
      </c>
      <c r="B96" s="17">
        <v>8828</v>
      </c>
      <c r="C96" s="16"/>
    </row>
    <row r="97" spans="1:3" ht="18" x14ac:dyDescent="0.2">
      <c r="A97" s="7">
        <v>41214</v>
      </c>
      <c r="B97" s="17">
        <v>9366</v>
      </c>
      <c r="C97" s="16"/>
    </row>
    <row r="98" spans="1:3" ht="18" x14ac:dyDescent="0.2">
      <c r="A98" s="7">
        <v>41244</v>
      </c>
      <c r="B98" s="17">
        <v>11366</v>
      </c>
      <c r="C98" s="16"/>
    </row>
    <row r="99" spans="1:3" ht="18" x14ac:dyDescent="0.2">
      <c r="A99" s="7">
        <v>41275</v>
      </c>
      <c r="B99" s="17">
        <v>7405</v>
      </c>
      <c r="C99" s="16"/>
    </row>
    <row r="100" spans="1:3" ht="18" x14ac:dyDescent="0.2">
      <c r="A100" s="7">
        <v>41306</v>
      </c>
      <c r="B100" s="17">
        <v>9614</v>
      </c>
      <c r="C100" s="16"/>
    </row>
    <row r="101" spans="1:3" ht="18" x14ac:dyDescent="0.2">
      <c r="A101" s="7">
        <v>41334</v>
      </c>
      <c r="B101" s="17">
        <v>11207</v>
      </c>
      <c r="C101" s="16"/>
    </row>
    <row r="102" spans="1:3" ht="18" x14ac:dyDescent="0.2">
      <c r="A102" s="7">
        <v>41365</v>
      </c>
      <c r="B102" s="17">
        <v>10613</v>
      </c>
      <c r="C102" s="16"/>
    </row>
    <row r="103" spans="1:3" ht="18" x14ac:dyDescent="0.2">
      <c r="A103" s="7">
        <v>41395</v>
      </c>
      <c r="B103" s="17">
        <v>11963</v>
      </c>
      <c r="C103" s="16"/>
    </row>
    <row r="104" spans="1:3" ht="18" x14ac:dyDescent="0.2">
      <c r="A104" s="7">
        <v>41426</v>
      </c>
      <c r="B104" s="17">
        <v>12085</v>
      </c>
      <c r="C104" s="16"/>
    </row>
    <row r="105" spans="1:3" ht="18" x14ac:dyDescent="0.2">
      <c r="A105" s="7">
        <v>41456</v>
      </c>
      <c r="B105" s="17">
        <v>12932</v>
      </c>
      <c r="C105" s="16"/>
    </row>
    <row r="106" spans="1:3" ht="18" x14ac:dyDescent="0.2">
      <c r="A106" s="7">
        <v>41487</v>
      </c>
      <c r="B106" s="17">
        <v>14877</v>
      </c>
      <c r="C106" s="16"/>
    </row>
    <row r="107" spans="1:3" ht="18" x14ac:dyDescent="0.2">
      <c r="A107" s="7">
        <v>41518</v>
      </c>
      <c r="B107" s="17">
        <v>9659</v>
      </c>
      <c r="C107" s="16"/>
    </row>
    <row r="108" spans="1:3" ht="18" x14ac:dyDescent="0.2">
      <c r="A108" s="7">
        <v>41548</v>
      </c>
      <c r="B108" s="17">
        <v>9202</v>
      </c>
      <c r="C108" s="16"/>
    </row>
    <row r="109" spans="1:3" ht="18" x14ac:dyDescent="0.2">
      <c r="A109" s="7">
        <v>41579</v>
      </c>
      <c r="B109" s="17">
        <v>8150</v>
      </c>
      <c r="C109" s="16"/>
    </row>
    <row r="110" spans="1:3" ht="18" x14ac:dyDescent="0.2">
      <c r="A110" s="7">
        <v>41609</v>
      </c>
      <c r="B110" s="17">
        <v>8971</v>
      </c>
      <c r="C110" s="16"/>
    </row>
    <row r="111" spans="1:3" ht="18" x14ac:dyDescent="0.2">
      <c r="A111" s="7">
        <v>41640</v>
      </c>
      <c r="B111" s="17">
        <v>6224</v>
      </c>
      <c r="C111" s="16"/>
    </row>
    <row r="112" spans="1:3" ht="18" x14ac:dyDescent="0.2">
      <c r="A112" s="7">
        <v>41671</v>
      </c>
      <c r="B112" s="17">
        <v>6913</v>
      </c>
      <c r="C112" s="16"/>
    </row>
    <row r="113" spans="1:3" ht="18" x14ac:dyDescent="0.2">
      <c r="A113" s="7">
        <v>41699</v>
      </c>
      <c r="B113" s="17">
        <v>8894</v>
      </c>
      <c r="C113" s="16"/>
    </row>
    <row r="114" spans="1:3" ht="18" x14ac:dyDescent="0.2">
      <c r="A114" s="7">
        <v>41730</v>
      </c>
      <c r="B114" s="17">
        <v>8765</v>
      </c>
      <c r="C114" s="16"/>
    </row>
    <row r="115" spans="1:3" ht="18" x14ac:dyDescent="0.2">
      <c r="A115" s="7">
        <v>41760</v>
      </c>
      <c r="B115" s="17">
        <v>10054</v>
      </c>
      <c r="C115" s="16"/>
    </row>
    <row r="116" spans="1:3" ht="18" x14ac:dyDescent="0.2">
      <c r="A116" s="7">
        <v>41791</v>
      </c>
      <c r="B116" s="17">
        <v>9830</v>
      </c>
      <c r="C116" s="16"/>
    </row>
    <row r="117" spans="1:3" ht="18" x14ac:dyDescent="0.2">
      <c r="A117" s="7">
        <v>41821</v>
      </c>
      <c r="B117" s="17">
        <v>10933</v>
      </c>
      <c r="C117" s="16"/>
    </row>
    <row r="118" spans="1:3" ht="18" x14ac:dyDescent="0.2">
      <c r="A118" s="7">
        <v>41852</v>
      </c>
      <c r="B118" s="17">
        <v>10810</v>
      </c>
      <c r="C118" s="16"/>
    </row>
    <row r="119" spans="1:3" ht="18" x14ac:dyDescent="0.2">
      <c r="A119" s="7">
        <v>41883</v>
      </c>
      <c r="B119" s="17">
        <v>7824</v>
      </c>
      <c r="C119" s="16"/>
    </row>
    <row r="120" spans="1:3" ht="18" x14ac:dyDescent="0.2">
      <c r="A120" s="7">
        <v>41913</v>
      </c>
      <c r="B120" s="17">
        <v>7903</v>
      </c>
      <c r="C120" s="16"/>
    </row>
    <row r="121" spans="1:3" ht="18" x14ac:dyDescent="0.2">
      <c r="A121" s="7">
        <v>41944</v>
      </c>
      <c r="B121" s="17">
        <v>9228</v>
      </c>
      <c r="C121" s="16"/>
    </row>
    <row r="122" spans="1:3" ht="18" x14ac:dyDescent="0.2">
      <c r="A122" s="7">
        <v>41974</v>
      </c>
      <c r="B122" s="17">
        <v>11479</v>
      </c>
      <c r="C122" s="16"/>
    </row>
    <row r="123" spans="1:3" ht="18" x14ac:dyDescent="0.2">
      <c r="A123" s="7">
        <v>42005</v>
      </c>
      <c r="B123" s="17">
        <v>12315</v>
      </c>
      <c r="C123" s="16"/>
    </row>
    <row r="124" spans="1:3" ht="18" x14ac:dyDescent="0.2">
      <c r="A124" s="7">
        <v>42036</v>
      </c>
      <c r="B124" s="17">
        <v>12629</v>
      </c>
      <c r="C124" s="16"/>
    </row>
    <row r="125" spans="1:3" ht="18" x14ac:dyDescent="0.2">
      <c r="A125" s="7">
        <v>42064</v>
      </c>
      <c r="B125" s="17">
        <v>11937</v>
      </c>
      <c r="C125" s="16"/>
    </row>
    <row r="126" spans="1:3" ht="18" x14ac:dyDescent="0.2">
      <c r="A126" s="7">
        <v>42095</v>
      </c>
      <c r="B126" s="17">
        <v>11222</v>
      </c>
      <c r="C126" s="16"/>
    </row>
    <row r="127" spans="1:3" ht="18" x14ac:dyDescent="0.2">
      <c r="A127" s="7">
        <v>42125</v>
      </c>
      <c r="B127" s="17">
        <v>11760</v>
      </c>
      <c r="C127" s="16"/>
    </row>
    <row r="128" spans="1:3" ht="18" x14ac:dyDescent="0.2">
      <c r="A128" s="7">
        <v>42156</v>
      </c>
      <c r="B128" s="17">
        <v>9093</v>
      </c>
      <c r="C128" s="16"/>
    </row>
    <row r="129" spans="1:3" ht="18" x14ac:dyDescent="0.2">
      <c r="A129" s="7">
        <v>42186</v>
      </c>
      <c r="B129" s="17">
        <v>9584</v>
      </c>
      <c r="C129" s="16"/>
    </row>
    <row r="130" spans="1:3" ht="18" x14ac:dyDescent="0.2">
      <c r="A130" s="7">
        <v>42217</v>
      </c>
      <c r="B130" s="17">
        <v>10202</v>
      </c>
      <c r="C130" s="16"/>
    </row>
    <row r="131" spans="1:3" ht="18" x14ac:dyDescent="0.2">
      <c r="A131" s="7">
        <v>42248</v>
      </c>
      <c r="B131" s="17">
        <v>10238</v>
      </c>
      <c r="C131" s="16"/>
    </row>
    <row r="132" spans="1:3" ht="18" x14ac:dyDescent="0.2">
      <c r="A132" s="7">
        <v>42278</v>
      </c>
      <c r="B132" s="17">
        <v>12913</v>
      </c>
      <c r="C132" s="16"/>
    </row>
    <row r="133" spans="1:3" ht="18" x14ac:dyDescent="0.2">
      <c r="A133" s="7">
        <v>42309</v>
      </c>
      <c r="B133" s="17">
        <v>10975</v>
      </c>
      <c r="C133" s="16"/>
    </row>
    <row r="134" spans="1:3" ht="18" x14ac:dyDescent="0.2">
      <c r="A134" s="7">
        <v>42339</v>
      </c>
      <c r="B134" s="17">
        <v>13344</v>
      </c>
      <c r="C134" s="16"/>
    </row>
    <row r="135" spans="1:3" ht="18" x14ac:dyDescent="0.2">
      <c r="A135" s="7">
        <v>42370</v>
      </c>
      <c r="B135" s="17">
        <v>8561</v>
      </c>
      <c r="C135" s="16"/>
    </row>
    <row r="136" spans="1:3" ht="18" x14ac:dyDescent="0.2">
      <c r="A136" s="7">
        <v>42401</v>
      </c>
      <c r="B136" s="17">
        <v>9572</v>
      </c>
      <c r="C136" s="16"/>
    </row>
    <row r="137" spans="1:3" ht="18" x14ac:dyDescent="0.2">
      <c r="A137" s="7">
        <v>42430</v>
      </c>
      <c r="B137" s="17">
        <v>10593</v>
      </c>
      <c r="C137" s="16"/>
    </row>
    <row r="138" spans="1:3" ht="18" x14ac:dyDescent="0.2">
      <c r="A138" s="7">
        <v>42461</v>
      </c>
      <c r="B138" s="17">
        <v>11370</v>
      </c>
      <c r="C138" s="16"/>
    </row>
    <row r="139" spans="1:3" ht="18" x14ac:dyDescent="0.2">
      <c r="A139" s="7">
        <v>42491</v>
      </c>
      <c r="B139" s="17">
        <v>11248</v>
      </c>
      <c r="C139" s="16"/>
    </row>
    <row r="140" spans="1:3" ht="18" x14ac:dyDescent="0.2">
      <c r="A140" s="7">
        <v>42522</v>
      </c>
      <c r="B140" s="17">
        <v>10830</v>
      </c>
      <c r="C140" s="16"/>
    </row>
    <row r="141" spans="1:3" ht="18" x14ac:dyDescent="0.2">
      <c r="A141" s="7">
        <v>42552</v>
      </c>
      <c r="B141" s="17">
        <v>10350</v>
      </c>
      <c r="C141" s="16"/>
    </row>
    <row r="142" spans="1:3" ht="18" x14ac:dyDescent="0.2">
      <c r="A142" s="7">
        <v>42583</v>
      </c>
      <c r="B142" s="17">
        <v>9269</v>
      </c>
      <c r="C142" s="16"/>
    </row>
    <row r="143" spans="1:3" ht="18" x14ac:dyDescent="0.2">
      <c r="A143" s="7">
        <v>42614</v>
      </c>
      <c r="B143" s="17">
        <v>9206</v>
      </c>
      <c r="C143" s="16"/>
    </row>
    <row r="144" spans="1:3" ht="18" x14ac:dyDescent="0.2">
      <c r="A144" s="7">
        <v>42644</v>
      </c>
      <c r="B144" s="17">
        <v>8677</v>
      </c>
      <c r="C144" s="16"/>
    </row>
    <row r="145" spans="1:3" ht="18" x14ac:dyDescent="0.2">
      <c r="A145" s="7">
        <v>42675</v>
      </c>
      <c r="B145" s="17">
        <v>9024</v>
      </c>
      <c r="C145" s="16"/>
    </row>
    <row r="146" spans="1:3" ht="18" x14ac:dyDescent="0.2">
      <c r="A146" s="7">
        <v>42705</v>
      </c>
      <c r="B146" s="17">
        <v>12072</v>
      </c>
      <c r="C146" s="16"/>
    </row>
    <row r="147" spans="1:3" ht="18" x14ac:dyDescent="0.2">
      <c r="A147" s="7">
        <v>42736</v>
      </c>
      <c r="B147" s="17">
        <v>7180</v>
      </c>
      <c r="C147" s="16"/>
    </row>
    <row r="148" spans="1:3" ht="18" x14ac:dyDescent="0.2">
      <c r="A148" s="7">
        <v>42767</v>
      </c>
      <c r="B148" s="17">
        <v>8099</v>
      </c>
      <c r="C148" s="16"/>
    </row>
    <row r="149" spans="1:3" ht="18" x14ac:dyDescent="0.2">
      <c r="A149" s="7">
        <v>42795</v>
      </c>
      <c r="B149" s="17">
        <v>9945</v>
      </c>
      <c r="C149" s="16"/>
    </row>
    <row r="150" spans="1:3" ht="18" x14ac:dyDescent="0.2">
      <c r="A150" s="7">
        <v>42826</v>
      </c>
      <c r="B150" s="17">
        <v>9746</v>
      </c>
      <c r="C150" s="16"/>
    </row>
    <row r="151" spans="1:3" ht="18" x14ac:dyDescent="0.2">
      <c r="A151" s="7">
        <v>42856</v>
      </c>
      <c r="B151" s="17">
        <v>9976</v>
      </c>
      <c r="C151" s="16"/>
    </row>
    <row r="152" spans="1:3" ht="18" x14ac:dyDescent="0.2">
      <c r="A152" s="7">
        <v>42887</v>
      </c>
      <c r="B152" s="17">
        <v>9409</v>
      </c>
      <c r="C152" s="16"/>
    </row>
    <row r="153" spans="1:3" ht="18" x14ac:dyDescent="0.2">
      <c r="A153" s="7">
        <v>42917</v>
      </c>
      <c r="B153" s="17">
        <v>9985</v>
      </c>
      <c r="C153" s="16"/>
    </row>
    <row r="154" spans="1:3" ht="18" x14ac:dyDescent="0.2">
      <c r="A154" s="7">
        <v>42948</v>
      </c>
      <c r="B154" s="17">
        <v>9568</v>
      </c>
      <c r="C154" s="16"/>
    </row>
    <row r="155" spans="1:3" ht="18" x14ac:dyDescent="0.2">
      <c r="A155" s="7">
        <v>42979</v>
      </c>
      <c r="B155" s="17">
        <v>10295</v>
      </c>
      <c r="C155" s="16"/>
    </row>
    <row r="156" spans="1:3" ht="18" x14ac:dyDescent="0.2">
      <c r="A156" s="7">
        <v>43009</v>
      </c>
      <c r="B156" s="17">
        <v>10285</v>
      </c>
      <c r="C156" s="16"/>
    </row>
    <row r="157" spans="1:3" ht="18" x14ac:dyDescent="0.2">
      <c r="A157" s="7">
        <v>43040</v>
      </c>
      <c r="B157" s="17">
        <v>14189</v>
      </c>
      <c r="C157" s="16"/>
    </row>
    <row r="158" spans="1:3" ht="18" x14ac:dyDescent="0.2">
      <c r="A158" s="7">
        <v>43070</v>
      </c>
      <c r="B158" s="17">
        <v>18602</v>
      </c>
      <c r="C158" s="16"/>
    </row>
    <row r="159" spans="1:3" ht="18" x14ac:dyDescent="0.2">
      <c r="A159" s="7">
        <v>43101</v>
      </c>
      <c r="B159" s="17">
        <v>11619</v>
      </c>
      <c r="C159" s="16"/>
    </row>
    <row r="160" spans="1:3" ht="18" x14ac:dyDescent="0.2">
      <c r="A160" s="7">
        <v>43132</v>
      </c>
      <c r="B160" s="17">
        <v>12056</v>
      </c>
      <c r="C160" s="16"/>
    </row>
    <row r="161" spans="1:3" ht="18" x14ac:dyDescent="0.2">
      <c r="A161" s="7">
        <v>43160</v>
      </c>
      <c r="B161" s="17">
        <v>14158</v>
      </c>
      <c r="C161" s="16"/>
    </row>
    <row r="162" spans="1:3" ht="18" x14ac:dyDescent="0.2">
      <c r="A162" s="7">
        <v>43191</v>
      </c>
      <c r="B162" s="17">
        <v>11891</v>
      </c>
      <c r="C162" s="16"/>
    </row>
    <row r="163" spans="1:3" ht="18" x14ac:dyDescent="0.2">
      <c r="A163" s="7">
        <v>43221</v>
      </c>
      <c r="B163" s="17">
        <v>13573</v>
      </c>
      <c r="C163" s="16"/>
    </row>
    <row r="164" spans="1:3" ht="18" x14ac:dyDescent="0.2">
      <c r="A164" s="7">
        <v>43252</v>
      </c>
      <c r="B164" s="17">
        <v>12782</v>
      </c>
      <c r="C164" s="16"/>
    </row>
    <row r="165" spans="1:3" ht="18" x14ac:dyDescent="0.2">
      <c r="A165" s="7">
        <v>43282</v>
      </c>
      <c r="B165" s="17">
        <v>13026</v>
      </c>
      <c r="C165" s="16"/>
    </row>
    <row r="166" spans="1:3" ht="18" x14ac:dyDescent="0.2">
      <c r="A166" s="7">
        <v>43313</v>
      </c>
      <c r="B166" s="17">
        <v>15332</v>
      </c>
      <c r="C166" s="16"/>
    </row>
    <row r="167" spans="1:3" ht="18" x14ac:dyDescent="0.2">
      <c r="A167" s="7">
        <v>43344</v>
      </c>
      <c r="B167" s="17">
        <v>15464</v>
      </c>
      <c r="C167" s="16"/>
    </row>
    <row r="168" spans="1:3" ht="18" x14ac:dyDescent="0.2">
      <c r="A168" s="7">
        <v>43374</v>
      </c>
      <c r="B168" s="17">
        <v>13479</v>
      </c>
      <c r="C168" s="16"/>
    </row>
    <row r="169" spans="1:3" ht="18" x14ac:dyDescent="0.2">
      <c r="A169" s="7">
        <v>43405</v>
      </c>
      <c r="B169" s="17">
        <v>10537</v>
      </c>
      <c r="C169" s="16"/>
    </row>
    <row r="170" spans="1:3" ht="18" x14ac:dyDescent="0.2">
      <c r="A170" s="7">
        <v>43435</v>
      </c>
      <c r="B170" s="17">
        <v>15698</v>
      </c>
      <c r="C170" s="16"/>
    </row>
    <row r="171" spans="1:3" ht="18" x14ac:dyDescent="0.2">
      <c r="A171" s="7">
        <v>43466</v>
      </c>
      <c r="B171" s="17">
        <v>8556</v>
      </c>
      <c r="C171" s="16"/>
    </row>
    <row r="172" spans="1:3" ht="18" x14ac:dyDescent="0.2">
      <c r="A172" s="7">
        <v>43497</v>
      </c>
      <c r="B172" s="17">
        <v>10990</v>
      </c>
      <c r="C172" s="16"/>
    </row>
    <row r="173" spans="1:3" ht="18" x14ac:dyDescent="0.2">
      <c r="A173" s="7">
        <v>43525</v>
      </c>
      <c r="B173" s="17">
        <v>13411</v>
      </c>
      <c r="C173" s="16"/>
    </row>
    <row r="174" spans="1:3" ht="18" x14ac:dyDescent="0.2">
      <c r="A174" s="7">
        <v>43556</v>
      </c>
      <c r="B174" s="17">
        <v>11399</v>
      </c>
      <c r="C174" s="16"/>
    </row>
    <row r="175" spans="1:3" ht="18" x14ac:dyDescent="0.2">
      <c r="A175" s="7">
        <v>43586</v>
      </c>
      <c r="B175" s="17">
        <v>12517</v>
      </c>
      <c r="C175" s="16"/>
    </row>
    <row r="176" spans="1:3" ht="18" x14ac:dyDescent="0.2">
      <c r="A176" s="7">
        <v>43617</v>
      </c>
      <c r="B176" s="17">
        <v>11579</v>
      </c>
      <c r="C176" s="16"/>
    </row>
    <row r="177" spans="1:3" ht="18" x14ac:dyDescent="0.2">
      <c r="A177" s="7">
        <v>43647</v>
      </c>
      <c r="B177" s="17">
        <v>11874</v>
      </c>
      <c r="C177" s="16"/>
    </row>
    <row r="178" spans="1:3" ht="18" x14ac:dyDescent="0.2">
      <c r="A178" s="7">
        <v>43678</v>
      </c>
      <c r="B178" s="17">
        <v>14381</v>
      </c>
      <c r="C178" s="16"/>
    </row>
    <row r="179" spans="1:3" ht="18" x14ac:dyDescent="0.2">
      <c r="A179" s="7">
        <v>43709</v>
      </c>
      <c r="B179" s="17">
        <v>9262</v>
      </c>
      <c r="C179" s="16"/>
    </row>
    <row r="180" spans="1:3" ht="18" x14ac:dyDescent="0.2">
      <c r="A180" s="7">
        <v>43739</v>
      </c>
      <c r="B180" s="17">
        <v>9529</v>
      </c>
      <c r="C180" s="16"/>
    </row>
    <row r="181" spans="1:3" ht="18" x14ac:dyDescent="0.2">
      <c r="A181" s="7">
        <v>43770</v>
      </c>
      <c r="B181" s="17">
        <v>10260</v>
      </c>
      <c r="C181" s="16"/>
    </row>
    <row r="182" spans="1:3" ht="18" x14ac:dyDescent="0.2">
      <c r="A182" s="7">
        <v>43800</v>
      </c>
      <c r="B182" s="17">
        <v>11250</v>
      </c>
      <c r="C182" s="16"/>
    </row>
    <row r="183" spans="1:3" ht="18" x14ac:dyDescent="0.2">
      <c r="A183" s="7">
        <v>43831</v>
      </c>
      <c r="B183" s="17">
        <v>7765</v>
      </c>
      <c r="C183" s="16"/>
    </row>
    <row r="184" spans="1:3" ht="18" x14ac:dyDescent="0.2">
      <c r="A184" s="7">
        <v>43862</v>
      </c>
      <c r="B184" s="17">
        <v>9688</v>
      </c>
      <c r="C184" s="16"/>
    </row>
    <row r="185" spans="1:3" ht="18" x14ac:dyDescent="0.2">
      <c r="A185" s="7">
        <v>43891</v>
      </c>
      <c r="B185" s="17">
        <v>6445</v>
      </c>
      <c r="C185" s="16"/>
    </row>
    <row r="186" spans="1:3" ht="18" x14ac:dyDescent="0.2">
      <c r="A186" s="7">
        <v>43922</v>
      </c>
      <c r="B186" s="17">
        <v>6562</v>
      </c>
      <c r="C186" s="16"/>
    </row>
    <row r="187" spans="1:3" ht="18" x14ac:dyDescent="0.2">
      <c r="A187" s="7">
        <v>43952</v>
      </c>
      <c r="B187" s="17">
        <v>12227</v>
      </c>
      <c r="C187" s="16"/>
    </row>
    <row r="188" spans="1:3" ht="18" x14ac:dyDescent="0.2">
      <c r="A188" s="7">
        <v>43983</v>
      </c>
      <c r="B188" s="17">
        <v>12128</v>
      </c>
      <c r="C188" s="16"/>
    </row>
    <row r="189" spans="1:3" ht="18" x14ac:dyDescent="0.2">
      <c r="A189" s="7">
        <v>44013</v>
      </c>
      <c r="B189" s="17">
        <v>12036</v>
      </c>
      <c r="C189" s="16"/>
    </row>
    <row r="190" spans="1:3" ht="18" x14ac:dyDescent="0.2">
      <c r="A190" s="7">
        <v>44044</v>
      </c>
      <c r="B190" s="17">
        <v>12508</v>
      </c>
      <c r="C190" s="16"/>
    </row>
    <row r="191" spans="1:3" ht="18" x14ac:dyDescent="0.2">
      <c r="A191" s="7">
        <v>44075</v>
      </c>
      <c r="B191" s="17">
        <v>10643</v>
      </c>
      <c r="C191" s="16"/>
    </row>
    <row r="192" spans="1:3" ht="18" x14ac:dyDescent="0.2">
      <c r="A192" s="7">
        <v>44105</v>
      </c>
      <c r="B192" s="17">
        <v>11631</v>
      </c>
      <c r="C192" s="16"/>
    </row>
    <row r="193" spans="1:3" ht="18" x14ac:dyDescent="0.2">
      <c r="A193" s="7">
        <v>44136</v>
      </c>
      <c r="B193" s="17">
        <v>9126</v>
      </c>
      <c r="C193" s="16"/>
    </row>
    <row r="194" spans="1:3" ht="18" x14ac:dyDescent="0.2">
      <c r="A194" s="7">
        <v>44166</v>
      </c>
      <c r="B194" s="17">
        <v>13054</v>
      </c>
      <c r="C194" s="16"/>
    </row>
    <row r="195" spans="1:3" ht="18" x14ac:dyDescent="0.2">
      <c r="A195" s="7">
        <v>44197</v>
      </c>
      <c r="B195" s="17">
        <v>8602</v>
      </c>
      <c r="C195" s="16"/>
    </row>
    <row r="196" spans="1:3" ht="18" x14ac:dyDescent="0.2">
      <c r="A196" s="7">
        <v>44228</v>
      </c>
      <c r="B196" s="17">
        <v>10689</v>
      </c>
      <c r="C196" s="16"/>
    </row>
    <row r="197" spans="1:3" ht="18" x14ac:dyDescent="0.2">
      <c r="A197" s="7">
        <v>44256</v>
      </c>
      <c r="B197" s="17">
        <v>12160</v>
      </c>
      <c r="C197" s="16"/>
    </row>
    <row r="198" spans="1:3" ht="18" x14ac:dyDescent="0.2">
      <c r="A198" s="7">
        <v>44287</v>
      </c>
      <c r="B198" s="17">
        <v>13915</v>
      </c>
      <c r="C198" s="16"/>
    </row>
    <row r="199" spans="1:3" ht="18" x14ac:dyDescent="0.2">
      <c r="A199" s="7">
        <v>44317</v>
      </c>
      <c r="B199" s="17">
        <v>16480</v>
      </c>
      <c r="C199" s="16"/>
    </row>
    <row r="200" spans="1:3" ht="18" x14ac:dyDescent="0.2">
      <c r="A200" s="7">
        <v>44348</v>
      </c>
      <c r="B200" s="17">
        <v>14714</v>
      </c>
      <c r="C200" s="16"/>
    </row>
    <row r="201" spans="1:3" ht="18" x14ac:dyDescent="0.2">
      <c r="A201" s="7">
        <v>44378</v>
      </c>
      <c r="B201" s="17">
        <v>14506</v>
      </c>
      <c r="C201" s="16"/>
    </row>
    <row r="202" spans="1:3" ht="18" x14ac:dyDescent="0.2">
      <c r="A202" s="7">
        <v>44409</v>
      </c>
      <c r="B202" s="17">
        <v>11371</v>
      </c>
      <c r="C202" s="16"/>
    </row>
    <row r="203" spans="1:3" ht="18" x14ac:dyDescent="0.2">
      <c r="A203" s="7">
        <v>44440</v>
      </c>
      <c r="B203" s="17">
        <v>12230</v>
      </c>
      <c r="C203" s="16"/>
    </row>
    <row r="204" spans="1:3" ht="18" x14ac:dyDescent="0.2">
      <c r="A204" s="7">
        <v>44470</v>
      </c>
      <c r="B204" s="17">
        <v>9480</v>
      </c>
      <c r="C204" s="16"/>
    </row>
    <row r="205" spans="1:3" ht="18" x14ac:dyDescent="0.2">
      <c r="A205" s="7">
        <v>44501</v>
      </c>
      <c r="B205" s="17">
        <v>7629</v>
      </c>
      <c r="C205" s="16"/>
    </row>
    <row r="206" spans="1:3" ht="18" x14ac:dyDescent="0.2">
      <c r="A206" s="7">
        <v>44531</v>
      </c>
      <c r="B206" s="17">
        <v>11286</v>
      </c>
      <c r="C206" s="16"/>
    </row>
    <row r="207" spans="1:3" ht="18" x14ac:dyDescent="0.2">
      <c r="A207" s="7">
        <v>44562</v>
      </c>
      <c r="B207" s="17">
        <v>6998</v>
      </c>
      <c r="C207" s="16"/>
    </row>
    <row r="208" spans="1:3" ht="18" x14ac:dyDescent="0.2">
      <c r="A208" s="7">
        <v>44593</v>
      </c>
      <c r="B208" s="17">
        <v>8163</v>
      </c>
      <c r="C208" s="16"/>
    </row>
    <row r="209" spans="1:3" ht="18" x14ac:dyDescent="0.2">
      <c r="A209" s="7">
        <v>44621</v>
      </c>
      <c r="B209" s="17">
        <v>8828</v>
      </c>
      <c r="C209" s="16"/>
    </row>
    <row r="210" spans="1:3" ht="18" x14ac:dyDescent="0.2">
      <c r="A210" s="7">
        <v>44652</v>
      </c>
      <c r="B210" s="17">
        <v>7994</v>
      </c>
      <c r="C210" s="16"/>
    </row>
    <row r="211" spans="1:3" ht="18" x14ac:dyDescent="0.2">
      <c r="A211" s="7">
        <v>44682</v>
      </c>
      <c r="B211" s="17">
        <v>8713</v>
      </c>
      <c r="C211" s="16"/>
    </row>
    <row r="212" spans="1:3" ht="18" x14ac:dyDescent="0.2">
      <c r="A212" s="7">
        <v>44713</v>
      </c>
      <c r="B212" s="17">
        <v>5739</v>
      </c>
      <c r="C212" s="16"/>
    </row>
    <row r="213" spans="1:3" ht="18" x14ac:dyDescent="0.2">
      <c r="A213" s="7">
        <v>44743</v>
      </c>
      <c r="B213" s="17">
        <v>10615</v>
      </c>
      <c r="C213" s="16"/>
    </row>
    <row r="214" spans="1:3" ht="18" x14ac:dyDescent="0.2">
      <c r="A214" s="7">
        <v>44774</v>
      </c>
      <c r="B214" s="17">
        <v>8690</v>
      </c>
      <c r="C214" s="16"/>
    </row>
    <row r="215" spans="1:3" ht="18" x14ac:dyDescent="0.2">
      <c r="A215" s="7">
        <v>44805</v>
      </c>
      <c r="B215" s="17">
        <v>8212</v>
      </c>
      <c r="C215" s="16"/>
    </row>
    <row r="216" spans="1:3" ht="18" x14ac:dyDescent="0.2">
      <c r="A216" s="7">
        <v>44835</v>
      </c>
      <c r="B216" s="17">
        <v>8843</v>
      </c>
      <c r="C216" s="16"/>
    </row>
    <row r="217" spans="1:3" ht="18" x14ac:dyDescent="0.2">
      <c r="A217" s="7">
        <v>44866</v>
      </c>
      <c r="B217" s="17">
        <v>7781</v>
      </c>
      <c r="C217" s="16"/>
    </row>
    <row r="218" spans="1:3" ht="18" x14ac:dyDescent="0.2">
      <c r="A218" s="7">
        <v>44896</v>
      </c>
      <c r="B218" s="17">
        <v>8991</v>
      </c>
      <c r="C218" s="16"/>
    </row>
    <row r="219" spans="1:3" ht="18" x14ac:dyDescent="0.2">
      <c r="A219" s="7">
        <v>44927</v>
      </c>
      <c r="B219" s="17">
        <v>6950</v>
      </c>
      <c r="C219" s="16"/>
    </row>
    <row r="220" spans="1:3" ht="18" x14ac:dyDescent="0.2">
      <c r="A220" s="7">
        <v>44958</v>
      </c>
      <c r="B220" s="17">
        <v>7271</v>
      </c>
      <c r="C220" s="16"/>
    </row>
    <row r="221" spans="1:3" ht="18" x14ac:dyDescent="0.2">
      <c r="A221" s="7">
        <v>44986</v>
      </c>
      <c r="B221" s="17">
        <v>10483</v>
      </c>
      <c r="C221" s="16"/>
    </row>
    <row r="222" spans="1:3" ht="18" x14ac:dyDescent="0.2">
      <c r="A222" s="7">
        <v>45017</v>
      </c>
      <c r="B222" s="17">
        <v>9949</v>
      </c>
      <c r="C222" s="16"/>
    </row>
    <row r="223" spans="1:3" ht="18" x14ac:dyDescent="0.2">
      <c r="A223" s="7">
        <v>45047</v>
      </c>
      <c r="B223" s="17">
        <v>10439</v>
      </c>
      <c r="C223" s="16"/>
    </row>
    <row r="224" spans="1:3" ht="18" x14ac:dyDescent="0.2">
      <c r="A224" s="7">
        <v>45078</v>
      </c>
      <c r="B224" s="17">
        <v>10691</v>
      </c>
      <c r="C224" s="16"/>
    </row>
    <row r="225" spans="1:3" ht="18" x14ac:dyDescent="0.2">
      <c r="A225" s="7">
        <v>45108</v>
      </c>
      <c r="B225" s="17">
        <v>9962</v>
      </c>
      <c r="C225" s="16"/>
    </row>
    <row r="226" spans="1:3" ht="18" x14ac:dyDescent="0.2">
      <c r="A226" s="7">
        <v>45139</v>
      </c>
      <c r="B226" s="17">
        <v>10089</v>
      </c>
      <c r="C226" s="16"/>
    </row>
    <row r="227" spans="1:3" ht="18" x14ac:dyDescent="0.2">
      <c r="A227" s="7">
        <v>45170</v>
      </c>
      <c r="B227" s="17">
        <v>6563</v>
      </c>
      <c r="C227" s="16"/>
    </row>
    <row r="228" spans="1:3" ht="18" x14ac:dyDescent="0.2">
      <c r="A228" s="7">
        <v>45200</v>
      </c>
      <c r="B228" s="17">
        <v>8223</v>
      </c>
      <c r="C228" s="16"/>
    </row>
    <row r="229" spans="1:3" ht="18" x14ac:dyDescent="0.2">
      <c r="A229" s="7">
        <v>45231</v>
      </c>
      <c r="B229" s="17">
        <v>9113</v>
      </c>
      <c r="C229" s="16"/>
    </row>
    <row r="230" spans="1:3" ht="18" x14ac:dyDescent="0.2">
      <c r="A230" s="7">
        <v>45261</v>
      </c>
      <c r="B230" s="17">
        <v>10565</v>
      </c>
      <c r="C230" s="16"/>
    </row>
    <row r="231" spans="1:3" ht="18" x14ac:dyDescent="0.2">
      <c r="A231" s="7">
        <v>45292</v>
      </c>
      <c r="B231" s="17">
        <v>7687</v>
      </c>
      <c r="C231" s="16"/>
    </row>
    <row r="232" spans="1:3" ht="18" x14ac:dyDescent="0.2">
      <c r="A232" s="7">
        <v>45323</v>
      </c>
      <c r="B232" s="17">
        <v>9684</v>
      </c>
      <c r="C232" s="16"/>
    </row>
    <row r="233" spans="1:3" ht="18" x14ac:dyDescent="0.2">
      <c r="A233" s="7">
        <v>45352</v>
      </c>
      <c r="B233" s="17">
        <v>12680</v>
      </c>
      <c r="C233" s="16"/>
    </row>
    <row r="234" spans="1:3" ht="18" x14ac:dyDescent="0.2">
      <c r="A234" s="7">
        <v>45383</v>
      </c>
      <c r="B234" s="17">
        <v>11882</v>
      </c>
      <c r="C234" s="16"/>
    </row>
    <row r="235" spans="1:3" ht="18" x14ac:dyDescent="0.2">
      <c r="A235" s="7">
        <v>45413</v>
      </c>
      <c r="B235" s="17">
        <v>12561</v>
      </c>
      <c r="C235" s="16"/>
    </row>
    <row r="236" spans="1:3" ht="18" x14ac:dyDescent="0.2">
      <c r="A236" s="7">
        <v>45444</v>
      </c>
      <c r="B236" s="17">
        <v>11789</v>
      </c>
      <c r="C236" s="16"/>
    </row>
    <row r="237" spans="1:3" ht="18" x14ac:dyDescent="0.2">
      <c r="A237" s="7">
        <v>45474</v>
      </c>
      <c r="B237" s="17">
        <v>12109</v>
      </c>
      <c r="C237" s="16"/>
    </row>
    <row r="238" spans="1:3" ht="18" x14ac:dyDescent="0.2">
      <c r="A238" s="7">
        <v>45505</v>
      </c>
      <c r="B238" s="17">
        <v>14093</v>
      </c>
      <c r="C238" s="16"/>
    </row>
    <row r="239" spans="1:3" ht="18" x14ac:dyDescent="0.2">
      <c r="A239" s="7">
        <v>45536</v>
      </c>
      <c r="B239" s="17">
        <v>10630</v>
      </c>
      <c r="C239" s="16"/>
    </row>
    <row r="240" spans="1:3" ht="18" x14ac:dyDescent="0.2">
      <c r="A240" s="7">
        <v>45566</v>
      </c>
      <c r="B240" s="17">
        <v>11927</v>
      </c>
      <c r="C240" s="16"/>
    </row>
    <row r="241" spans="1:3" ht="18" x14ac:dyDescent="0.2">
      <c r="A241" s="7">
        <v>45597</v>
      </c>
      <c r="B241" s="17">
        <v>12652</v>
      </c>
      <c r="C241" s="16"/>
    </row>
    <row r="242" spans="1:3" ht="18" x14ac:dyDescent="0.2">
      <c r="A242" s="7">
        <v>45627</v>
      </c>
      <c r="B242" s="17">
        <v>13551</v>
      </c>
      <c r="C242" s="16"/>
    </row>
    <row r="243" spans="1:3" ht="18" x14ac:dyDescent="0.2">
      <c r="A243" s="7">
        <v>45658</v>
      </c>
      <c r="B243" s="17">
        <v>8849</v>
      </c>
      <c r="C243" s="16"/>
    </row>
    <row r="244" spans="1:3" ht="18" x14ac:dyDescent="0.2">
      <c r="A244" s="7">
        <v>45689</v>
      </c>
      <c r="B244" s="17">
        <v>10204</v>
      </c>
      <c r="C244" s="16"/>
    </row>
    <row r="245" spans="1:3" ht="18" x14ac:dyDescent="0.2">
      <c r="A245" s="7">
        <v>45717</v>
      </c>
      <c r="B245" s="17">
        <v>13589</v>
      </c>
      <c r="C245" s="16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0672B-D540-AB45-ADE6-211EDB5838E0}">
  <dimension ref="A1:BE254"/>
  <sheetViews>
    <sheetView zoomScale="125" zoomScaleNormal="85" workbookViewId="0">
      <pane xSplit="3" ySplit="3" topLeftCell="AY235" activePane="bottomRight" state="frozen"/>
      <selection pane="topRight" activeCell="D1" sqref="D1"/>
      <selection pane="bottomLeft" activeCell="A4" sqref="A4"/>
      <selection pane="bottomRight" activeCell="BC240" sqref="BC240"/>
    </sheetView>
  </sheetViews>
  <sheetFormatPr baseColWidth="10" defaultColWidth="8.83203125" defaultRowHeight="16" x14ac:dyDescent="0.2"/>
  <cols>
    <col min="1" max="1" width="16.6640625" customWidth="1"/>
    <col min="2" max="2" width="14.33203125" customWidth="1"/>
    <col min="3" max="3" width="1.5" customWidth="1"/>
    <col min="4" max="4" width="18.1640625" bestFit="1" customWidth="1"/>
    <col min="5" max="5" width="13" bestFit="1" customWidth="1"/>
    <col min="6" max="6" width="17" bestFit="1" customWidth="1"/>
    <col min="7" max="7" width="13.33203125" customWidth="1"/>
    <col min="8" max="8" width="1.5" customWidth="1"/>
    <col min="9" max="9" width="12.1640625" bestFit="1" customWidth="1"/>
    <col min="10" max="10" width="13" bestFit="1" customWidth="1"/>
    <col min="11" max="11" width="17" bestFit="1" customWidth="1"/>
    <col min="12" max="12" width="11.1640625" customWidth="1"/>
    <col min="13" max="13" width="1.1640625" customWidth="1"/>
    <col min="14" max="15" width="13" bestFit="1" customWidth="1"/>
    <col min="16" max="16" width="17" bestFit="1" customWidth="1"/>
    <col min="17" max="17" width="11.6640625" customWidth="1"/>
    <col min="18" max="18" width="1.1640625" customWidth="1"/>
    <col min="19" max="19" width="12.1640625" bestFit="1" customWidth="1"/>
    <col min="20" max="20" width="13" bestFit="1" customWidth="1"/>
    <col min="21" max="21" width="17" bestFit="1" customWidth="1"/>
    <col min="22" max="22" width="11.6640625" bestFit="1" customWidth="1"/>
    <col min="23" max="23" width="1.6640625" customWidth="1"/>
    <col min="24" max="24" width="12.1640625" bestFit="1" customWidth="1"/>
    <col min="25" max="25" width="13" bestFit="1" customWidth="1"/>
    <col min="26" max="26" width="17" bestFit="1" customWidth="1"/>
    <col min="27" max="27" width="11.6640625" bestFit="1" customWidth="1"/>
    <col min="28" max="28" width="1" customWidth="1"/>
    <col min="29" max="29" width="12.6640625" customWidth="1"/>
    <col min="30" max="30" width="11.6640625" bestFit="1" customWidth="1"/>
    <col min="31" max="31" width="15.6640625" bestFit="1" customWidth="1"/>
    <col min="32" max="32" width="11.6640625" bestFit="1" customWidth="1"/>
    <col min="33" max="33" width="2" customWidth="1"/>
    <col min="34" max="34" width="12.1640625" bestFit="1" customWidth="1"/>
    <col min="35" max="35" width="11.6640625" bestFit="1" customWidth="1"/>
    <col min="36" max="36" width="15.6640625" bestFit="1" customWidth="1"/>
    <col min="37" max="37" width="11.6640625" bestFit="1" customWidth="1"/>
    <col min="38" max="38" width="2" customWidth="1"/>
    <col min="39" max="39" width="12.1640625" bestFit="1" customWidth="1"/>
    <col min="40" max="40" width="13" bestFit="1" customWidth="1"/>
    <col min="41" max="41" width="17" bestFit="1" customWidth="1"/>
    <col min="42" max="42" width="11.6640625" bestFit="1" customWidth="1"/>
    <col min="43" max="43" width="1" customWidth="1"/>
    <col min="44" max="44" width="12.1640625" bestFit="1" customWidth="1"/>
    <col min="45" max="45" width="13" bestFit="1" customWidth="1"/>
    <col min="46" max="46" width="15.6640625" bestFit="1" customWidth="1"/>
    <col min="47" max="47" width="11.6640625" bestFit="1" customWidth="1"/>
    <col min="48" max="48" width="1.33203125" customWidth="1"/>
    <col min="49" max="49" width="12.1640625" bestFit="1" customWidth="1"/>
    <col min="50" max="50" width="13" bestFit="1" customWidth="1"/>
    <col min="51" max="51" width="17" bestFit="1" customWidth="1"/>
    <col min="52" max="52" width="11.6640625" bestFit="1" customWidth="1"/>
    <col min="53" max="53" width="1.5" customWidth="1"/>
    <col min="54" max="54" width="15.6640625" customWidth="1"/>
    <col min="55" max="55" width="13" bestFit="1" customWidth="1"/>
    <col min="56" max="56" width="17" bestFit="1" customWidth="1"/>
    <col min="57" max="57" width="11.6640625" bestFit="1" customWidth="1"/>
  </cols>
  <sheetData>
    <row r="1" spans="1:57" ht="29" thickBot="1" x14ac:dyDescent="0.35">
      <c r="A1" s="88" t="s">
        <v>4</v>
      </c>
      <c r="B1" s="89"/>
      <c r="C1" s="89"/>
      <c r="D1" s="89"/>
      <c r="E1" s="89"/>
      <c r="F1" s="90"/>
    </row>
    <row r="2" spans="1:57" ht="19" thickBot="1" x14ac:dyDescent="0.25">
      <c r="A2" s="3" t="s">
        <v>9</v>
      </c>
      <c r="B2" s="4"/>
    </row>
    <row r="3" spans="1:57" ht="19" thickBot="1" x14ac:dyDescent="0.25">
      <c r="A3" s="5" t="s">
        <v>1</v>
      </c>
      <c r="B3" s="5" t="s">
        <v>2</v>
      </c>
      <c r="D3" s="6" t="s">
        <v>11</v>
      </c>
      <c r="I3" s="6" t="s">
        <v>12</v>
      </c>
      <c r="N3" s="6" t="s">
        <v>13</v>
      </c>
      <c r="S3" s="6" t="s">
        <v>14</v>
      </c>
      <c r="X3" s="6" t="s">
        <v>15</v>
      </c>
      <c r="AC3" s="6" t="s">
        <v>16</v>
      </c>
      <c r="AH3" s="6" t="s">
        <v>17</v>
      </c>
      <c r="AM3" s="6" t="s">
        <v>18</v>
      </c>
      <c r="AR3" s="6" t="s">
        <v>19</v>
      </c>
      <c r="AW3" s="6" t="s">
        <v>20</v>
      </c>
      <c r="BB3" s="6" t="s">
        <v>21</v>
      </c>
    </row>
    <row r="4" spans="1:57" ht="18" x14ac:dyDescent="0.2">
      <c r="A4" s="7">
        <v>38353</v>
      </c>
      <c r="B4" s="17">
        <v>8837</v>
      </c>
      <c r="D4" s="9" t="s">
        <v>5</v>
      </c>
      <c r="E4" s="10" t="s">
        <v>22</v>
      </c>
      <c r="F4" s="10" t="s">
        <v>23</v>
      </c>
      <c r="G4" s="10" t="s">
        <v>24</v>
      </c>
      <c r="I4" s="9" t="s">
        <v>5</v>
      </c>
      <c r="J4" s="10" t="s">
        <v>22</v>
      </c>
      <c r="K4" s="10" t="s">
        <v>23</v>
      </c>
      <c r="L4" s="10" t="s">
        <v>24</v>
      </c>
      <c r="N4" s="9" t="s">
        <v>5</v>
      </c>
      <c r="O4" s="10" t="s">
        <v>22</v>
      </c>
      <c r="P4" s="10" t="s">
        <v>23</v>
      </c>
      <c r="Q4" s="10" t="s">
        <v>24</v>
      </c>
      <c r="S4" s="9" t="s">
        <v>5</v>
      </c>
      <c r="T4" s="10" t="s">
        <v>22</v>
      </c>
      <c r="U4" s="10" t="s">
        <v>23</v>
      </c>
      <c r="V4" s="10" t="s">
        <v>24</v>
      </c>
      <c r="X4" s="9" t="s">
        <v>5</v>
      </c>
      <c r="Y4" s="10" t="s">
        <v>22</v>
      </c>
      <c r="Z4" s="10" t="s">
        <v>23</v>
      </c>
      <c r="AA4" s="10" t="s">
        <v>24</v>
      </c>
      <c r="AC4" s="9" t="s">
        <v>5</v>
      </c>
      <c r="AD4" s="10" t="s">
        <v>22</v>
      </c>
      <c r="AE4" s="10" t="s">
        <v>23</v>
      </c>
      <c r="AF4" s="10" t="s">
        <v>24</v>
      </c>
      <c r="AH4" s="9" t="s">
        <v>5</v>
      </c>
      <c r="AI4" s="10" t="s">
        <v>22</v>
      </c>
      <c r="AJ4" s="10" t="s">
        <v>23</v>
      </c>
      <c r="AK4" s="10" t="s">
        <v>24</v>
      </c>
      <c r="AM4" s="9" t="s">
        <v>5</v>
      </c>
      <c r="AN4" s="10" t="s">
        <v>22</v>
      </c>
      <c r="AO4" s="10" t="s">
        <v>23</v>
      </c>
      <c r="AP4" s="10" t="s">
        <v>24</v>
      </c>
      <c r="AR4" s="9" t="s">
        <v>5</v>
      </c>
      <c r="AS4" s="10" t="s">
        <v>22</v>
      </c>
      <c r="AT4" s="10" t="s">
        <v>23</v>
      </c>
      <c r="AU4" s="10" t="s">
        <v>24</v>
      </c>
      <c r="AW4" s="9" t="s">
        <v>5</v>
      </c>
      <c r="AX4" s="10" t="s">
        <v>22</v>
      </c>
      <c r="AY4" s="10" t="s">
        <v>23</v>
      </c>
      <c r="AZ4" s="10" t="s">
        <v>24</v>
      </c>
      <c r="BB4" s="9" t="s">
        <v>5</v>
      </c>
      <c r="BC4" s="10" t="s">
        <v>22</v>
      </c>
      <c r="BD4" s="10" t="s">
        <v>23</v>
      </c>
      <c r="BE4" s="10" t="s">
        <v>24</v>
      </c>
    </row>
    <row r="5" spans="1:57" ht="18" x14ac:dyDescent="0.2">
      <c r="A5" s="7">
        <v>38384</v>
      </c>
      <c r="B5" s="17">
        <v>10625</v>
      </c>
      <c r="D5" s="11" t="s">
        <v>3</v>
      </c>
      <c r="E5" s="11" t="s">
        <v>3</v>
      </c>
      <c r="F5" s="11" t="s">
        <v>3</v>
      </c>
      <c r="G5" s="11" t="s">
        <v>3</v>
      </c>
      <c r="I5" s="11" t="s">
        <v>3</v>
      </c>
      <c r="J5" s="11" t="s">
        <v>3</v>
      </c>
      <c r="K5" s="11" t="s">
        <v>3</v>
      </c>
      <c r="L5" s="11" t="s">
        <v>3</v>
      </c>
      <c r="N5" s="11" t="s">
        <v>3</v>
      </c>
      <c r="O5" s="11" t="s">
        <v>3</v>
      </c>
      <c r="P5" s="11" t="s">
        <v>3</v>
      </c>
      <c r="Q5" s="11" t="s">
        <v>3</v>
      </c>
      <c r="S5" s="11" t="s">
        <v>3</v>
      </c>
      <c r="T5" s="11" t="s">
        <v>3</v>
      </c>
      <c r="U5" s="11" t="s">
        <v>3</v>
      </c>
      <c r="V5" s="11" t="s">
        <v>3</v>
      </c>
      <c r="X5" s="11" t="s">
        <v>3</v>
      </c>
      <c r="Y5" s="11" t="s">
        <v>3</v>
      </c>
      <c r="Z5" s="11" t="s">
        <v>3</v>
      </c>
      <c r="AA5" s="11" t="s">
        <v>3</v>
      </c>
      <c r="AC5" s="11" t="s">
        <v>3</v>
      </c>
      <c r="AD5" s="11" t="s">
        <v>3</v>
      </c>
      <c r="AE5" s="11" t="s">
        <v>3</v>
      </c>
      <c r="AF5" s="11" t="s">
        <v>3</v>
      </c>
      <c r="AH5" s="11" t="s">
        <v>3</v>
      </c>
      <c r="AI5" s="11" t="s">
        <v>3</v>
      </c>
      <c r="AJ5" s="11" t="s">
        <v>3</v>
      </c>
      <c r="AK5" s="11" t="s">
        <v>3</v>
      </c>
      <c r="AM5" s="11" t="s">
        <v>3</v>
      </c>
      <c r="AN5" s="11" t="s">
        <v>3</v>
      </c>
      <c r="AO5" s="11" t="s">
        <v>3</v>
      </c>
      <c r="AP5" s="11" t="s">
        <v>3</v>
      </c>
      <c r="AR5" s="11" t="s">
        <v>3</v>
      </c>
      <c r="AS5" s="11" t="s">
        <v>3</v>
      </c>
      <c r="AT5" s="11" t="s">
        <v>3</v>
      </c>
      <c r="AU5" s="11" t="s">
        <v>3</v>
      </c>
      <c r="AW5" s="11" t="s">
        <v>3</v>
      </c>
      <c r="AX5" s="11" t="s">
        <v>3</v>
      </c>
      <c r="AY5" s="11" t="s">
        <v>3</v>
      </c>
      <c r="AZ5" s="11" t="s">
        <v>3</v>
      </c>
      <c r="BB5" s="11" t="s">
        <v>3</v>
      </c>
      <c r="BC5" s="11" t="s">
        <v>3</v>
      </c>
      <c r="BD5" s="11" t="s">
        <v>3</v>
      </c>
      <c r="BE5" s="11" t="s">
        <v>3</v>
      </c>
    </row>
    <row r="6" spans="1:57" ht="18" x14ac:dyDescent="0.2">
      <c r="A6" s="7">
        <v>38412</v>
      </c>
      <c r="B6" s="17">
        <v>12071</v>
      </c>
      <c r="D6" s="11" t="s">
        <v>3</v>
      </c>
      <c r="E6" s="11" t="s">
        <v>3</v>
      </c>
      <c r="F6" s="11" t="s">
        <v>3</v>
      </c>
      <c r="G6" s="11" t="s">
        <v>3</v>
      </c>
      <c r="I6" s="11" t="s">
        <v>3</v>
      </c>
      <c r="J6" s="11" t="s">
        <v>3</v>
      </c>
      <c r="K6" s="11" t="s">
        <v>3</v>
      </c>
      <c r="L6" s="11" t="s">
        <v>3</v>
      </c>
      <c r="N6" s="11" t="s">
        <v>3</v>
      </c>
      <c r="O6" s="11" t="s">
        <v>3</v>
      </c>
      <c r="P6" s="11" t="s">
        <v>3</v>
      </c>
      <c r="Q6" s="11" t="s">
        <v>3</v>
      </c>
      <c r="S6" s="11" t="s">
        <v>3</v>
      </c>
      <c r="T6" s="11" t="s">
        <v>3</v>
      </c>
      <c r="U6" s="11" t="s">
        <v>3</v>
      </c>
      <c r="V6" s="11" t="s">
        <v>3</v>
      </c>
      <c r="X6" s="11" t="s">
        <v>3</v>
      </c>
      <c r="Y6" s="11" t="s">
        <v>3</v>
      </c>
      <c r="Z6" s="11" t="s">
        <v>3</v>
      </c>
      <c r="AA6" s="11" t="s">
        <v>3</v>
      </c>
      <c r="AC6" s="11" t="s">
        <v>3</v>
      </c>
      <c r="AD6" s="11" t="s">
        <v>3</v>
      </c>
      <c r="AE6" s="11" t="s">
        <v>3</v>
      </c>
      <c r="AF6" s="11" t="s">
        <v>3</v>
      </c>
      <c r="AH6" s="11" t="s">
        <v>3</v>
      </c>
      <c r="AI6" s="11" t="s">
        <v>3</v>
      </c>
      <c r="AJ6" s="11" t="s">
        <v>3</v>
      </c>
      <c r="AK6" s="11" t="s">
        <v>3</v>
      </c>
      <c r="AM6" s="11" t="s">
        <v>3</v>
      </c>
      <c r="AN6" s="11" t="s">
        <v>3</v>
      </c>
      <c r="AO6" s="11" t="s">
        <v>3</v>
      </c>
      <c r="AP6" s="11" t="s">
        <v>3</v>
      </c>
      <c r="AR6" s="11" t="s">
        <v>3</v>
      </c>
      <c r="AS6" s="11" t="s">
        <v>3</v>
      </c>
      <c r="AT6" s="11" t="s">
        <v>3</v>
      </c>
      <c r="AU6" s="11" t="s">
        <v>3</v>
      </c>
      <c r="AW6" s="11" t="s">
        <v>3</v>
      </c>
      <c r="AX6" s="11" t="s">
        <v>3</v>
      </c>
      <c r="AY6" s="11" t="s">
        <v>3</v>
      </c>
      <c r="AZ6" s="11" t="s">
        <v>3</v>
      </c>
      <c r="BB6" s="11" t="s">
        <v>3</v>
      </c>
      <c r="BC6" s="11" t="s">
        <v>3</v>
      </c>
      <c r="BD6" s="11" t="s">
        <v>3</v>
      </c>
      <c r="BE6" s="11" t="s">
        <v>3</v>
      </c>
    </row>
    <row r="7" spans="1:57" ht="18" x14ac:dyDescent="0.2">
      <c r="A7" s="7">
        <v>38443</v>
      </c>
      <c r="B7" s="17">
        <v>10587</v>
      </c>
      <c r="D7" s="42">
        <f>AVERAGE(B5:B6)</f>
        <v>11348</v>
      </c>
      <c r="E7" s="42">
        <f>$B7-D7</f>
        <v>-761</v>
      </c>
      <c r="F7" s="42">
        <f>E7^2</f>
        <v>579121</v>
      </c>
      <c r="G7" s="42">
        <f>ABS(E7)</f>
        <v>761</v>
      </c>
      <c r="H7" s="43"/>
      <c r="I7" s="42" t="s">
        <v>3</v>
      </c>
      <c r="J7" s="42" t="s">
        <v>3</v>
      </c>
      <c r="K7" s="42" t="s">
        <v>3</v>
      </c>
      <c r="L7" s="42" t="s">
        <v>3</v>
      </c>
      <c r="M7" s="43"/>
      <c r="N7" s="42" t="s">
        <v>3</v>
      </c>
      <c r="O7" s="42" t="s">
        <v>3</v>
      </c>
      <c r="P7" s="42" t="s">
        <v>3</v>
      </c>
      <c r="Q7" s="42" t="s">
        <v>3</v>
      </c>
      <c r="R7" s="43"/>
      <c r="S7" s="42" t="s">
        <v>3</v>
      </c>
      <c r="T7" s="42" t="s">
        <v>3</v>
      </c>
      <c r="U7" s="42" t="s">
        <v>3</v>
      </c>
      <c r="V7" s="42" t="s">
        <v>3</v>
      </c>
      <c r="W7" s="43"/>
      <c r="X7" s="42" t="s">
        <v>3</v>
      </c>
      <c r="Y7" s="42" t="s">
        <v>3</v>
      </c>
      <c r="Z7" s="42" t="s">
        <v>3</v>
      </c>
      <c r="AA7" s="42" t="s">
        <v>3</v>
      </c>
      <c r="AB7" s="43"/>
      <c r="AC7" s="42" t="s">
        <v>3</v>
      </c>
      <c r="AD7" s="42" t="s">
        <v>3</v>
      </c>
      <c r="AE7" s="42" t="s">
        <v>3</v>
      </c>
      <c r="AF7" s="42" t="s">
        <v>3</v>
      </c>
      <c r="AG7" s="43"/>
      <c r="AH7" s="42" t="s">
        <v>3</v>
      </c>
      <c r="AI7" s="42" t="s">
        <v>3</v>
      </c>
      <c r="AJ7" s="42" t="s">
        <v>3</v>
      </c>
      <c r="AK7" s="42" t="s">
        <v>3</v>
      </c>
      <c r="AL7" s="43"/>
      <c r="AM7" s="42" t="s">
        <v>3</v>
      </c>
      <c r="AN7" s="42" t="s">
        <v>3</v>
      </c>
      <c r="AO7" s="42" t="s">
        <v>3</v>
      </c>
      <c r="AP7" s="42" t="s">
        <v>3</v>
      </c>
      <c r="AQ7" s="43"/>
      <c r="AR7" s="42" t="s">
        <v>3</v>
      </c>
      <c r="AS7" s="42" t="s">
        <v>3</v>
      </c>
      <c r="AT7" s="42" t="s">
        <v>3</v>
      </c>
      <c r="AU7" s="42" t="s">
        <v>3</v>
      </c>
      <c r="AV7" s="43"/>
      <c r="AW7" s="42" t="s">
        <v>3</v>
      </c>
      <c r="AX7" s="42" t="s">
        <v>3</v>
      </c>
      <c r="AY7" s="42" t="s">
        <v>3</v>
      </c>
      <c r="AZ7" s="42" t="s">
        <v>3</v>
      </c>
      <c r="BA7" s="43"/>
      <c r="BB7" s="42" t="s">
        <v>3</v>
      </c>
      <c r="BC7" s="42" t="s">
        <v>3</v>
      </c>
      <c r="BD7" s="42" t="s">
        <v>3</v>
      </c>
      <c r="BE7" s="42" t="s">
        <v>3</v>
      </c>
    </row>
    <row r="8" spans="1:57" ht="18" x14ac:dyDescent="0.2">
      <c r="A8" s="7">
        <v>38473</v>
      </c>
      <c r="B8" s="17">
        <v>10109</v>
      </c>
      <c r="D8" s="42">
        <f>AVERAGE(B6:B7)</f>
        <v>11329</v>
      </c>
      <c r="E8" s="42">
        <f>$B8-D8</f>
        <v>-1220</v>
      </c>
      <c r="F8" s="42">
        <f t="shared" ref="F8:F71" si="0">E8^2</f>
        <v>1488400</v>
      </c>
      <c r="G8" s="42">
        <f t="shared" ref="G8:G71" si="1">ABS(E8)</f>
        <v>1220</v>
      </c>
      <c r="H8" s="43"/>
      <c r="I8" s="42">
        <f t="shared" ref="I8:I71" si="2">AVERAGE(B5:B7)</f>
        <v>11094.333333333334</v>
      </c>
      <c r="J8" s="42">
        <f>$B8-I8</f>
        <v>-985.33333333333394</v>
      </c>
      <c r="K8" s="42">
        <f>J8^2</f>
        <v>970881.77777777892</v>
      </c>
      <c r="L8" s="42">
        <f>ABS(J8)</f>
        <v>985.33333333333394</v>
      </c>
      <c r="M8" s="43"/>
      <c r="N8" s="42" t="s">
        <v>3</v>
      </c>
      <c r="O8" s="42" t="s">
        <v>3</v>
      </c>
      <c r="P8" s="42" t="s">
        <v>3</v>
      </c>
      <c r="Q8" s="42" t="s">
        <v>3</v>
      </c>
      <c r="R8" s="43"/>
      <c r="S8" s="42" t="s">
        <v>3</v>
      </c>
      <c r="T8" s="42" t="s">
        <v>3</v>
      </c>
      <c r="U8" s="42" t="s">
        <v>3</v>
      </c>
      <c r="V8" s="42" t="s">
        <v>3</v>
      </c>
      <c r="W8" s="43"/>
      <c r="X8" s="42" t="s">
        <v>3</v>
      </c>
      <c r="Y8" s="42" t="s">
        <v>3</v>
      </c>
      <c r="Z8" s="42" t="s">
        <v>3</v>
      </c>
      <c r="AA8" s="42" t="s">
        <v>3</v>
      </c>
      <c r="AB8" s="43"/>
      <c r="AC8" s="42" t="s">
        <v>3</v>
      </c>
      <c r="AD8" s="42" t="s">
        <v>3</v>
      </c>
      <c r="AE8" s="42" t="s">
        <v>3</v>
      </c>
      <c r="AF8" s="42" t="s">
        <v>3</v>
      </c>
      <c r="AG8" s="43"/>
      <c r="AH8" s="42" t="s">
        <v>3</v>
      </c>
      <c r="AI8" s="42" t="s">
        <v>3</v>
      </c>
      <c r="AJ8" s="42" t="s">
        <v>3</v>
      </c>
      <c r="AK8" s="42" t="s">
        <v>3</v>
      </c>
      <c r="AL8" s="43"/>
      <c r="AM8" s="42" t="s">
        <v>3</v>
      </c>
      <c r="AN8" s="42" t="s">
        <v>3</v>
      </c>
      <c r="AO8" s="42" t="s">
        <v>3</v>
      </c>
      <c r="AP8" s="42" t="s">
        <v>3</v>
      </c>
      <c r="AQ8" s="43"/>
      <c r="AR8" s="42" t="s">
        <v>3</v>
      </c>
      <c r="AS8" s="42" t="s">
        <v>3</v>
      </c>
      <c r="AT8" s="42" t="s">
        <v>3</v>
      </c>
      <c r="AU8" s="42" t="s">
        <v>3</v>
      </c>
      <c r="AV8" s="43"/>
      <c r="AW8" s="42" t="s">
        <v>3</v>
      </c>
      <c r="AX8" s="42" t="s">
        <v>3</v>
      </c>
      <c r="AY8" s="42" t="s">
        <v>3</v>
      </c>
      <c r="AZ8" s="42" t="s">
        <v>3</v>
      </c>
      <c r="BA8" s="43"/>
      <c r="BB8" s="42" t="s">
        <v>3</v>
      </c>
      <c r="BC8" s="42" t="s">
        <v>3</v>
      </c>
      <c r="BD8" s="42" t="s">
        <v>3</v>
      </c>
      <c r="BE8" s="42" t="s">
        <v>3</v>
      </c>
    </row>
    <row r="9" spans="1:57" ht="18" x14ac:dyDescent="0.2">
      <c r="A9" s="7">
        <v>38504</v>
      </c>
      <c r="B9" s="17">
        <v>11531</v>
      </c>
      <c r="D9" s="42">
        <f t="shared" ref="D9:D41" si="3">AVERAGE(B7:B8)</f>
        <v>10348</v>
      </c>
      <c r="E9" s="42">
        <f>$B9-D9</f>
        <v>1183</v>
      </c>
      <c r="F9" s="42">
        <f t="shared" si="0"/>
        <v>1399489</v>
      </c>
      <c r="G9" s="42">
        <f t="shared" si="1"/>
        <v>1183</v>
      </c>
      <c r="H9" s="43"/>
      <c r="I9" s="42">
        <f t="shared" si="2"/>
        <v>10922.333333333334</v>
      </c>
      <c r="J9" s="42">
        <f t="shared" ref="J9:J72" si="4">$B9-I9</f>
        <v>608.66666666666606</v>
      </c>
      <c r="K9" s="42">
        <f t="shared" ref="K9:K72" si="5">J9^2</f>
        <v>370475.11111111037</v>
      </c>
      <c r="L9" s="42">
        <f t="shared" ref="L9:L72" si="6">ABS(J9)</f>
        <v>608.66666666666606</v>
      </c>
      <c r="M9" s="43"/>
      <c r="N9" s="42">
        <f t="shared" ref="N9:N72" si="7">AVERAGE(B5:B8)</f>
        <v>10848</v>
      </c>
      <c r="O9" s="42">
        <f>$B9-N9</f>
        <v>683</v>
      </c>
      <c r="P9" s="42">
        <f>O9^2</f>
        <v>466489</v>
      </c>
      <c r="Q9" s="42">
        <f t="shared" ref="Q9:Q72" si="8">ABS(O9)</f>
        <v>683</v>
      </c>
      <c r="R9" s="43"/>
      <c r="S9" s="42" t="s">
        <v>3</v>
      </c>
      <c r="T9" s="42" t="s">
        <v>3</v>
      </c>
      <c r="U9" s="42" t="s">
        <v>3</v>
      </c>
      <c r="V9" s="42" t="s">
        <v>3</v>
      </c>
      <c r="W9" s="43"/>
      <c r="X9" s="42" t="s">
        <v>3</v>
      </c>
      <c r="Y9" s="42" t="s">
        <v>3</v>
      </c>
      <c r="Z9" s="42" t="s">
        <v>3</v>
      </c>
      <c r="AA9" s="42" t="s">
        <v>3</v>
      </c>
      <c r="AB9" s="43"/>
      <c r="AC9" s="42" t="s">
        <v>3</v>
      </c>
      <c r="AD9" s="42" t="s">
        <v>3</v>
      </c>
      <c r="AE9" s="42" t="s">
        <v>3</v>
      </c>
      <c r="AF9" s="42" t="s">
        <v>3</v>
      </c>
      <c r="AG9" s="43"/>
      <c r="AH9" s="42" t="s">
        <v>3</v>
      </c>
      <c r="AI9" s="42" t="s">
        <v>3</v>
      </c>
      <c r="AJ9" s="42" t="s">
        <v>3</v>
      </c>
      <c r="AK9" s="42" t="s">
        <v>3</v>
      </c>
      <c r="AL9" s="43"/>
      <c r="AM9" s="42" t="s">
        <v>3</v>
      </c>
      <c r="AN9" s="42" t="s">
        <v>3</v>
      </c>
      <c r="AO9" s="42" t="s">
        <v>3</v>
      </c>
      <c r="AP9" s="42" t="s">
        <v>3</v>
      </c>
      <c r="AQ9" s="43"/>
      <c r="AR9" s="42" t="s">
        <v>3</v>
      </c>
      <c r="AS9" s="42" t="s">
        <v>3</v>
      </c>
      <c r="AT9" s="42" t="s">
        <v>3</v>
      </c>
      <c r="AU9" s="42" t="s">
        <v>3</v>
      </c>
      <c r="AV9" s="43"/>
      <c r="AW9" s="42" t="s">
        <v>3</v>
      </c>
      <c r="AX9" s="42" t="s">
        <v>3</v>
      </c>
      <c r="AY9" s="42" t="s">
        <v>3</v>
      </c>
      <c r="AZ9" s="42" t="s">
        <v>3</v>
      </c>
      <c r="BA9" s="43"/>
      <c r="BB9" s="42" t="s">
        <v>3</v>
      </c>
      <c r="BC9" s="42" t="s">
        <v>3</v>
      </c>
      <c r="BD9" s="42" t="s">
        <v>3</v>
      </c>
      <c r="BE9" s="42" t="s">
        <v>3</v>
      </c>
    </row>
    <row r="10" spans="1:57" ht="18" x14ac:dyDescent="0.2">
      <c r="A10" s="7">
        <v>38534</v>
      </c>
      <c r="B10" s="17">
        <v>14726</v>
      </c>
      <c r="D10" s="42">
        <f t="shared" si="3"/>
        <v>10820</v>
      </c>
      <c r="E10" s="42">
        <f>$B10-D10</f>
        <v>3906</v>
      </c>
      <c r="F10" s="42">
        <f t="shared" si="0"/>
        <v>15256836</v>
      </c>
      <c r="G10" s="42">
        <f t="shared" si="1"/>
        <v>3906</v>
      </c>
      <c r="H10" s="43"/>
      <c r="I10" s="42">
        <f t="shared" si="2"/>
        <v>10742.333333333334</v>
      </c>
      <c r="J10" s="42">
        <f t="shared" si="4"/>
        <v>3983.6666666666661</v>
      </c>
      <c r="K10" s="42">
        <f t="shared" si="5"/>
        <v>15869600.111111106</v>
      </c>
      <c r="L10" s="42">
        <f t="shared" si="6"/>
        <v>3983.6666666666661</v>
      </c>
      <c r="M10" s="43"/>
      <c r="N10" s="42">
        <f t="shared" si="7"/>
        <v>11074.5</v>
      </c>
      <c r="O10" s="42">
        <f t="shared" ref="O10:O73" si="9">$B10-N10</f>
        <v>3651.5</v>
      </c>
      <c r="P10" s="42">
        <f t="shared" ref="P10:P73" si="10">O10^2</f>
        <v>13333452.25</v>
      </c>
      <c r="Q10" s="42">
        <f t="shared" si="8"/>
        <v>3651.5</v>
      </c>
      <c r="R10" s="43"/>
      <c r="S10" s="42">
        <f t="shared" ref="S10:S73" si="11">AVERAGE(B5:B9)</f>
        <v>10984.6</v>
      </c>
      <c r="T10" s="42">
        <f>$B10-S10</f>
        <v>3741.3999999999996</v>
      </c>
      <c r="U10" s="42">
        <f>T10^2</f>
        <v>13998073.959999997</v>
      </c>
      <c r="V10" s="42">
        <f t="shared" ref="V10:V73" si="12">ABS(T10)</f>
        <v>3741.3999999999996</v>
      </c>
      <c r="W10" s="43"/>
      <c r="X10" s="42" t="s">
        <v>3</v>
      </c>
      <c r="Y10" s="42" t="s">
        <v>3</v>
      </c>
      <c r="Z10" s="42" t="s">
        <v>3</v>
      </c>
      <c r="AA10" s="42" t="s">
        <v>3</v>
      </c>
      <c r="AB10" s="43"/>
      <c r="AC10" s="42" t="s">
        <v>3</v>
      </c>
      <c r="AD10" s="42" t="s">
        <v>3</v>
      </c>
      <c r="AE10" s="42" t="s">
        <v>3</v>
      </c>
      <c r="AF10" s="42" t="s">
        <v>3</v>
      </c>
      <c r="AG10" s="43"/>
      <c r="AH10" s="42" t="s">
        <v>3</v>
      </c>
      <c r="AI10" s="42" t="s">
        <v>3</v>
      </c>
      <c r="AJ10" s="42" t="s">
        <v>3</v>
      </c>
      <c r="AK10" s="42" t="s">
        <v>3</v>
      </c>
      <c r="AL10" s="43"/>
      <c r="AM10" s="42" t="s">
        <v>3</v>
      </c>
      <c r="AN10" s="42" t="s">
        <v>3</v>
      </c>
      <c r="AO10" s="42" t="s">
        <v>3</v>
      </c>
      <c r="AP10" s="42" t="s">
        <v>3</v>
      </c>
      <c r="AQ10" s="43"/>
      <c r="AR10" s="42" t="s">
        <v>3</v>
      </c>
      <c r="AS10" s="42" t="s">
        <v>3</v>
      </c>
      <c r="AT10" s="42" t="s">
        <v>3</v>
      </c>
      <c r="AU10" s="42" t="s">
        <v>3</v>
      </c>
      <c r="AV10" s="43"/>
      <c r="AW10" s="42" t="s">
        <v>3</v>
      </c>
      <c r="AX10" s="42" t="s">
        <v>3</v>
      </c>
      <c r="AY10" s="42" t="s">
        <v>3</v>
      </c>
      <c r="AZ10" s="42" t="s">
        <v>3</v>
      </c>
      <c r="BA10" s="43"/>
      <c r="BB10" s="42" t="s">
        <v>3</v>
      </c>
      <c r="BC10" s="42" t="s">
        <v>3</v>
      </c>
      <c r="BD10" s="42" t="s">
        <v>3</v>
      </c>
      <c r="BE10" s="42" t="s">
        <v>3</v>
      </c>
    </row>
    <row r="11" spans="1:57" ht="18" x14ac:dyDescent="0.2">
      <c r="A11" s="7">
        <v>38565</v>
      </c>
      <c r="B11" s="17">
        <v>13971</v>
      </c>
      <c r="D11" s="42">
        <f t="shared" si="3"/>
        <v>13128.5</v>
      </c>
      <c r="E11" s="42">
        <f>$B11-D11</f>
        <v>842.5</v>
      </c>
      <c r="F11" s="42">
        <f t="shared" si="0"/>
        <v>709806.25</v>
      </c>
      <c r="G11" s="42">
        <f t="shared" si="1"/>
        <v>842.5</v>
      </c>
      <c r="H11" s="43"/>
      <c r="I11" s="42">
        <f t="shared" si="2"/>
        <v>12122</v>
      </c>
      <c r="J11" s="42">
        <f t="shared" si="4"/>
        <v>1849</v>
      </c>
      <c r="K11" s="42">
        <f t="shared" si="5"/>
        <v>3418801</v>
      </c>
      <c r="L11" s="42">
        <f t="shared" si="6"/>
        <v>1849</v>
      </c>
      <c r="M11" s="43"/>
      <c r="N11" s="42">
        <f t="shared" si="7"/>
        <v>11738.25</v>
      </c>
      <c r="O11" s="42">
        <f t="shared" si="9"/>
        <v>2232.75</v>
      </c>
      <c r="P11" s="42">
        <f t="shared" si="10"/>
        <v>4985172.5625</v>
      </c>
      <c r="Q11" s="42">
        <f t="shared" si="8"/>
        <v>2232.75</v>
      </c>
      <c r="R11" s="43"/>
      <c r="S11" s="42">
        <f t="shared" si="11"/>
        <v>11804.8</v>
      </c>
      <c r="T11" s="42">
        <f t="shared" ref="T11:T74" si="13">$B11-S11</f>
        <v>2166.2000000000007</v>
      </c>
      <c r="U11" s="42">
        <f t="shared" ref="U11:U74" si="14">T11^2</f>
        <v>4692422.4400000032</v>
      </c>
      <c r="V11" s="42">
        <f t="shared" si="12"/>
        <v>2166.2000000000007</v>
      </c>
      <c r="W11" s="43"/>
      <c r="X11" s="42">
        <f t="shared" ref="X11:X74" si="15">AVERAGE(B5:B10)</f>
        <v>11608.166666666666</v>
      </c>
      <c r="Y11" s="42">
        <f>$B11-X11</f>
        <v>2362.8333333333339</v>
      </c>
      <c r="Z11" s="42">
        <f>Y11^2</f>
        <v>5582981.3611111138</v>
      </c>
      <c r="AA11" s="42">
        <f t="shared" ref="AA11:AA74" si="16">ABS(Y11)</f>
        <v>2362.8333333333339</v>
      </c>
      <c r="AB11" s="43"/>
      <c r="AC11" s="42" t="s">
        <v>3</v>
      </c>
      <c r="AD11" s="42" t="s">
        <v>3</v>
      </c>
      <c r="AE11" s="42" t="s">
        <v>3</v>
      </c>
      <c r="AF11" s="42" t="s">
        <v>3</v>
      </c>
      <c r="AG11" s="43"/>
      <c r="AH11" s="42" t="s">
        <v>3</v>
      </c>
      <c r="AI11" s="42" t="s">
        <v>3</v>
      </c>
      <c r="AJ11" s="42" t="s">
        <v>3</v>
      </c>
      <c r="AK11" s="42" t="s">
        <v>3</v>
      </c>
      <c r="AL11" s="43"/>
      <c r="AM11" s="42" t="s">
        <v>3</v>
      </c>
      <c r="AN11" s="42" t="s">
        <v>3</v>
      </c>
      <c r="AO11" s="42" t="s">
        <v>3</v>
      </c>
      <c r="AP11" s="42" t="s">
        <v>3</v>
      </c>
      <c r="AQ11" s="43"/>
      <c r="AR11" s="42" t="s">
        <v>3</v>
      </c>
      <c r="AS11" s="42" t="s">
        <v>3</v>
      </c>
      <c r="AT11" s="42" t="s">
        <v>3</v>
      </c>
      <c r="AU11" s="42" t="s">
        <v>3</v>
      </c>
      <c r="AV11" s="43"/>
      <c r="AW11" s="42" t="s">
        <v>3</v>
      </c>
      <c r="AX11" s="42" t="s">
        <v>3</v>
      </c>
      <c r="AY11" s="42" t="s">
        <v>3</v>
      </c>
      <c r="AZ11" s="42" t="s">
        <v>3</v>
      </c>
      <c r="BA11" s="43"/>
      <c r="BB11" s="42" t="s">
        <v>3</v>
      </c>
      <c r="BC11" s="42" t="s">
        <v>3</v>
      </c>
      <c r="BD11" s="42" t="s">
        <v>3</v>
      </c>
      <c r="BE11" s="42" t="s">
        <v>3</v>
      </c>
    </row>
    <row r="12" spans="1:57" ht="18" x14ac:dyDescent="0.2">
      <c r="A12" s="7">
        <v>38596</v>
      </c>
      <c r="B12" s="17">
        <v>9198</v>
      </c>
      <c r="D12" s="42">
        <f t="shared" si="3"/>
        <v>14348.5</v>
      </c>
      <c r="E12" s="42">
        <f t="shared" ref="E12:E41" si="17">$B12-D12</f>
        <v>-5150.5</v>
      </c>
      <c r="F12" s="42">
        <f t="shared" si="0"/>
        <v>26527650.25</v>
      </c>
      <c r="G12" s="42">
        <f t="shared" si="1"/>
        <v>5150.5</v>
      </c>
      <c r="H12" s="43"/>
      <c r="I12" s="42">
        <f t="shared" si="2"/>
        <v>13409.333333333334</v>
      </c>
      <c r="J12" s="42">
        <f t="shared" si="4"/>
        <v>-4211.3333333333339</v>
      </c>
      <c r="K12" s="42">
        <f t="shared" si="5"/>
        <v>17735328.444444448</v>
      </c>
      <c r="L12" s="42">
        <f t="shared" si="6"/>
        <v>4211.3333333333339</v>
      </c>
      <c r="M12" s="43"/>
      <c r="N12" s="42">
        <f t="shared" si="7"/>
        <v>12584.25</v>
      </c>
      <c r="O12" s="42">
        <f t="shared" si="9"/>
        <v>-3386.25</v>
      </c>
      <c r="P12" s="42">
        <f t="shared" si="10"/>
        <v>11466689.0625</v>
      </c>
      <c r="Q12" s="42">
        <f t="shared" si="8"/>
        <v>3386.25</v>
      </c>
      <c r="R12" s="43"/>
      <c r="S12" s="42">
        <f t="shared" si="11"/>
        <v>12184.8</v>
      </c>
      <c r="T12" s="42">
        <f t="shared" si="13"/>
        <v>-2986.7999999999993</v>
      </c>
      <c r="U12" s="42">
        <f t="shared" si="14"/>
        <v>8920974.2399999965</v>
      </c>
      <c r="V12" s="42">
        <f t="shared" si="12"/>
        <v>2986.7999999999993</v>
      </c>
      <c r="W12" s="43"/>
      <c r="X12" s="42">
        <f t="shared" si="15"/>
        <v>12165.833333333334</v>
      </c>
      <c r="Y12" s="42">
        <f t="shared" ref="Y12:Y75" si="18">$B12-X12</f>
        <v>-2967.8333333333339</v>
      </c>
      <c r="Z12" s="42">
        <f t="shared" ref="Z12:Z75" si="19">Y12^2</f>
        <v>8808034.6944444478</v>
      </c>
      <c r="AA12" s="42">
        <f t="shared" si="16"/>
        <v>2967.8333333333339</v>
      </c>
      <c r="AB12" s="43"/>
      <c r="AC12" s="42">
        <f t="shared" ref="AC12:AC75" si="20">AVERAGE(B5:B11)</f>
        <v>11945.714285714286</v>
      </c>
      <c r="AD12" s="42">
        <f>$B12-AC12</f>
        <v>-2747.7142857142862</v>
      </c>
      <c r="AE12" s="42">
        <f>AD12^2</f>
        <v>7549933.7959183706</v>
      </c>
      <c r="AF12" s="42">
        <f t="shared" ref="AF12:AF75" si="21">ABS(AD12)</f>
        <v>2747.7142857142862</v>
      </c>
      <c r="AG12" s="43"/>
      <c r="AH12" s="42" t="s">
        <v>3</v>
      </c>
      <c r="AI12" s="42" t="s">
        <v>3</v>
      </c>
      <c r="AJ12" s="42" t="s">
        <v>3</v>
      </c>
      <c r="AK12" s="42" t="s">
        <v>3</v>
      </c>
      <c r="AL12" s="43"/>
      <c r="AM12" s="42" t="s">
        <v>3</v>
      </c>
      <c r="AN12" s="42" t="s">
        <v>3</v>
      </c>
      <c r="AO12" s="42" t="s">
        <v>3</v>
      </c>
      <c r="AP12" s="42" t="s">
        <v>3</v>
      </c>
      <c r="AQ12" s="43"/>
      <c r="AR12" s="42" t="s">
        <v>3</v>
      </c>
      <c r="AS12" s="42" t="s">
        <v>3</v>
      </c>
      <c r="AT12" s="42" t="s">
        <v>3</v>
      </c>
      <c r="AU12" s="42" t="s">
        <v>3</v>
      </c>
      <c r="AV12" s="43"/>
      <c r="AW12" s="42" t="s">
        <v>3</v>
      </c>
      <c r="AX12" s="42" t="s">
        <v>3</v>
      </c>
      <c r="AY12" s="42" t="s">
        <v>3</v>
      </c>
      <c r="AZ12" s="42" t="s">
        <v>3</v>
      </c>
      <c r="BA12" s="43"/>
      <c r="BB12" s="42" t="s">
        <v>3</v>
      </c>
      <c r="BC12" s="42" t="s">
        <v>3</v>
      </c>
      <c r="BD12" s="42" t="s">
        <v>3</v>
      </c>
      <c r="BE12" s="42" t="s">
        <v>3</v>
      </c>
    </row>
    <row r="13" spans="1:57" ht="18" x14ac:dyDescent="0.2">
      <c r="A13" s="7">
        <v>38626</v>
      </c>
      <c r="B13" s="17">
        <v>10872</v>
      </c>
      <c r="D13" s="42">
        <f t="shared" si="3"/>
        <v>11584.5</v>
      </c>
      <c r="E13" s="42">
        <f t="shared" si="17"/>
        <v>-712.5</v>
      </c>
      <c r="F13" s="42">
        <f t="shared" si="0"/>
        <v>507656.25</v>
      </c>
      <c r="G13" s="42">
        <f t="shared" si="1"/>
        <v>712.5</v>
      </c>
      <c r="H13" s="43"/>
      <c r="I13" s="42">
        <f t="shared" si="2"/>
        <v>12631.666666666666</v>
      </c>
      <c r="J13" s="42">
        <f t="shared" si="4"/>
        <v>-1759.6666666666661</v>
      </c>
      <c r="K13" s="42">
        <f t="shared" si="5"/>
        <v>3096426.7777777757</v>
      </c>
      <c r="L13" s="42">
        <f t="shared" si="6"/>
        <v>1759.6666666666661</v>
      </c>
      <c r="M13" s="43"/>
      <c r="N13" s="42">
        <f t="shared" si="7"/>
        <v>12356.5</v>
      </c>
      <c r="O13" s="42">
        <f t="shared" si="9"/>
        <v>-1484.5</v>
      </c>
      <c r="P13" s="42">
        <f t="shared" si="10"/>
        <v>2203740.25</v>
      </c>
      <c r="Q13" s="42">
        <f t="shared" si="8"/>
        <v>1484.5</v>
      </c>
      <c r="R13" s="43"/>
      <c r="S13" s="42">
        <f t="shared" si="11"/>
        <v>11907</v>
      </c>
      <c r="T13" s="42">
        <f t="shared" si="13"/>
        <v>-1035</v>
      </c>
      <c r="U13" s="42">
        <f t="shared" si="14"/>
        <v>1071225</v>
      </c>
      <c r="V13" s="42">
        <f t="shared" si="12"/>
        <v>1035</v>
      </c>
      <c r="W13" s="43"/>
      <c r="X13" s="42">
        <f t="shared" si="15"/>
        <v>11687</v>
      </c>
      <c r="Y13" s="42">
        <f t="shared" si="18"/>
        <v>-815</v>
      </c>
      <c r="Z13" s="42">
        <f t="shared" si="19"/>
        <v>664225</v>
      </c>
      <c r="AA13" s="42">
        <f t="shared" si="16"/>
        <v>815</v>
      </c>
      <c r="AB13" s="43"/>
      <c r="AC13" s="42">
        <f t="shared" si="20"/>
        <v>11741.857142857143</v>
      </c>
      <c r="AD13" s="42">
        <f t="shared" ref="AD13:AD76" si="22">$B13-AC13</f>
        <v>-869.85714285714312</v>
      </c>
      <c r="AE13" s="42">
        <f t="shared" ref="AE13:AE76" si="23">AD13^2</f>
        <v>756651.4489795923</v>
      </c>
      <c r="AF13" s="42">
        <f t="shared" si="21"/>
        <v>869.85714285714312</v>
      </c>
      <c r="AG13" s="43"/>
      <c r="AH13" s="42">
        <f t="shared" ref="AH13:AH76" si="24">AVERAGE(B5:B12)</f>
        <v>11602.25</v>
      </c>
      <c r="AI13" s="42">
        <f>$B13-AH13</f>
        <v>-730.25</v>
      </c>
      <c r="AJ13" s="42">
        <f t="shared" ref="AJ13:AJ76" si="25">AI13^2</f>
        <v>533265.0625</v>
      </c>
      <c r="AK13" s="42">
        <f t="shared" ref="AK13:AK76" si="26">ABS(AI13)</f>
        <v>730.25</v>
      </c>
      <c r="AL13" s="43"/>
      <c r="AM13" s="42" t="s">
        <v>3</v>
      </c>
      <c r="AN13" s="42" t="s">
        <v>3</v>
      </c>
      <c r="AO13" s="42" t="s">
        <v>3</v>
      </c>
      <c r="AP13" s="42" t="s">
        <v>3</v>
      </c>
      <c r="AQ13" s="43"/>
      <c r="AR13" s="42" t="s">
        <v>3</v>
      </c>
      <c r="AS13" s="42" t="s">
        <v>3</v>
      </c>
      <c r="AT13" s="42" t="s">
        <v>3</v>
      </c>
      <c r="AU13" s="42" t="s">
        <v>3</v>
      </c>
      <c r="AV13" s="43"/>
      <c r="AW13" s="42" t="s">
        <v>3</v>
      </c>
      <c r="AX13" s="42" t="s">
        <v>3</v>
      </c>
      <c r="AY13" s="42" t="s">
        <v>3</v>
      </c>
      <c r="AZ13" s="42" t="s">
        <v>3</v>
      </c>
      <c r="BA13" s="43"/>
      <c r="BB13" s="42" t="s">
        <v>3</v>
      </c>
      <c r="BC13" s="42" t="s">
        <v>3</v>
      </c>
      <c r="BD13" s="42" t="s">
        <v>3</v>
      </c>
      <c r="BE13" s="42" t="s">
        <v>3</v>
      </c>
    </row>
    <row r="14" spans="1:57" ht="18" x14ac:dyDescent="0.2">
      <c r="A14" s="7">
        <v>38657</v>
      </c>
      <c r="B14" s="17">
        <v>12040</v>
      </c>
      <c r="D14" s="42">
        <f t="shared" si="3"/>
        <v>10035</v>
      </c>
      <c r="E14" s="42">
        <f t="shared" si="17"/>
        <v>2005</v>
      </c>
      <c r="F14" s="42">
        <f t="shared" si="0"/>
        <v>4020025</v>
      </c>
      <c r="G14" s="42">
        <f t="shared" si="1"/>
        <v>2005</v>
      </c>
      <c r="H14" s="43"/>
      <c r="I14" s="42">
        <f t="shared" si="2"/>
        <v>11347</v>
      </c>
      <c r="J14" s="42">
        <f t="shared" si="4"/>
        <v>693</v>
      </c>
      <c r="K14" s="42">
        <f t="shared" si="5"/>
        <v>480249</v>
      </c>
      <c r="L14" s="42">
        <f t="shared" si="6"/>
        <v>693</v>
      </c>
      <c r="M14" s="43"/>
      <c r="N14" s="42">
        <f t="shared" si="7"/>
        <v>12191.75</v>
      </c>
      <c r="O14" s="42">
        <f t="shared" si="9"/>
        <v>-151.75</v>
      </c>
      <c r="P14" s="42">
        <f t="shared" si="10"/>
        <v>23028.0625</v>
      </c>
      <c r="Q14" s="42">
        <f t="shared" si="8"/>
        <v>151.75</v>
      </c>
      <c r="R14" s="43"/>
      <c r="S14" s="42">
        <f t="shared" si="11"/>
        <v>12059.6</v>
      </c>
      <c r="T14" s="42">
        <f t="shared" si="13"/>
        <v>-19.600000000000364</v>
      </c>
      <c r="U14" s="42">
        <f t="shared" si="14"/>
        <v>384.16000000001424</v>
      </c>
      <c r="V14" s="42">
        <f t="shared" si="12"/>
        <v>19.600000000000364</v>
      </c>
      <c r="W14" s="43"/>
      <c r="X14" s="42">
        <f t="shared" si="15"/>
        <v>11734.5</v>
      </c>
      <c r="Y14" s="42">
        <f t="shared" si="18"/>
        <v>305.5</v>
      </c>
      <c r="Z14" s="42">
        <f t="shared" si="19"/>
        <v>93330.25</v>
      </c>
      <c r="AA14" s="42">
        <f t="shared" si="16"/>
        <v>305.5</v>
      </c>
      <c r="AB14" s="43"/>
      <c r="AC14" s="42">
        <f t="shared" si="20"/>
        <v>11570.571428571429</v>
      </c>
      <c r="AD14" s="42">
        <f t="shared" si="22"/>
        <v>469.42857142857065</v>
      </c>
      <c r="AE14" s="42">
        <f t="shared" si="23"/>
        <v>220363.18367346865</v>
      </c>
      <c r="AF14" s="42">
        <f t="shared" si="21"/>
        <v>469.42857142857065</v>
      </c>
      <c r="AG14" s="43"/>
      <c r="AH14" s="42">
        <f t="shared" si="24"/>
        <v>11633.125</v>
      </c>
      <c r="AI14" s="42">
        <f t="shared" ref="AI14:AI77" si="27">$B14-AH14</f>
        <v>406.875</v>
      </c>
      <c r="AJ14" s="42">
        <f t="shared" si="25"/>
        <v>165547.265625</v>
      </c>
      <c r="AK14" s="42">
        <f t="shared" si="26"/>
        <v>406.875</v>
      </c>
      <c r="AL14" s="43"/>
      <c r="AM14" s="42">
        <f t="shared" ref="AM14:AM77" si="28">AVERAGE(B5:B13)</f>
        <v>11521.111111111111</v>
      </c>
      <c r="AN14" s="42">
        <f>$B14-AM14</f>
        <v>518.88888888888869</v>
      </c>
      <c r="AO14" s="42">
        <f t="shared" ref="AO14:AO77" si="29">AN14^2</f>
        <v>269245.67901234544</v>
      </c>
      <c r="AP14" s="42">
        <f t="shared" ref="AP14:AP77" si="30">ABS(AN14)</f>
        <v>518.88888888888869</v>
      </c>
      <c r="AQ14" s="43"/>
      <c r="AR14" s="42" t="s">
        <v>3</v>
      </c>
      <c r="AS14" s="42" t="s">
        <v>3</v>
      </c>
      <c r="AT14" s="42" t="s">
        <v>3</v>
      </c>
      <c r="AU14" s="42" t="s">
        <v>3</v>
      </c>
      <c r="AV14" s="43"/>
      <c r="AW14" s="42" t="s">
        <v>3</v>
      </c>
      <c r="AX14" s="42" t="s">
        <v>3</v>
      </c>
      <c r="AY14" s="42" t="s">
        <v>3</v>
      </c>
      <c r="AZ14" s="42" t="s">
        <v>3</v>
      </c>
      <c r="BA14" s="43"/>
      <c r="BB14" s="42" t="s">
        <v>3</v>
      </c>
      <c r="BC14" s="42" t="s">
        <v>3</v>
      </c>
      <c r="BD14" s="42" t="s">
        <v>3</v>
      </c>
      <c r="BE14" s="42" t="s">
        <v>3</v>
      </c>
    </row>
    <row r="15" spans="1:57" ht="18" x14ac:dyDescent="0.2">
      <c r="A15" s="7">
        <v>38687</v>
      </c>
      <c r="B15" s="17">
        <v>18788</v>
      </c>
      <c r="D15" s="42">
        <f t="shared" si="3"/>
        <v>11456</v>
      </c>
      <c r="E15" s="42">
        <f t="shared" si="17"/>
        <v>7332</v>
      </c>
      <c r="F15" s="42">
        <f t="shared" si="0"/>
        <v>53758224</v>
      </c>
      <c r="G15" s="42">
        <f t="shared" si="1"/>
        <v>7332</v>
      </c>
      <c r="H15" s="43"/>
      <c r="I15" s="42">
        <f t="shared" si="2"/>
        <v>10703.333333333334</v>
      </c>
      <c r="J15" s="42">
        <f t="shared" si="4"/>
        <v>8084.6666666666661</v>
      </c>
      <c r="K15" s="42">
        <f t="shared" si="5"/>
        <v>65361835.111111104</v>
      </c>
      <c r="L15" s="42">
        <f t="shared" si="6"/>
        <v>8084.6666666666661</v>
      </c>
      <c r="M15" s="43"/>
      <c r="N15" s="42">
        <f t="shared" si="7"/>
        <v>11520.25</v>
      </c>
      <c r="O15" s="42">
        <f t="shared" si="9"/>
        <v>7267.75</v>
      </c>
      <c r="P15" s="42">
        <f t="shared" si="10"/>
        <v>52820190.0625</v>
      </c>
      <c r="Q15" s="42">
        <f t="shared" si="8"/>
        <v>7267.75</v>
      </c>
      <c r="R15" s="43"/>
      <c r="S15" s="42">
        <f t="shared" si="11"/>
        <v>12161.4</v>
      </c>
      <c r="T15" s="42">
        <f t="shared" si="13"/>
        <v>6626.6</v>
      </c>
      <c r="U15" s="42">
        <f t="shared" si="14"/>
        <v>43911827.560000002</v>
      </c>
      <c r="V15" s="42">
        <f t="shared" si="12"/>
        <v>6626.6</v>
      </c>
      <c r="W15" s="43"/>
      <c r="X15" s="42">
        <f t="shared" si="15"/>
        <v>12056.333333333334</v>
      </c>
      <c r="Y15" s="42">
        <f t="shared" si="18"/>
        <v>6731.6666666666661</v>
      </c>
      <c r="Z15" s="42">
        <f t="shared" si="19"/>
        <v>45315336.111111104</v>
      </c>
      <c r="AA15" s="42">
        <f t="shared" si="16"/>
        <v>6731.6666666666661</v>
      </c>
      <c r="AB15" s="43"/>
      <c r="AC15" s="42">
        <f t="shared" si="20"/>
        <v>11778.142857142857</v>
      </c>
      <c r="AD15" s="42">
        <f t="shared" si="22"/>
        <v>7009.8571428571431</v>
      </c>
      <c r="AE15" s="42">
        <f t="shared" si="23"/>
        <v>49138097.16326531</v>
      </c>
      <c r="AF15" s="42">
        <f t="shared" si="21"/>
        <v>7009.8571428571431</v>
      </c>
      <c r="AG15" s="43"/>
      <c r="AH15" s="42">
        <f t="shared" si="24"/>
        <v>11629.25</v>
      </c>
      <c r="AI15" s="42">
        <f t="shared" si="27"/>
        <v>7158.75</v>
      </c>
      <c r="AJ15" s="42">
        <f t="shared" si="25"/>
        <v>51247701.5625</v>
      </c>
      <c r="AK15" s="42">
        <f t="shared" si="26"/>
        <v>7158.75</v>
      </c>
      <c r="AL15" s="43"/>
      <c r="AM15" s="42">
        <f t="shared" si="28"/>
        <v>11678.333333333334</v>
      </c>
      <c r="AN15" s="42">
        <f t="shared" ref="AN15:AN78" si="31">$B15-AM15</f>
        <v>7109.6666666666661</v>
      </c>
      <c r="AO15" s="42">
        <f t="shared" si="29"/>
        <v>50547360.111111104</v>
      </c>
      <c r="AP15" s="42">
        <f t="shared" si="30"/>
        <v>7109.6666666666661</v>
      </c>
      <c r="AQ15" s="43"/>
      <c r="AR15" s="42">
        <f t="shared" ref="AR15:AR78" si="32">AVERAGE(B5:B14)</f>
        <v>11573</v>
      </c>
      <c r="AS15" s="42">
        <f>$B15-AR15</f>
        <v>7215</v>
      </c>
      <c r="AT15" s="42">
        <f>AS15^2</f>
        <v>52056225</v>
      </c>
      <c r="AU15" s="42">
        <f t="shared" ref="AU15:AU41" si="33">ABS(AS15)</f>
        <v>7215</v>
      </c>
      <c r="AV15" s="43"/>
      <c r="AW15" s="42" t="s">
        <v>3</v>
      </c>
      <c r="AX15" s="42" t="s">
        <v>3</v>
      </c>
      <c r="AY15" s="42" t="s">
        <v>3</v>
      </c>
      <c r="AZ15" s="42" t="s">
        <v>3</v>
      </c>
      <c r="BA15" s="43"/>
      <c r="BB15" s="42" t="s">
        <v>3</v>
      </c>
      <c r="BC15" s="42" t="s">
        <v>3</v>
      </c>
      <c r="BD15" s="42" t="s">
        <v>3</v>
      </c>
      <c r="BE15" s="42" t="s">
        <v>3</v>
      </c>
    </row>
    <row r="16" spans="1:57" ht="18" x14ac:dyDescent="0.2">
      <c r="A16" s="7">
        <v>38718</v>
      </c>
      <c r="B16" s="17">
        <v>9999</v>
      </c>
      <c r="D16" s="42">
        <f t="shared" si="3"/>
        <v>15414</v>
      </c>
      <c r="E16" s="42">
        <f t="shared" si="17"/>
        <v>-5415</v>
      </c>
      <c r="F16" s="42">
        <f t="shared" si="0"/>
        <v>29322225</v>
      </c>
      <c r="G16" s="42">
        <f t="shared" si="1"/>
        <v>5415</v>
      </c>
      <c r="H16" s="43"/>
      <c r="I16" s="42">
        <f t="shared" si="2"/>
        <v>13900</v>
      </c>
      <c r="J16" s="42">
        <f t="shared" si="4"/>
        <v>-3901</v>
      </c>
      <c r="K16" s="42">
        <f t="shared" si="5"/>
        <v>15217801</v>
      </c>
      <c r="L16" s="42">
        <f t="shared" si="6"/>
        <v>3901</v>
      </c>
      <c r="M16" s="43"/>
      <c r="N16" s="42">
        <f t="shared" si="7"/>
        <v>12724.5</v>
      </c>
      <c r="O16" s="42">
        <f t="shared" si="9"/>
        <v>-2725.5</v>
      </c>
      <c r="P16" s="42">
        <f t="shared" si="10"/>
        <v>7428350.25</v>
      </c>
      <c r="Q16" s="42">
        <f t="shared" si="8"/>
        <v>2725.5</v>
      </c>
      <c r="R16" s="43"/>
      <c r="S16" s="42">
        <f t="shared" si="11"/>
        <v>12973.8</v>
      </c>
      <c r="T16" s="42">
        <f t="shared" si="13"/>
        <v>-2974.7999999999993</v>
      </c>
      <c r="U16" s="42">
        <f t="shared" si="14"/>
        <v>8849435.0399999954</v>
      </c>
      <c r="V16" s="42">
        <f t="shared" si="12"/>
        <v>2974.7999999999993</v>
      </c>
      <c r="W16" s="43"/>
      <c r="X16" s="42">
        <f t="shared" si="15"/>
        <v>13265.833333333334</v>
      </c>
      <c r="Y16" s="42">
        <f t="shared" si="18"/>
        <v>-3266.8333333333339</v>
      </c>
      <c r="Z16" s="42">
        <f t="shared" si="19"/>
        <v>10672200.027777782</v>
      </c>
      <c r="AA16" s="42">
        <f t="shared" si="16"/>
        <v>3266.8333333333339</v>
      </c>
      <c r="AB16" s="43"/>
      <c r="AC16" s="42">
        <f t="shared" si="20"/>
        <v>13018</v>
      </c>
      <c r="AD16" s="42">
        <f t="shared" si="22"/>
        <v>-3019</v>
      </c>
      <c r="AE16" s="42">
        <f t="shared" si="23"/>
        <v>9114361</v>
      </c>
      <c r="AF16" s="42">
        <f t="shared" si="21"/>
        <v>3019</v>
      </c>
      <c r="AG16" s="43"/>
      <c r="AH16" s="42">
        <f t="shared" si="24"/>
        <v>12654.375</v>
      </c>
      <c r="AI16" s="42">
        <f t="shared" si="27"/>
        <v>-2655.375</v>
      </c>
      <c r="AJ16" s="42">
        <f t="shared" si="25"/>
        <v>7051016.390625</v>
      </c>
      <c r="AK16" s="42">
        <f t="shared" si="26"/>
        <v>2655.375</v>
      </c>
      <c r="AL16" s="43"/>
      <c r="AM16" s="42">
        <f t="shared" si="28"/>
        <v>12424.666666666666</v>
      </c>
      <c r="AN16" s="42">
        <f t="shared" si="31"/>
        <v>-2425.6666666666661</v>
      </c>
      <c r="AO16" s="42">
        <f t="shared" si="29"/>
        <v>5883858.7777777752</v>
      </c>
      <c r="AP16" s="42">
        <f t="shared" si="30"/>
        <v>2425.6666666666661</v>
      </c>
      <c r="AQ16" s="43"/>
      <c r="AR16" s="42">
        <f t="shared" si="32"/>
        <v>12389.3</v>
      </c>
      <c r="AS16" s="42">
        <f t="shared" ref="AS16:AS79" si="34">$B16-AR16</f>
        <v>-2390.2999999999993</v>
      </c>
      <c r="AT16" s="42">
        <f t="shared" ref="AT16:AT79" si="35">AS16^2</f>
        <v>5713534.0899999961</v>
      </c>
      <c r="AU16" s="42">
        <f t="shared" si="33"/>
        <v>2390.2999999999993</v>
      </c>
      <c r="AV16" s="43"/>
      <c r="AW16" s="42">
        <f t="shared" ref="AW16:AW79" si="36">AVERAGE(B5:B15)</f>
        <v>12228.90909090909</v>
      </c>
      <c r="AX16" s="42">
        <f>$B16-AW16</f>
        <v>-2229.9090909090901</v>
      </c>
      <c r="AY16" s="42">
        <f t="shared" ref="AY16:AY79" si="37">AX16^2</f>
        <v>4972494.5537190046</v>
      </c>
      <c r="AZ16" s="42">
        <f t="shared" ref="AZ16:AZ79" si="38">ABS(AX16)</f>
        <v>2229.9090909090901</v>
      </c>
      <c r="BA16" s="43"/>
      <c r="BB16" s="42" t="s">
        <v>3</v>
      </c>
      <c r="BC16" s="42" t="s">
        <v>3</v>
      </c>
      <c r="BD16" s="42" t="s">
        <v>3</v>
      </c>
      <c r="BE16" s="42" t="s">
        <v>3</v>
      </c>
    </row>
    <row r="17" spans="1:57" ht="18" x14ac:dyDescent="0.2">
      <c r="A17" s="7">
        <v>38749</v>
      </c>
      <c r="B17" s="17">
        <v>10901</v>
      </c>
      <c r="D17" s="42">
        <f t="shared" si="3"/>
        <v>14393.5</v>
      </c>
      <c r="E17" s="42">
        <f t="shared" si="17"/>
        <v>-3492.5</v>
      </c>
      <c r="F17" s="42">
        <f t="shared" si="0"/>
        <v>12197556.25</v>
      </c>
      <c r="G17" s="42">
        <f t="shared" si="1"/>
        <v>3492.5</v>
      </c>
      <c r="H17" s="43"/>
      <c r="I17" s="42">
        <f t="shared" si="2"/>
        <v>13609</v>
      </c>
      <c r="J17" s="42">
        <f t="shared" si="4"/>
        <v>-2708</v>
      </c>
      <c r="K17" s="42">
        <f t="shared" si="5"/>
        <v>7333264</v>
      </c>
      <c r="L17" s="42">
        <f t="shared" si="6"/>
        <v>2708</v>
      </c>
      <c r="M17" s="43"/>
      <c r="N17" s="42">
        <f t="shared" si="7"/>
        <v>12924.75</v>
      </c>
      <c r="O17" s="42">
        <f t="shared" si="9"/>
        <v>-2023.75</v>
      </c>
      <c r="P17" s="42">
        <f t="shared" si="10"/>
        <v>4095564.0625</v>
      </c>
      <c r="Q17" s="42">
        <f t="shared" si="8"/>
        <v>2023.75</v>
      </c>
      <c r="R17" s="43"/>
      <c r="S17" s="42">
        <f t="shared" si="11"/>
        <v>12179.4</v>
      </c>
      <c r="T17" s="42">
        <f t="shared" si="13"/>
        <v>-1278.3999999999996</v>
      </c>
      <c r="U17" s="42">
        <f t="shared" si="14"/>
        <v>1634306.5599999991</v>
      </c>
      <c r="V17" s="42">
        <f t="shared" si="12"/>
        <v>1278.3999999999996</v>
      </c>
      <c r="W17" s="43"/>
      <c r="X17" s="42">
        <f t="shared" si="15"/>
        <v>12478</v>
      </c>
      <c r="Y17" s="42">
        <f t="shared" si="18"/>
        <v>-1577</v>
      </c>
      <c r="Z17" s="42">
        <f t="shared" si="19"/>
        <v>2486929</v>
      </c>
      <c r="AA17" s="42">
        <f t="shared" si="16"/>
        <v>1577</v>
      </c>
      <c r="AB17" s="43"/>
      <c r="AC17" s="42">
        <f t="shared" si="20"/>
        <v>12799.142857142857</v>
      </c>
      <c r="AD17" s="42">
        <f t="shared" si="22"/>
        <v>-1898.1428571428569</v>
      </c>
      <c r="AE17" s="42">
        <f t="shared" si="23"/>
        <v>3602946.3061224478</v>
      </c>
      <c r="AF17" s="42">
        <f t="shared" si="21"/>
        <v>1898.1428571428569</v>
      </c>
      <c r="AG17" s="43"/>
      <c r="AH17" s="42">
        <f t="shared" si="24"/>
        <v>12640.625</v>
      </c>
      <c r="AI17" s="42">
        <f t="shared" si="27"/>
        <v>-1739.625</v>
      </c>
      <c r="AJ17" s="42">
        <f t="shared" si="25"/>
        <v>3026295.140625</v>
      </c>
      <c r="AK17" s="42">
        <f t="shared" si="26"/>
        <v>1739.625</v>
      </c>
      <c r="AL17" s="43"/>
      <c r="AM17" s="42">
        <f t="shared" si="28"/>
        <v>12359.333333333334</v>
      </c>
      <c r="AN17" s="42">
        <f t="shared" si="31"/>
        <v>-1458.3333333333339</v>
      </c>
      <c r="AO17" s="42">
        <f t="shared" si="29"/>
        <v>2126736.1111111129</v>
      </c>
      <c r="AP17" s="42">
        <f t="shared" si="30"/>
        <v>1458.3333333333339</v>
      </c>
      <c r="AQ17" s="43"/>
      <c r="AR17" s="42">
        <f t="shared" si="32"/>
        <v>12182.1</v>
      </c>
      <c r="AS17" s="42">
        <f t="shared" si="34"/>
        <v>-1281.1000000000004</v>
      </c>
      <c r="AT17" s="42">
        <f t="shared" si="35"/>
        <v>1641217.2100000009</v>
      </c>
      <c r="AU17" s="42">
        <f t="shared" si="33"/>
        <v>1281.1000000000004</v>
      </c>
      <c r="AV17" s="43"/>
      <c r="AW17" s="42">
        <f t="shared" si="36"/>
        <v>12172</v>
      </c>
      <c r="AX17" s="42">
        <f t="shared" ref="AX17:AX80" si="39">$B17-AW17</f>
        <v>-1271</v>
      </c>
      <c r="AY17" s="42">
        <f t="shared" si="37"/>
        <v>1615441</v>
      </c>
      <c r="AZ17" s="42">
        <f t="shared" si="38"/>
        <v>1271</v>
      </c>
      <c r="BA17" s="43"/>
      <c r="BB17" s="42">
        <f>AVERAGE(B5:B16)</f>
        <v>12043.083333333334</v>
      </c>
      <c r="BC17" s="42">
        <f>$B17-BB17</f>
        <v>-1142.0833333333339</v>
      </c>
      <c r="BD17" s="42">
        <f t="shared" ref="BD17:BD80" si="40">BC17^2</f>
        <v>1304354.3402777791</v>
      </c>
      <c r="BE17" s="42">
        <f t="shared" ref="BE17:BE80" si="41">ABS(BC17)</f>
        <v>1142.0833333333339</v>
      </c>
    </row>
    <row r="18" spans="1:57" ht="18" x14ac:dyDescent="0.2">
      <c r="A18" s="7">
        <v>38777</v>
      </c>
      <c r="B18" s="17">
        <v>12966</v>
      </c>
      <c r="D18" s="42">
        <f t="shared" si="3"/>
        <v>10450</v>
      </c>
      <c r="E18" s="42">
        <f t="shared" si="17"/>
        <v>2516</v>
      </c>
      <c r="F18" s="42">
        <f t="shared" si="0"/>
        <v>6330256</v>
      </c>
      <c r="G18" s="42">
        <f t="shared" si="1"/>
        <v>2516</v>
      </c>
      <c r="H18" s="43"/>
      <c r="I18" s="42">
        <f t="shared" si="2"/>
        <v>13229.333333333334</v>
      </c>
      <c r="J18" s="42">
        <f t="shared" si="4"/>
        <v>-263.33333333333394</v>
      </c>
      <c r="K18" s="42">
        <f t="shared" si="5"/>
        <v>69344.444444444758</v>
      </c>
      <c r="L18" s="42">
        <f t="shared" si="6"/>
        <v>263.33333333333394</v>
      </c>
      <c r="M18" s="43"/>
      <c r="N18" s="42">
        <f t="shared" si="7"/>
        <v>12932</v>
      </c>
      <c r="O18" s="42">
        <f t="shared" si="9"/>
        <v>34</v>
      </c>
      <c r="P18" s="42">
        <f t="shared" si="10"/>
        <v>1156</v>
      </c>
      <c r="Q18" s="42">
        <f t="shared" si="8"/>
        <v>34</v>
      </c>
      <c r="R18" s="43"/>
      <c r="S18" s="42">
        <f t="shared" si="11"/>
        <v>12520</v>
      </c>
      <c r="T18" s="42">
        <f t="shared" si="13"/>
        <v>446</v>
      </c>
      <c r="U18" s="42">
        <f t="shared" si="14"/>
        <v>198916</v>
      </c>
      <c r="V18" s="42">
        <f t="shared" si="12"/>
        <v>446</v>
      </c>
      <c r="W18" s="43"/>
      <c r="X18" s="42">
        <f t="shared" si="15"/>
        <v>11966.333333333334</v>
      </c>
      <c r="Y18" s="42">
        <f t="shared" si="18"/>
        <v>999.66666666666606</v>
      </c>
      <c r="Z18" s="42">
        <f t="shared" si="19"/>
        <v>999333.44444444322</v>
      </c>
      <c r="AA18" s="42">
        <f t="shared" si="16"/>
        <v>999.66666666666606</v>
      </c>
      <c r="AB18" s="43"/>
      <c r="AC18" s="42">
        <f t="shared" si="20"/>
        <v>12252.714285714286</v>
      </c>
      <c r="AD18" s="42">
        <f t="shared" si="22"/>
        <v>713.28571428571377</v>
      </c>
      <c r="AE18" s="42">
        <f t="shared" si="23"/>
        <v>508776.5102040809</v>
      </c>
      <c r="AF18" s="42">
        <f t="shared" si="21"/>
        <v>713.28571428571377</v>
      </c>
      <c r="AG18" s="43"/>
      <c r="AH18" s="42">
        <f t="shared" si="24"/>
        <v>12561.875</v>
      </c>
      <c r="AI18" s="42">
        <f t="shared" si="27"/>
        <v>404.125</v>
      </c>
      <c r="AJ18" s="42">
        <f t="shared" si="25"/>
        <v>163317.015625</v>
      </c>
      <c r="AK18" s="42">
        <f t="shared" si="26"/>
        <v>404.125</v>
      </c>
      <c r="AL18" s="43"/>
      <c r="AM18" s="42">
        <f t="shared" si="28"/>
        <v>12447.333333333334</v>
      </c>
      <c r="AN18" s="42">
        <f t="shared" si="31"/>
        <v>518.66666666666606</v>
      </c>
      <c r="AO18" s="42">
        <f t="shared" si="29"/>
        <v>269015.11111111048</v>
      </c>
      <c r="AP18" s="42">
        <f t="shared" si="30"/>
        <v>518.66666666666606</v>
      </c>
      <c r="AQ18" s="43"/>
      <c r="AR18" s="42">
        <f t="shared" si="32"/>
        <v>12213.5</v>
      </c>
      <c r="AS18" s="42">
        <f t="shared" si="34"/>
        <v>752.5</v>
      </c>
      <c r="AT18" s="42">
        <f t="shared" si="35"/>
        <v>566256.25</v>
      </c>
      <c r="AU18" s="42">
        <f t="shared" si="33"/>
        <v>752.5</v>
      </c>
      <c r="AV18" s="43"/>
      <c r="AW18" s="42">
        <f t="shared" si="36"/>
        <v>12065.636363636364</v>
      </c>
      <c r="AX18" s="42">
        <f t="shared" si="39"/>
        <v>900.36363636363603</v>
      </c>
      <c r="AY18" s="42">
        <f t="shared" si="37"/>
        <v>810654.67768594983</v>
      </c>
      <c r="AZ18" s="42">
        <f t="shared" si="38"/>
        <v>900.36363636363603</v>
      </c>
      <c r="BA18" s="43"/>
      <c r="BB18" s="42">
        <f t="shared" ref="BB18:BB39" si="42">AVERAGE(B6:B17)</f>
        <v>12066.083333333334</v>
      </c>
      <c r="BC18" s="42">
        <f t="shared" ref="BC18:BC81" si="43">$B18-BB18</f>
        <v>899.91666666666606</v>
      </c>
      <c r="BD18" s="42">
        <f t="shared" si="40"/>
        <v>809850.00694444333</v>
      </c>
      <c r="BE18" s="42">
        <f t="shared" si="41"/>
        <v>899.91666666666606</v>
      </c>
    </row>
    <row r="19" spans="1:57" ht="18" x14ac:dyDescent="0.2">
      <c r="A19" s="7">
        <v>38808</v>
      </c>
      <c r="B19" s="17">
        <v>12566</v>
      </c>
      <c r="D19" s="42">
        <f t="shared" si="3"/>
        <v>11933.5</v>
      </c>
      <c r="E19" s="42">
        <f t="shared" si="17"/>
        <v>632.5</v>
      </c>
      <c r="F19" s="42">
        <f t="shared" si="0"/>
        <v>400056.25</v>
      </c>
      <c r="G19" s="42">
        <f t="shared" si="1"/>
        <v>632.5</v>
      </c>
      <c r="H19" s="43"/>
      <c r="I19" s="42">
        <f t="shared" si="2"/>
        <v>11288.666666666666</v>
      </c>
      <c r="J19" s="42">
        <f t="shared" si="4"/>
        <v>1277.3333333333339</v>
      </c>
      <c r="K19" s="42">
        <f t="shared" si="5"/>
        <v>1631580.4444444459</v>
      </c>
      <c r="L19" s="42">
        <f t="shared" si="6"/>
        <v>1277.3333333333339</v>
      </c>
      <c r="M19" s="43"/>
      <c r="N19" s="42">
        <f t="shared" si="7"/>
        <v>13163.5</v>
      </c>
      <c r="O19" s="42">
        <f t="shared" si="9"/>
        <v>-597.5</v>
      </c>
      <c r="P19" s="42">
        <f t="shared" si="10"/>
        <v>357006.25</v>
      </c>
      <c r="Q19" s="42">
        <f t="shared" si="8"/>
        <v>597.5</v>
      </c>
      <c r="R19" s="43"/>
      <c r="S19" s="42">
        <f t="shared" si="11"/>
        <v>12938.8</v>
      </c>
      <c r="T19" s="42">
        <f t="shared" si="13"/>
        <v>-372.79999999999927</v>
      </c>
      <c r="U19" s="42">
        <f t="shared" si="14"/>
        <v>138979.83999999944</v>
      </c>
      <c r="V19" s="42">
        <f t="shared" si="12"/>
        <v>372.79999999999927</v>
      </c>
      <c r="W19" s="43"/>
      <c r="X19" s="42">
        <f t="shared" si="15"/>
        <v>12594.333333333334</v>
      </c>
      <c r="Y19" s="42">
        <f t="shared" si="18"/>
        <v>-28.33333333333394</v>
      </c>
      <c r="Z19" s="42">
        <f t="shared" si="19"/>
        <v>802.77777777781216</v>
      </c>
      <c r="AA19" s="42">
        <f t="shared" si="16"/>
        <v>28.33333333333394</v>
      </c>
      <c r="AB19" s="43"/>
      <c r="AC19" s="42">
        <f t="shared" si="20"/>
        <v>12109.142857142857</v>
      </c>
      <c r="AD19" s="42">
        <f t="shared" si="22"/>
        <v>456.85714285714312</v>
      </c>
      <c r="AE19" s="42">
        <f t="shared" si="23"/>
        <v>208718.44897959207</v>
      </c>
      <c r="AF19" s="42">
        <f t="shared" si="21"/>
        <v>456.85714285714312</v>
      </c>
      <c r="AG19" s="43"/>
      <c r="AH19" s="42">
        <f t="shared" si="24"/>
        <v>12341.875</v>
      </c>
      <c r="AI19" s="42">
        <f t="shared" si="27"/>
        <v>224.125</v>
      </c>
      <c r="AJ19" s="42">
        <f t="shared" si="25"/>
        <v>50232.015625</v>
      </c>
      <c r="AK19" s="42">
        <f t="shared" si="26"/>
        <v>224.125</v>
      </c>
      <c r="AL19" s="43"/>
      <c r="AM19" s="42">
        <f t="shared" si="28"/>
        <v>12606.777777777777</v>
      </c>
      <c r="AN19" s="42">
        <f t="shared" si="31"/>
        <v>-40.777777777777374</v>
      </c>
      <c r="AO19" s="42">
        <f t="shared" si="29"/>
        <v>1662.8271604937943</v>
      </c>
      <c r="AP19" s="42">
        <f t="shared" si="30"/>
        <v>40.777777777777374</v>
      </c>
      <c r="AQ19" s="43"/>
      <c r="AR19" s="42">
        <f t="shared" si="32"/>
        <v>12499.2</v>
      </c>
      <c r="AS19" s="42">
        <f t="shared" si="34"/>
        <v>66.799999999999272</v>
      </c>
      <c r="AT19" s="42">
        <f t="shared" si="35"/>
        <v>4462.2399999999025</v>
      </c>
      <c r="AU19" s="42">
        <f t="shared" si="33"/>
        <v>66.799999999999272</v>
      </c>
      <c r="AV19" s="43"/>
      <c r="AW19" s="42">
        <f t="shared" si="36"/>
        <v>12281.90909090909</v>
      </c>
      <c r="AX19" s="42">
        <f t="shared" si="39"/>
        <v>284.09090909090992</v>
      </c>
      <c r="AY19" s="42">
        <f t="shared" si="37"/>
        <v>80707.644628099646</v>
      </c>
      <c r="AZ19" s="42">
        <f t="shared" si="38"/>
        <v>284.09090909090992</v>
      </c>
      <c r="BA19" s="43"/>
      <c r="BB19" s="42">
        <f t="shared" si="42"/>
        <v>12140.666666666666</v>
      </c>
      <c r="BC19" s="42">
        <f t="shared" si="43"/>
        <v>425.33333333333394</v>
      </c>
      <c r="BD19" s="42">
        <f t="shared" si="40"/>
        <v>180908.44444444496</v>
      </c>
      <c r="BE19" s="42">
        <f t="shared" si="41"/>
        <v>425.33333333333394</v>
      </c>
    </row>
    <row r="20" spans="1:57" ht="18" x14ac:dyDescent="0.2">
      <c r="A20" s="7">
        <v>38838</v>
      </c>
      <c r="B20" s="17">
        <v>12856</v>
      </c>
      <c r="D20" s="42">
        <f t="shared" si="3"/>
        <v>12766</v>
      </c>
      <c r="E20" s="42">
        <f t="shared" si="17"/>
        <v>90</v>
      </c>
      <c r="F20" s="42">
        <f t="shared" si="0"/>
        <v>8100</v>
      </c>
      <c r="G20" s="42">
        <f t="shared" si="1"/>
        <v>90</v>
      </c>
      <c r="H20" s="43"/>
      <c r="I20" s="42">
        <f t="shared" si="2"/>
        <v>12144.333333333334</v>
      </c>
      <c r="J20" s="42">
        <f t="shared" si="4"/>
        <v>711.66666666666606</v>
      </c>
      <c r="K20" s="42">
        <f t="shared" si="5"/>
        <v>506469.44444444356</v>
      </c>
      <c r="L20" s="42">
        <f t="shared" si="6"/>
        <v>711.66666666666606</v>
      </c>
      <c r="M20" s="43"/>
      <c r="N20" s="42">
        <f t="shared" si="7"/>
        <v>11608</v>
      </c>
      <c r="O20" s="42">
        <f t="shared" si="9"/>
        <v>1248</v>
      </c>
      <c r="P20" s="42">
        <f t="shared" si="10"/>
        <v>1557504</v>
      </c>
      <c r="Q20" s="42">
        <f t="shared" si="8"/>
        <v>1248</v>
      </c>
      <c r="R20" s="43"/>
      <c r="S20" s="42">
        <f t="shared" si="11"/>
        <v>13044</v>
      </c>
      <c r="T20" s="42">
        <f t="shared" si="13"/>
        <v>-188</v>
      </c>
      <c r="U20" s="42">
        <f t="shared" si="14"/>
        <v>35344</v>
      </c>
      <c r="V20" s="42">
        <f t="shared" si="12"/>
        <v>188</v>
      </c>
      <c r="W20" s="43"/>
      <c r="X20" s="42">
        <f t="shared" si="15"/>
        <v>12876.666666666666</v>
      </c>
      <c r="Y20" s="42">
        <f t="shared" si="18"/>
        <v>-20.66666666666606</v>
      </c>
      <c r="Z20" s="42">
        <f t="shared" si="19"/>
        <v>427.11111111108607</v>
      </c>
      <c r="AA20" s="42">
        <f t="shared" si="16"/>
        <v>20.66666666666606</v>
      </c>
      <c r="AB20" s="43"/>
      <c r="AC20" s="42">
        <f t="shared" si="20"/>
        <v>12590.285714285714</v>
      </c>
      <c r="AD20" s="42">
        <f t="shared" si="22"/>
        <v>265.71428571428623</v>
      </c>
      <c r="AE20" s="42">
        <f t="shared" si="23"/>
        <v>70604.081632653339</v>
      </c>
      <c r="AF20" s="42">
        <f t="shared" si="21"/>
        <v>265.71428571428623</v>
      </c>
      <c r="AG20" s="43"/>
      <c r="AH20" s="42">
        <f t="shared" si="24"/>
        <v>12166.25</v>
      </c>
      <c r="AI20" s="42">
        <f t="shared" si="27"/>
        <v>689.75</v>
      </c>
      <c r="AJ20" s="42">
        <f t="shared" si="25"/>
        <v>475755.0625</v>
      </c>
      <c r="AK20" s="42">
        <f t="shared" si="26"/>
        <v>689.75</v>
      </c>
      <c r="AL20" s="43"/>
      <c r="AM20" s="42">
        <f t="shared" si="28"/>
        <v>12366.777777777777</v>
      </c>
      <c r="AN20" s="42">
        <f t="shared" si="31"/>
        <v>489.22222222222263</v>
      </c>
      <c r="AO20" s="42">
        <f t="shared" si="29"/>
        <v>239338.38271604979</v>
      </c>
      <c r="AP20" s="42">
        <f t="shared" si="30"/>
        <v>489.22222222222263</v>
      </c>
      <c r="AQ20" s="43"/>
      <c r="AR20" s="42">
        <f t="shared" si="32"/>
        <v>12602.7</v>
      </c>
      <c r="AS20" s="42">
        <f t="shared" si="34"/>
        <v>253.29999999999927</v>
      </c>
      <c r="AT20" s="42">
        <f t="shared" si="35"/>
        <v>64160.889999999628</v>
      </c>
      <c r="AU20" s="42">
        <f t="shared" si="33"/>
        <v>253.29999999999927</v>
      </c>
      <c r="AV20" s="43"/>
      <c r="AW20" s="42">
        <f t="shared" si="36"/>
        <v>12505.272727272728</v>
      </c>
      <c r="AX20" s="42">
        <f t="shared" si="39"/>
        <v>350.72727272727207</v>
      </c>
      <c r="AY20" s="42">
        <f t="shared" si="37"/>
        <v>123009.61983471028</v>
      </c>
      <c r="AZ20" s="42">
        <f t="shared" si="38"/>
        <v>350.72727272727207</v>
      </c>
      <c r="BA20" s="43"/>
      <c r="BB20" s="42">
        <f t="shared" si="42"/>
        <v>12305.583333333334</v>
      </c>
      <c r="BC20" s="42">
        <f t="shared" si="43"/>
        <v>550.41666666666606</v>
      </c>
      <c r="BD20" s="42">
        <f t="shared" si="40"/>
        <v>302958.5069444438</v>
      </c>
      <c r="BE20" s="42">
        <f t="shared" si="41"/>
        <v>550.41666666666606</v>
      </c>
    </row>
    <row r="21" spans="1:57" ht="18" x14ac:dyDescent="0.2">
      <c r="A21" s="7">
        <v>38869</v>
      </c>
      <c r="B21" s="17">
        <v>11458</v>
      </c>
      <c r="D21" s="42">
        <f t="shared" si="3"/>
        <v>12711</v>
      </c>
      <c r="E21" s="42">
        <f t="shared" si="17"/>
        <v>-1253</v>
      </c>
      <c r="F21" s="42">
        <f t="shared" si="0"/>
        <v>1570009</v>
      </c>
      <c r="G21" s="42">
        <f t="shared" si="1"/>
        <v>1253</v>
      </c>
      <c r="H21" s="43"/>
      <c r="I21" s="42">
        <f t="shared" si="2"/>
        <v>12796</v>
      </c>
      <c r="J21" s="42">
        <f t="shared" si="4"/>
        <v>-1338</v>
      </c>
      <c r="K21" s="42">
        <f t="shared" si="5"/>
        <v>1790244</v>
      </c>
      <c r="L21" s="42">
        <f t="shared" si="6"/>
        <v>1338</v>
      </c>
      <c r="M21" s="43"/>
      <c r="N21" s="42">
        <f t="shared" si="7"/>
        <v>12322.25</v>
      </c>
      <c r="O21" s="42">
        <f t="shared" si="9"/>
        <v>-864.25</v>
      </c>
      <c r="P21" s="42">
        <f t="shared" si="10"/>
        <v>746928.0625</v>
      </c>
      <c r="Q21" s="42">
        <f t="shared" si="8"/>
        <v>864.25</v>
      </c>
      <c r="R21" s="43"/>
      <c r="S21" s="42">
        <f t="shared" si="11"/>
        <v>11857.6</v>
      </c>
      <c r="T21" s="42">
        <f t="shared" si="13"/>
        <v>-399.60000000000036</v>
      </c>
      <c r="U21" s="42">
        <f t="shared" si="14"/>
        <v>159680.16000000029</v>
      </c>
      <c r="V21" s="42">
        <f t="shared" si="12"/>
        <v>399.60000000000036</v>
      </c>
      <c r="W21" s="43"/>
      <c r="X21" s="42">
        <f t="shared" si="15"/>
        <v>13012.666666666666</v>
      </c>
      <c r="Y21" s="42">
        <f t="shared" si="18"/>
        <v>-1554.6666666666661</v>
      </c>
      <c r="Z21" s="42">
        <f t="shared" si="19"/>
        <v>2416988.4444444426</v>
      </c>
      <c r="AA21" s="42">
        <f t="shared" si="16"/>
        <v>1554.6666666666661</v>
      </c>
      <c r="AB21" s="43"/>
      <c r="AC21" s="42">
        <f t="shared" si="20"/>
        <v>12873.714285714286</v>
      </c>
      <c r="AD21" s="42">
        <f t="shared" si="22"/>
        <v>-1415.7142857142862</v>
      </c>
      <c r="AE21" s="42">
        <f t="shared" si="23"/>
        <v>2004246.9387755117</v>
      </c>
      <c r="AF21" s="42">
        <f t="shared" si="21"/>
        <v>1415.7142857142862</v>
      </c>
      <c r="AG21" s="43"/>
      <c r="AH21" s="42">
        <f t="shared" si="24"/>
        <v>12623.5</v>
      </c>
      <c r="AI21" s="42">
        <f t="shared" si="27"/>
        <v>-1165.5</v>
      </c>
      <c r="AJ21" s="42">
        <f t="shared" si="25"/>
        <v>1358390.25</v>
      </c>
      <c r="AK21" s="42">
        <f t="shared" si="26"/>
        <v>1165.5</v>
      </c>
      <c r="AL21" s="43"/>
      <c r="AM21" s="42">
        <f t="shared" si="28"/>
        <v>12242.888888888889</v>
      </c>
      <c r="AN21" s="42">
        <f t="shared" si="31"/>
        <v>-784.88888888888869</v>
      </c>
      <c r="AO21" s="42">
        <f t="shared" si="29"/>
        <v>616050.56790123426</v>
      </c>
      <c r="AP21" s="42">
        <f t="shared" si="30"/>
        <v>784.88888888888869</v>
      </c>
      <c r="AQ21" s="43"/>
      <c r="AR21" s="42">
        <f t="shared" si="32"/>
        <v>12415.7</v>
      </c>
      <c r="AS21" s="42">
        <f t="shared" si="34"/>
        <v>-957.70000000000073</v>
      </c>
      <c r="AT21" s="42">
        <f t="shared" si="35"/>
        <v>917189.29000000143</v>
      </c>
      <c r="AU21" s="42">
        <f t="shared" si="33"/>
        <v>957.70000000000073</v>
      </c>
      <c r="AV21" s="43"/>
      <c r="AW21" s="42">
        <f t="shared" si="36"/>
        <v>12625.727272727272</v>
      </c>
      <c r="AX21" s="42">
        <f t="shared" si="39"/>
        <v>-1167.7272727272721</v>
      </c>
      <c r="AY21" s="42">
        <f t="shared" si="37"/>
        <v>1363586.9834710727</v>
      </c>
      <c r="AZ21" s="42">
        <f t="shared" si="38"/>
        <v>1167.7272727272721</v>
      </c>
      <c r="BA21" s="43"/>
      <c r="BB21" s="42">
        <f t="shared" si="42"/>
        <v>12534.5</v>
      </c>
      <c r="BC21" s="42">
        <f t="shared" si="43"/>
        <v>-1076.5</v>
      </c>
      <c r="BD21" s="42">
        <f t="shared" si="40"/>
        <v>1158852.25</v>
      </c>
      <c r="BE21" s="42">
        <f t="shared" si="41"/>
        <v>1076.5</v>
      </c>
    </row>
    <row r="22" spans="1:57" ht="18" x14ac:dyDescent="0.2">
      <c r="A22" s="7">
        <v>38899</v>
      </c>
      <c r="B22" s="17">
        <v>19490</v>
      </c>
      <c r="D22" s="42">
        <f t="shared" si="3"/>
        <v>12157</v>
      </c>
      <c r="E22" s="42">
        <f t="shared" si="17"/>
        <v>7333</v>
      </c>
      <c r="F22" s="42">
        <f t="shared" si="0"/>
        <v>53772889</v>
      </c>
      <c r="G22" s="42">
        <f t="shared" si="1"/>
        <v>7333</v>
      </c>
      <c r="H22" s="43"/>
      <c r="I22" s="42">
        <f t="shared" si="2"/>
        <v>12293.333333333334</v>
      </c>
      <c r="J22" s="42">
        <f t="shared" si="4"/>
        <v>7196.6666666666661</v>
      </c>
      <c r="K22" s="42">
        <f t="shared" si="5"/>
        <v>51792011.111111104</v>
      </c>
      <c r="L22" s="42">
        <f t="shared" si="6"/>
        <v>7196.6666666666661</v>
      </c>
      <c r="M22" s="43"/>
      <c r="N22" s="42">
        <f t="shared" si="7"/>
        <v>12461.5</v>
      </c>
      <c r="O22" s="42">
        <f t="shared" si="9"/>
        <v>7028.5</v>
      </c>
      <c r="P22" s="42">
        <f t="shared" si="10"/>
        <v>49399812.25</v>
      </c>
      <c r="Q22" s="42">
        <f t="shared" si="8"/>
        <v>7028.5</v>
      </c>
      <c r="R22" s="43"/>
      <c r="S22" s="42">
        <f t="shared" si="11"/>
        <v>12149.4</v>
      </c>
      <c r="T22" s="42">
        <f t="shared" si="13"/>
        <v>7340.6</v>
      </c>
      <c r="U22" s="42">
        <f t="shared" si="14"/>
        <v>53884408.360000007</v>
      </c>
      <c r="V22" s="42">
        <f t="shared" si="12"/>
        <v>7340.6</v>
      </c>
      <c r="W22" s="43"/>
      <c r="X22" s="42">
        <f t="shared" si="15"/>
        <v>11791</v>
      </c>
      <c r="Y22" s="42">
        <f t="shared" si="18"/>
        <v>7699</v>
      </c>
      <c r="Z22" s="42">
        <f t="shared" si="19"/>
        <v>59274601</v>
      </c>
      <c r="AA22" s="42">
        <f t="shared" si="16"/>
        <v>7699</v>
      </c>
      <c r="AB22" s="43"/>
      <c r="AC22" s="42">
        <f t="shared" si="20"/>
        <v>12790.571428571429</v>
      </c>
      <c r="AD22" s="42">
        <f t="shared" si="22"/>
        <v>6699.4285714285706</v>
      </c>
      <c r="AE22" s="42">
        <f t="shared" si="23"/>
        <v>44882343.183673456</v>
      </c>
      <c r="AF22" s="42">
        <f t="shared" si="21"/>
        <v>6699.4285714285706</v>
      </c>
      <c r="AG22" s="43"/>
      <c r="AH22" s="42">
        <f t="shared" si="24"/>
        <v>12696.75</v>
      </c>
      <c r="AI22" s="42">
        <f t="shared" si="27"/>
        <v>6793.25</v>
      </c>
      <c r="AJ22" s="42">
        <f t="shared" si="25"/>
        <v>46148245.5625</v>
      </c>
      <c r="AK22" s="42">
        <f t="shared" si="26"/>
        <v>6793.25</v>
      </c>
      <c r="AL22" s="43"/>
      <c r="AM22" s="42">
        <f t="shared" si="28"/>
        <v>12494</v>
      </c>
      <c r="AN22" s="42">
        <f t="shared" si="31"/>
        <v>6996</v>
      </c>
      <c r="AO22" s="42">
        <f t="shared" si="29"/>
        <v>48944016</v>
      </c>
      <c r="AP22" s="42">
        <f t="shared" si="30"/>
        <v>6996</v>
      </c>
      <c r="AQ22" s="43"/>
      <c r="AR22" s="42">
        <f t="shared" si="32"/>
        <v>12164.4</v>
      </c>
      <c r="AS22" s="42">
        <f t="shared" si="34"/>
        <v>7325.6</v>
      </c>
      <c r="AT22" s="42">
        <f t="shared" si="35"/>
        <v>53664415.360000007</v>
      </c>
      <c r="AU22" s="42">
        <f t="shared" si="33"/>
        <v>7325.6</v>
      </c>
      <c r="AV22" s="43"/>
      <c r="AW22" s="42">
        <f t="shared" si="36"/>
        <v>12328.636363636364</v>
      </c>
      <c r="AX22" s="42">
        <f t="shared" si="39"/>
        <v>7161.363636363636</v>
      </c>
      <c r="AY22" s="42">
        <f t="shared" si="37"/>
        <v>51285129.132231399</v>
      </c>
      <c r="AZ22" s="42">
        <f t="shared" si="38"/>
        <v>7161.363636363636</v>
      </c>
      <c r="BA22" s="43"/>
      <c r="BB22" s="42">
        <f t="shared" si="42"/>
        <v>12528.416666666666</v>
      </c>
      <c r="BC22" s="42">
        <f t="shared" si="43"/>
        <v>6961.5833333333339</v>
      </c>
      <c r="BD22" s="42">
        <f t="shared" si="40"/>
        <v>48463642.506944455</v>
      </c>
      <c r="BE22" s="42">
        <f t="shared" si="41"/>
        <v>6961.5833333333339</v>
      </c>
    </row>
    <row r="23" spans="1:57" ht="18" x14ac:dyDescent="0.2">
      <c r="A23" s="7">
        <v>38930</v>
      </c>
      <c r="B23" s="17">
        <v>19100</v>
      </c>
      <c r="D23" s="42">
        <f t="shared" si="3"/>
        <v>15474</v>
      </c>
      <c r="E23" s="42">
        <f t="shared" si="17"/>
        <v>3626</v>
      </c>
      <c r="F23" s="42">
        <f t="shared" si="0"/>
        <v>13147876</v>
      </c>
      <c r="G23" s="42">
        <f t="shared" si="1"/>
        <v>3626</v>
      </c>
      <c r="H23" s="43"/>
      <c r="I23" s="42">
        <f t="shared" si="2"/>
        <v>14601.333333333334</v>
      </c>
      <c r="J23" s="42">
        <f t="shared" si="4"/>
        <v>4498.6666666666661</v>
      </c>
      <c r="K23" s="42">
        <f t="shared" si="5"/>
        <v>20238001.777777772</v>
      </c>
      <c r="L23" s="42">
        <f t="shared" si="6"/>
        <v>4498.6666666666661</v>
      </c>
      <c r="M23" s="43"/>
      <c r="N23" s="42">
        <f t="shared" si="7"/>
        <v>14092.5</v>
      </c>
      <c r="O23" s="42">
        <f t="shared" si="9"/>
        <v>5007.5</v>
      </c>
      <c r="P23" s="42">
        <f t="shared" si="10"/>
        <v>25075056.25</v>
      </c>
      <c r="Q23" s="42">
        <f t="shared" si="8"/>
        <v>5007.5</v>
      </c>
      <c r="R23" s="43"/>
      <c r="S23" s="42">
        <f t="shared" si="11"/>
        <v>13867.2</v>
      </c>
      <c r="T23" s="42">
        <f t="shared" si="13"/>
        <v>5232.7999999999993</v>
      </c>
      <c r="U23" s="42">
        <f t="shared" si="14"/>
        <v>27382195.839999992</v>
      </c>
      <c r="V23" s="42">
        <f t="shared" si="12"/>
        <v>5232.7999999999993</v>
      </c>
      <c r="W23" s="43"/>
      <c r="X23" s="42">
        <f t="shared" si="15"/>
        <v>13372.833333333334</v>
      </c>
      <c r="Y23" s="42">
        <f t="shared" si="18"/>
        <v>5727.1666666666661</v>
      </c>
      <c r="Z23" s="42">
        <f t="shared" si="19"/>
        <v>32800438.027777772</v>
      </c>
      <c r="AA23" s="42">
        <f t="shared" si="16"/>
        <v>5727.1666666666661</v>
      </c>
      <c r="AB23" s="43"/>
      <c r="AC23" s="42">
        <f t="shared" si="20"/>
        <v>12890.857142857143</v>
      </c>
      <c r="AD23" s="42">
        <f t="shared" si="22"/>
        <v>6209.1428571428569</v>
      </c>
      <c r="AE23" s="42">
        <f t="shared" si="23"/>
        <v>38553455.020408161</v>
      </c>
      <c r="AF23" s="42">
        <f t="shared" si="21"/>
        <v>6209.1428571428569</v>
      </c>
      <c r="AG23" s="43"/>
      <c r="AH23" s="42">
        <f t="shared" si="24"/>
        <v>13628</v>
      </c>
      <c r="AI23" s="42">
        <f t="shared" si="27"/>
        <v>5472</v>
      </c>
      <c r="AJ23" s="42">
        <f t="shared" si="25"/>
        <v>29942784</v>
      </c>
      <c r="AK23" s="42">
        <f t="shared" si="26"/>
        <v>5472</v>
      </c>
      <c r="AL23" s="43"/>
      <c r="AM23" s="42">
        <f t="shared" si="28"/>
        <v>13451.555555555555</v>
      </c>
      <c r="AN23" s="42">
        <f t="shared" si="31"/>
        <v>5648.4444444444453</v>
      </c>
      <c r="AO23" s="42">
        <f t="shared" si="29"/>
        <v>31904924.641975317</v>
      </c>
      <c r="AP23" s="42">
        <f t="shared" si="30"/>
        <v>5648.4444444444453</v>
      </c>
      <c r="AQ23" s="43"/>
      <c r="AR23" s="42">
        <f t="shared" si="32"/>
        <v>13193.6</v>
      </c>
      <c r="AS23" s="42">
        <f t="shared" si="34"/>
        <v>5906.4</v>
      </c>
      <c r="AT23" s="42">
        <f t="shared" si="35"/>
        <v>34885560.959999993</v>
      </c>
      <c r="AU23" s="42">
        <f t="shared" si="33"/>
        <v>5906.4</v>
      </c>
      <c r="AV23" s="43"/>
      <c r="AW23" s="42">
        <f t="shared" si="36"/>
        <v>12830.363636363636</v>
      </c>
      <c r="AX23" s="42">
        <f t="shared" si="39"/>
        <v>6269.636363636364</v>
      </c>
      <c r="AY23" s="42">
        <f t="shared" si="37"/>
        <v>39308340.132231407</v>
      </c>
      <c r="AZ23" s="42">
        <f t="shared" si="38"/>
        <v>6269.636363636364</v>
      </c>
      <c r="BA23" s="43"/>
      <c r="BB23" s="42">
        <f t="shared" si="42"/>
        <v>12925.416666666666</v>
      </c>
      <c r="BC23" s="42">
        <f t="shared" si="43"/>
        <v>6174.5833333333339</v>
      </c>
      <c r="BD23" s="42">
        <f t="shared" si="40"/>
        <v>38125479.340277784</v>
      </c>
      <c r="BE23" s="42">
        <f t="shared" si="41"/>
        <v>6174.5833333333339</v>
      </c>
    </row>
    <row r="24" spans="1:57" ht="18" x14ac:dyDescent="0.2">
      <c r="A24" s="7">
        <v>38961</v>
      </c>
      <c r="B24" s="17">
        <v>10001</v>
      </c>
      <c r="D24" s="42">
        <f t="shared" si="3"/>
        <v>19295</v>
      </c>
      <c r="E24" s="42">
        <f t="shared" si="17"/>
        <v>-9294</v>
      </c>
      <c r="F24" s="42">
        <f t="shared" si="0"/>
        <v>86378436</v>
      </c>
      <c r="G24" s="42">
        <f t="shared" si="1"/>
        <v>9294</v>
      </c>
      <c r="H24" s="43"/>
      <c r="I24" s="42">
        <f t="shared" si="2"/>
        <v>16682.666666666668</v>
      </c>
      <c r="J24" s="42">
        <f t="shared" si="4"/>
        <v>-6681.6666666666679</v>
      </c>
      <c r="K24" s="42">
        <f t="shared" si="5"/>
        <v>44644669.444444463</v>
      </c>
      <c r="L24" s="42">
        <f t="shared" si="6"/>
        <v>6681.6666666666679</v>
      </c>
      <c r="M24" s="43"/>
      <c r="N24" s="42">
        <f t="shared" si="7"/>
        <v>15726</v>
      </c>
      <c r="O24" s="42">
        <f t="shared" si="9"/>
        <v>-5725</v>
      </c>
      <c r="P24" s="42">
        <f t="shared" si="10"/>
        <v>32775625</v>
      </c>
      <c r="Q24" s="42">
        <f t="shared" si="8"/>
        <v>5725</v>
      </c>
      <c r="R24" s="43"/>
      <c r="S24" s="42">
        <f t="shared" si="11"/>
        <v>15094</v>
      </c>
      <c r="T24" s="42">
        <f t="shared" si="13"/>
        <v>-5093</v>
      </c>
      <c r="U24" s="42">
        <f t="shared" si="14"/>
        <v>25938649</v>
      </c>
      <c r="V24" s="42">
        <f t="shared" si="12"/>
        <v>5093</v>
      </c>
      <c r="W24" s="43"/>
      <c r="X24" s="42">
        <f t="shared" si="15"/>
        <v>14739.333333333334</v>
      </c>
      <c r="Y24" s="42">
        <f t="shared" si="18"/>
        <v>-4738.3333333333339</v>
      </c>
      <c r="Z24" s="42">
        <f t="shared" si="19"/>
        <v>22451802.777777784</v>
      </c>
      <c r="AA24" s="42">
        <f t="shared" si="16"/>
        <v>4738.3333333333339</v>
      </c>
      <c r="AB24" s="43"/>
      <c r="AC24" s="42">
        <f t="shared" si="20"/>
        <v>14191</v>
      </c>
      <c r="AD24" s="42">
        <f t="shared" si="22"/>
        <v>-4190</v>
      </c>
      <c r="AE24" s="42">
        <f t="shared" si="23"/>
        <v>17556100</v>
      </c>
      <c r="AF24" s="42">
        <f t="shared" si="21"/>
        <v>4190</v>
      </c>
      <c r="AG24" s="43"/>
      <c r="AH24" s="42">
        <f t="shared" si="24"/>
        <v>13667</v>
      </c>
      <c r="AI24" s="42">
        <f t="shared" si="27"/>
        <v>-3666</v>
      </c>
      <c r="AJ24" s="42">
        <f t="shared" si="25"/>
        <v>13439556</v>
      </c>
      <c r="AK24" s="42">
        <f t="shared" si="26"/>
        <v>3666</v>
      </c>
      <c r="AL24" s="43"/>
      <c r="AM24" s="42">
        <f t="shared" si="28"/>
        <v>14236</v>
      </c>
      <c r="AN24" s="42">
        <f t="shared" si="31"/>
        <v>-4235</v>
      </c>
      <c r="AO24" s="42">
        <f t="shared" si="29"/>
        <v>17935225</v>
      </c>
      <c r="AP24" s="42">
        <f t="shared" si="30"/>
        <v>4235</v>
      </c>
      <c r="AQ24" s="43"/>
      <c r="AR24" s="42">
        <f t="shared" si="32"/>
        <v>14016.4</v>
      </c>
      <c r="AS24" s="42">
        <f t="shared" si="34"/>
        <v>-4015.3999999999996</v>
      </c>
      <c r="AT24" s="42">
        <f t="shared" si="35"/>
        <v>16123437.159999996</v>
      </c>
      <c r="AU24" s="42">
        <f t="shared" si="33"/>
        <v>4015.3999999999996</v>
      </c>
      <c r="AV24" s="43"/>
      <c r="AW24" s="42">
        <f t="shared" si="36"/>
        <v>13730.545454545454</v>
      </c>
      <c r="AX24" s="42">
        <f t="shared" si="39"/>
        <v>-3729.545454545454</v>
      </c>
      <c r="AY24" s="42">
        <f t="shared" si="37"/>
        <v>13909509.297520658</v>
      </c>
      <c r="AZ24" s="42">
        <f t="shared" si="38"/>
        <v>3729.545454545454</v>
      </c>
      <c r="BA24" s="43"/>
      <c r="BB24" s="42">
        <f t="shared" si="42"/>
        <v>13352.833333333334</v>
      </c>
      <c r="BC24" s="42">
        <f t="shared" si="43"/>
        <v>-3351.8333333333339</v>
      </c>
      <c r="BD24" s="42">
        <f t="shared" si="40"/>
        <v>11234786.694444448</v>
      </c>
      <c r="BE24" s="42">
        <f t="shared" si="41"/>
        <v>3351.8333333333339</v>
      </c>
    </row>
    <row r="25" spans="1:57" ht="18" x14ac:dyDescent="0.2">
      <c r="A25" s="7">
        <v>38991</v>
      </c>
      <c r="B25" s="17">
        <v>8335</v>
      </c>
      <c r="D25" s="42">
        <f t="shared" si="3"/>
        <v>14550.5</v>
      </c>
      <c r="E25" s="42">
        <f t="shared" si="17"/>
        <v>-6215.5</v>
      </c>
      <c r="F25" s="42">
        <f t="shared" si="0"/>
        <v>38632440.25</v>
      </c>
      <c r="G25" s="42">
        <f t="shared" si="1"/>
        <v>6215.5</v>
      </c>
      <c r="H25" s="43"/>
      <c r="I25" s="42">
        <f t="shared" si="2"/>
        <v>16197</v>
      </c>
      <c r="J25" s="42">
        <f t="shared" si="4"/>
        <v>-7862</v>
      </c>
      <c r="K25" s="42">
        <f t="shared" si="5"/>
        <v>61811044</v>
      </c>
      <c r="L25" s="42">
        <f t="shared" si="6"/>
        <v>7862</v>
      </c>
      <c r="M25" s="43"/>
      <c r="N25" s="42">
        <f t="shared" si="7"/>
        <v>15012.25</v>
      </c>
      <c r="O25" s="42">
        <f t="shared" si="9"/>
        <v>-6677.25</v>
      </c>
      <c r="P25" s="42">
        <f t="shared" si="10"/>
        <v>44585667.5625</v>
      </c>
      <c r="Q25" s="42">
        <f t="shared" si="8"/>
        <v>6677.25</v>
      </c>
      <c r="R25" s="43"/>
      <c r="S25" s="42">
        <f t="shared" si="11"/>
        <v>14581</v>
      </c>
      <c r="T25" s="42">
        <f t="shared" si="13"/>
        <v>-6246</v>
      </c>
      <c r="U25" s="42">
        <f t="shared" si="14"/>
        <v>39012516</v>
      </c>
      <c r="V25" s="42">
        <f t="shared" si="12"/>
        <v>6246</v>
      </c>
      <c r="W25" s="43"/>
      <c r="X25" s="42">
        <f t="shared" si="15"/>
        <v>14245.166666666666</v>
      </c>
      <c r="Y25" s="42">
        <f t="shared" si="18"/>
        <v>-5910.1666666666661</v>
      </c>
      <c r="Z25" s="42">
        <f t="shared" si="19"/>
        <v>34930070.027777769</v>
      </c>
      <c r="AA25" s="42">
        <f t="shared" si="16"/>
        <v>5910.1666666666661</v>
      </c>
      <c r="AB25" s="43"/>
      <c r="AC25" s="42">
        <f t="shared" si="20"/>
        <v>14062.428571428571</v>
      </c>
      <c r="AD25" s="42">
        <f t="shared" si="22"/>
        <v>-5727.4285714285706</v>
      </c>
      <c r="AE25" s="42">
        <f t="shared" si="23"/>
        <v>32803438.040816318</v>
      </c>
      <c r="AF25" s="42">
        <f t="shared" si="21"/>
        <v>5727.4285714285706</v>
      </c>
      <c r="AG25" s="43"/>
      <c r="AH25" s="42">
        <f t="shared" si="24"/>
        <v>13667.25</v>
      </c>
      <c r="AI25" s="42">
        <f t="shared" si="27"/>
        <v>-5332.25</v>
      </c>
      <c r="AJ25" s="42">
        <f t="shared" si="25"/>
        <v>28432890.0625</v>
      </c>
      <c r="AK25" s="42">
        <f t="shared" si="26"/>
        <v>5332.25</v>
      </c>
      <c r="AL25" s="43"/>
      <c r="AM25" s="42">
        <f t="shared" si="28"/>
        <v>13259.666666666666</v>
      </c>
      <c r="AN25" s="42">
        <f t="shared" si="31"/>
        <v>-4924.6666666666661</v>
      </c>
      <c r="AO25" s="42">
        <f t="shared" si="29"/>
        <v>24252341.777777772</v>
      </c>
      <c r="AP25" s="42">
        <f t="shared" si="30"/>
        <v>4924.6666666666661</v>
      </c>
      <c r="AQ25" s="43"/>
      <c r="AR25" s="42">
        <f t="shared" si="32"/>
        <v>13812.5</v>
      </c>
      <c r="AS25" s="42">
        <f t="shared" si="34"/>
        <v>-5477.5</v>
      </c>
      <c r="AT25" s="42">
        <f t="shared" si="35"/>
        <v>30003006.25</v>
      </c>
      <c r="AU25" s="42">
        <f t="shared" si="33"/>
        <v>5477.5</v>
      </c>
      <c r="AV25" s="43"/>
      <c r="AW25" s="42">
        <f t="shared" si="36"/>
        <v>13651.363636363636</v>
      </c>
      <c r="AX25" s="42">
        <f t="shared" si="39"/>
        <v>-5316.363636363636</v>
      </c>
      <c r="AY25" s="42">
        <f t="shared" si="37"/>
        <v>28263722.314049583</v>
      </c>
      <c r="AZ25" s="42">
        <f t="shared" si="38"/>
        <v>5316.363636363636</v>
      </c>
      <c r="BA25" s="43"/>
      <c r="BB25" s="42">
        <f t="shared" si="42"/>
        <v>13419.75</v>
      </c>
      <c r="BC25" s="42">
        <f t="shared" si="43"/>
        <v>-5084.75</v>
      </c>
      <c r="BD25" s="42">
        <f t="shared" si="40"/>
        <v>25854682.5625</v>
      </c>
      <c r="BE25" s="42">
        <f t="shared" si="41"/>
        <v>5084.75</v>
      </c>
    </row>
    <row r="26" spans="1:57" ht="18" x14ac:dyDescent="0.2">
      <c r="A26" s="7">
        <v>39022</v>
      </c>
      <c r="B26" s="17">
        <v>9520</v>
      </c>
      <c r="D26" s="42">
        <f t="shared" si="3"/>
        <v>9168</v>
      </c>
      <c r="E26" s="42">
        <f t="shared" si="17"/>
        <v>352</v>
      </c>
      <c r="F26" s="42">
        <f t="shared" si="0"/>
        <v>123904</v>
      </c>
      <c r="G26" s="42">
        <f t="shared" si="1"/>
        <v>352</v>
      </c>
      <c r="H26" s="43"/>
      <c r="I26" s="42">
        <f t="shared" si="2"/>
        <v>12478.666666666666</v>
      </c>
      <c r="J26" s="42">
        <f t="shared" si="4"/>
        <v>-2958.6666666666661</v>
      </c>
      <c r="K26" s="42">
        <f t="shared" si="5"/>
        <v>8753708.4444444403</v>
      </c>
      <c r="L26" s="42">
        <f t="shared" si="6"/>
        <v>2958.6666666666661</v>
      </c>
      <c r="M26" s="43"/>
      <c r="N26" s="42">
        <f t="shared" si="7"/>
        <v>14231.5</v>
      </c>
      <c r="O26" s="42">
        <f t="shared" si="9"/>
        <v>-4711.5</v>
      </c>
      <c r="P26" s="42">
        <f t="shared" si="10"/>
        <v>22198232.25</v>
      </c>
      <c r="Q26" s="42">
        <f t="shared" si="8"/>
        <v>4711.5</v>
      </c>
      <c r="R26" s="43"/>
      <c r="S26" s="42">
        <f t="shared" si="11"/>
        <v>13676.8</v>
      </c>
      <c r="T26" s="42">
        <f t="shared" si="13"/>
        <v>-4156.7999999999993</v>
      </c>
      <c r="U26" s="42">
        <f t="shared" si="14"/>
        <v>17278986.239999995</v>
      </c>
      <c r="V26" s="42">
        <f t="shared" si="12"/>
        <v>4156.7999999999993</v>
      </c>
      <c r="W26" s="43"/>
      <c r="X26" s="42">
        <f t="shared" si="15"/>
        <v>13540</v>
      </c>
      <c r="Y26" s="42">
        <f t="shared" si="18"/>
        <v>-4020</v>
      </c>
      <c r="Z26" s="42">
        <f t="shared" si="19"/>
        <v>16160400</v>
      </c>
      <c r="AA26" s="42">
        <f t="shared" si="16"/>
        <v>4020</v>
      </c>
      <c r="AB26" s="43"/>
      <c r="AC26" s="42">
        <f t="shared" si="20"/>
        <v>13400.857142857143</v>
      </c>
      <c r="AD26" s="42">
        <f t="shared" si="22"/>
        <v>-3880.8571428571431</v>
      </c>
      <c r="AE26" s="42">
        <f t="shared" si="23"/>
        <v>15061052.163265308</v>
      </c>
      <c r="AF26" s="42">
        <f t="shared" si="21"/>
        <v>3880.8571428571431</v>
      </c>
      <c r="AG26" s="43"/>
      <c r="AH26" s="42">
        <f t="shared" si="24"/>
        <v>13346.5</v>
      </c>
      <c r="AI26" s="42">
        <f t="shared" si="27"/>
        <v>-3826.5</v>
      </c>
      <c r="AJ26" s="42">
        <f t="shared" si="25"/>
        <v>14642102.25</v>
      </c>
      <c r="AK26" s="42">
        <f t="shared" si="26"/>
        <v>3826.5</v>
      </c>
      <c r="AL26" s="43"/>
      <c r="AM26" s="42">
        <f t="shared" si="28"/>
        <v>13074.777777777777</v>
      </c>
      <c r="AN26" s="42">
        <f t="shared" si="31"/>
        <v>-3554.7777777777774</v>
      </c>
      <c r="AO26" s="42">
        <f t="shared" si="29"/>
        <v>12636445.049382713</v>
      </c>
      <c r="AP26" s="42">
        <f t="shared" si="30"/>
        <v>3554.7777777777774</v>
      </c>
      <c r="AQ26" s="43"/>
      <c r="AR26" s="42">
        <f t="shared" si="32"/>
        <v>12767.2</v>
      </c>
      <c r="AS26" s="42">
        <f t="shared" si="34"/>
        <v>-3247.2000000000007</v>
      </c>
      <c r="AT26" s="42">
        <f t="shared" si="35"/>
        <v>10544307.840000005</v>
      </c>
      <c r="AU26" s="42">
        <f t="shared" si="33"/>
        <v>3247.2000000000007</v>
      </c>
      <c r="AV26" s="43"/>
      <c r="AW26" s="42">
        <f t="shared" si="36"/>
        <v>13314.545454545454</v>
      </c>
      <c r="AX26" s="42">
        <f t="shared" si="39"/>
        <v>-3794.545454545454</v>
      </c>
      <c r="AY26" s="42">
        <f t="shared" si="37"/>
        <v>14398575.206611566</v>
      </c>
      <c r="AZ26" s="42">
        <f t="shared" si="38"/>
        <v>3794.545454545454</v>
      </c>
      <c r="BA26" s="43"/>
      <c r="BB26" s="42">
        <f t="shared" si="42"/>
        <v>13208.333333333334</v>
      </c>
      <c r="BC26" s="42">
        <f t="shared" si="43"/>
        <v>-3688.3333333333339</v>
      </c>
      <c r="BD26" s="42">
        <f t="shared" si="40"/>
        <v>13603802.777777782</v>
      </c>
      <c r="BE26" s="42">
        <f t="shared" si="41"/>
        <v>3688.3333333333339</v>
      </c>
    </row>
    <row r="27" spans="1:57" ht="18" x14ac:dyDescent="0.2">
      <c r="A27" s="7">
        <v>39052</v>
      </c>
      <c r="B27" s="17">
        <v>14962</v>
      </c>
      <c r="D27" s="42">
        <f t="shared" si="3"/>
        <v>8927.5</v>
      </c>
      <c r="E27" s="42">
        <f t="shared" si="17"/>
        <v>6034.5</v>
      </c>
      <c r="F27" s="42">
        <f t="shared" si="0"/>
        <v>36415190.25</v>
      </c>
      <c r="G27" s="42">
        <f t="shared" si="1"/>
        <v>6034.5</v>
      </c>
      <c r="H27" s="43"/>
      <c r="I27" s="42">
        <f t="shared" si="2"/>
        <v>9285.3333333333339</v>
      </c>
      <c r="J27" s="42">
        <f t="shared" si="4"/>
        <v>5676.6666666666661</v>
      </c>
      <c r="K27" s="42">
        <f t="shared" si="5"/>
        <v>32224544.444444437</v>
      </c>
      <c r="L27" s="42">
        <f t="shared" si="6"/>
        <v>5676.6666666666661</v>
      </c>
      <c r="M27" s="43"/>
      <c r="N27" s="42">
        <f t="shared" si="7"/>
        <v>11739</v>
      </c>
      <c r="O27" s="42">
        <f t="shared" si="9"/>
        <v>3223</v>
      </c>
      <c r="P27" s="42">
        <f t="shared" si="10"/>
        <v>10387729</v>
      </c>
      <c r="Q27" s="42">
        <f t="shared" si="8"/>
        <v>3223</v>
      </c>
      <c r="R27" s="43"/>
      <c r="S27" s="42">
        <f t="shared" si="11"/>
        <v>13289.2</v>
      </c>
      <c r="T27" s="42">
        <f t="shared" si="13"/>
        <v>1672.7999999999993</v>
      </c>
      <c r="U27" s="42">
        <f t="shared" si="14"/>
        <v>2798259.8399999975</v>
      </c>
      <c r="V27" s="42">
        <f t="shared" si="12"/>
        <v>1672.7999999999993</v>
      </c>
      <c r="W27" s="43"/>
      <c r="X27" s="42">
        <f t="shared" si="15"/>
        <v>12984</v>
      </c>
      <c r="Y27" s="42">
        <f t="shared" si="18"/>
        <v>1978</v>
      </c>
      <c r="Z27" s="42">
        <f t="shared" si="19"/>
        <v>3912484</v>
      </c>
      <c r="AA27" s="42">
        <f t="shared" si="16"/>
        <v>1978</v>
      </c>
      <c r="AB27" s="43"/>
      <c r="AC27" s="42">
        <f t="shared" si="20"/>
        <v>12965.714285714286</v>
      </c>
      <c r="AD27" s="42">
        <f t="shared" si="22"/>
        <v>1996.2857142857138</v>
      </c>
      <c r="AE27" s="42">
        <f t="shared" si="23"/>
        <v>3985156.6530612223</v>
      </c>
      <c r="AF27" s="42">
        <f t="shared" si="21"/>
        <v>1996.2857142857138</v>
      </c>
      <c r="AG27" s="43"/>
      <c r="AH27" s="42">
        <f t="shared" si="24"/>
        <v>12915.75</v>
      </c>
      <c r="AI27" s="42">
        <f t="shared" si="27"/>
        <v>2046.25</v>
      </c>
      <c r="AJ27" s="42">
        <f t="shared" si="25"/>
        <v>4187139.0625</v>
      </c>
      <c r="AK27" s="42">
        <f t="shared" si="26"/>
        <v>2046.25</v>
      </c>
      <c r="AL27" s="43"/>
      <c r="AM27" s="42">
        <f t="shared" si="28"/>
        <v>12921.333333333334</v>
      </c>
      <c r="AN27" s="42">
        <f t="shared" si="31"/>
        <v>2040.6666666666661</v>
      </c>
      <c r="AO27" s="42">
        <f t="shared" si="29"/>
        <v>4164320.4444444422</v>
      </c>
      <c r="AP27" s="42">
        <f t="shared" si="30"/>
        <v>2040.6666666666661</v>
      </c>
      <c r="AQ27" s="43"/>
      <c r="AR27" s="42">
        <f t="shared" si="32"/>
        <v>12719.3</v>
      </c>
      <c r="AS27" s="42">
        <f t="shared" si="34"/>
        <v>2242.7000000000007</v>
      </c>
      <c r="AT27" s="42">
        <f t="shared" si="35"/>
        <v>5029703.2900000028</v>
      </c>
      <c r="AU27" s="42">
        <f t="shared" si="33"/>
        <v>2242.7000000000007</v>
      </c>
      <c r="AV27" s="43"/>
      <c r="AW27" s="42">
        <f t="shared" si="36"/>
        <v>12472</v>
      </c>
      <c r="AX27" s="42">
        <f t="shared" si="39"/>
        <v>2490</v>
      </c>
      <c r="AY27" s="42">
        <f t="shared" si="37"/>
        <v>6200100</v>
      </c>
      <c r="AZ27" s="42">
        <f t="shared" si="38"/>
        <v>2490</v>
      </c>
      <c r="BA27" s="43"/>
      <c r="BB27" s="42">
        <f t="shared" si="42"/>
        <v>12998.333333333334</v>
      </c>
      <c r="BC27" s="42">
        <f t="shared" si="43"/>
        <v>1963.6666666666661</v>
      </c>
      <c r="BD27" s="42">
        <f t="shared" si="40"/>
        <v>3855986.7777777752</v>
      </c>
      <c r="BE27" s="42">
        <f t="shared" si="41"/>
        <v>1963.6666666666661</v>
      </c>
    </row>
    <row r="28" spans="1:57" ht="18" x14ac:dyDescent="0.2">
      <c r="A28" s="7">
        <v>39083</v>
      </c>
      <c r="B28" s="17">
        <v>9375</v>
      </c>
      <c r="D28" s="42">
        <f t="shared" si="3"/>
        <v>12241</v>
      </c>
      <c r="E28" s="42">
        <f t="shared" si="17"/>
        <v>-2866</v>
      </c>
      <c r="F28" s="42">
        <f t="shared" si="0"/>
        <v>8213956</v>
      </c>
      <c r="G28" s="42">
        <f t="shared" si="1"/>
        <v>2866</v>
      </c>
      <c r="H28" s="43"/>
      <c r="I28" s="42">
        <f t="shared" si="2"/>
        <v>10939</v>
      </c>
      <c r="J28" s="42">
        <f t="shared" si="4"/>
        <v>-1564</v>
      </c>
      <c r="K28" s="42">
        <f t="shared" si="5"/>
        <v>2446096</v>
      </c>
      <c r="L28" s="42">
        <f t="shared" si="6"/>
        <v>1564</v>
      </c>
      <c r="M28" s="43"/>
      <c r="N28" s="42">
        <f t="shared" si="7"/>
        <v>10704.5</v>
      </c>
      <c r="O28" s="42">
        <f t="shared" si="9"/>
        <v>-1329.5</v>
      </c>
      <c r="P28" s="42">
        <f t="shared" si="10"/>
        <v>1767570.25</v>
      </c>
      <c r="Q28" s="42">
        <f t="shared" si="8"/>
        <v>1329.5</v>
      </c>
      <c r="R28" s="43"/>
      <c r="S28" s="42">
        <f t="shared" si="11"/>
        <v>12383.6</v>
      </c>
      <c r="T28" s="42">
        <f t="shared" si="13"/>
        <v>-3008.6000000000004</v>
      </c>
      <c r="U28" s="42">
        <f t="shared" si="14"/>
        <v>9051673.9600000028</v>
      </c>
      <c r="V28" s="42">
        <f t="shared" si="12"/>
        <v>3008.6000000000004</v>
      </c>
      <c r="W28" s="43"/>
      <c r="X28" s="42">
        <f t="shared" si="15"/>
        <v>13568</v>
      </c>
      <c r="Y28" s="42">
        <f t="shared" si="18"/>
        <v>-4193</v>
      </c>
      <c r="Z28" s="42">
        <f t="shared" si="19"/>
        <v>17581249</v>
      </c>
      <c r="AA28" s="42">
        <f t="shared" si="16"/>
        <v>4193</v>
      </c>
      <c r="AB28" s="43"/>
      <c r="AC28" s="42">
        <f t="shared" si="20"/>
        <v>13266.571428571429</v>
      </c>
      <c r="AD28" s="42">
        <f t="shared" si="22"/>
        <v>-3891.5714285714294</v>
      </c>
      <c r="AE28" s="42">
        <f t="shared" si="23"/>
        <v>15144328.183673475</v>
      </c>
      <c r="AF28" s="42">
        <f t="shared" si="21"/>
        <v>3891.5714285714294</v>
      </c>
      <c r="AG28" s="43"/>
      <c r="AH28" s="42">
        <f t="shared" si="24"/>
        <v>13215.25</v>
      </c>
      <c r="AI28" s="42">
        <f t="shared" si="27"/>
        <v>-3840.25</v>
      </c>
      <c r="AJ28" s="42">
        <f t="shared" si="25"/>
        <v>14747520.0625</v>
      </c>
      <c r="AK28" s="42">
        <f t="shared" si="26"/>
        <v>3840.25</v>
      </c>
      <c r="AL28" s="43"/>
      <c r="AM28" s="42">
        <f t="shared" si="28"/>
        <v>13143.111111111111</v>
      </c>
      <c r="AN28" s="42">
        <f t="shared" si="31"/>
        <v>-3768.1111111111113</v>
      </c>
      <c r="AO28" s="42">
        <f t="shared" si="29"/>
        <v>14198661.345679013</v>
      </c>
      <c r="AP28" s="42">
        <f t="shared" si="30"/>
        <v>3768.1111111111113</v>
      </c>
      <c r="AQ28" s="43"/>
      <c r="AR28" s="42">
        <f t="shared" si="32"/>
        <v>13125.4</v>
      </c>
      <c r="AS28" s="42">
        <f t="shared" si="34"/>
        <v>-3750.3999999999996</v>
      </c>
      <c r="AT28" s="42">
        <f t="shared" si="35"/>
        <v>14065500.159999996</v>
      </c>
      <c r="AU28" s="42">
        <f t="shared" si="33"/>
        <v>3750.3999999999996</v>
      </c>
      <c r="AV28" s="43"/>
      <c r="AW28" s="42">
        <f t="shared" si="36"/>
        <v>12923.181818181818</v>
      </c>
      <c r="AX28" s="42">
        <f t="shared" si="39"/>
        <v>-3548.181818181818</v>
      </c>
      <c r="AY28" s="42">
        <f t="shared" si="37"/>
        <v>12589594.214876032</v>
      </c>
      <c r="AZ28" s="42">
        <f t="shared" si="38"/>
        <v>3548.181818181818</v>
      </c>
      <c r="BA28" s="43"/>
      <c r="BB28" s="42">
        <f t="shared" si="42"/>
        <v>12679.5</v>
      </c>
      <c r="BC28" s="42">
        <f t="shared" si="43"/>
        <v>-3304.5</v>
      </c>
      <c r="BD28" s="42">
        <f t="shared" si="40"/>
        <v>10919720.25</v>
      </c>
      <c r="BE28" s="42">
        <f t="shared" si="41"/>
        <v>3304.5</v>
      </c>
    </row>
    <row r="29" spans="1:57" ht="18" x14ac:dyDescent="0.2">
      <c r="A29" s="7">
        <v>39114</v>
      </c>
      <c r="B29" s="17">
        <v>10367</v>
      </c>
      <c r="D29" s="42">
        <f t="shared" si="3"/>
        <v>12168.5</v>
      </c>
      <c r="E29" s="42">
        <f t="shared" si="17"/>
        <v>-1801.5</v>
      </c>
      <c r="F29" s="42">
        <f t="shared" si="0"/>
        <v>3245402.25</v>
      </c>
      <c r="G29" s="42">
        <f t="shared" si="1"/>
        <v>1801.5</v>
      </c>
      <c r="H29" s="43"/>
      <c r="I29" s="42">
        <f t="shared" si="2"/>
        <v>11285.666666666666</v>
      </c>
      <c r="J29" s="42">
        <f t="shared" si="4"/>
        <v>-918.66666666666606</v>
      </c>
      <c r="K29" s="42">
        <f t="shared" si="5"/>
        <v>843948.44444444333</v>
      </c>
      <c r="L29" s="42">
        <f t="shared" si="6"/>
        <v>918.66666666666606</v>
      </c>
      <c r="M29" s="43"/>
      <c r="N29" s="42">
        <f t="shared" si="7"/>
        <v>10548</v>
      </c>
      <c r="O29" s="42">
        <f t="shared" si="9"/>
        <v>-181</v>
      </c>
      <c r="P29" s="42">
        <f t="shared" si="10"/>
        <v>32761</v>
      </c>
      <c r="Q29" s="42">
        <f t="shared" si="8"/>
        <v>181</v>
      </c>
      <c r="R29" s="43"/>
      <c r="S29" s="42">
        <f t="shared" si="11"/>
        <v>10438.6</v>
      </c>
      <c r="T29" s="42">
        <f t="shared" si="13"/>
        <v>-71.600000000000364</v>
      </c>
      <c r="U29" s="42">
        <f t="shared" si="14"/>
        <v>5126.5600000000522</v>
      </c>
      <c r="V29" s="42">
        <f t="shared" si="12"/>
        <v>71.600000000000364</v>
      </c>
      <c r="W29" s="43"/>
      <c r="X29" s="42">
        <f t="shared" si="15"/>
        <v>11882.166666666666</v>
      </c>
      <c r="Y29" s="42">
        <f t="shared" si="18"/>
        <v>-1515.1666666666661</v>
      </c>
      <c r="Z29" s="42">
        <f t="shared" si="19"/>
        <v>2295730.0277777761</v>
      </c>
      <c r="AA29" s="42">
        <f t="shared" si="16"/>
        <v>1515.1666666666661</v>
      </c>
      <c r="AB29" s="43"/>
      <c r="AC29" s="42">
        <f t="shared" si="20"/>
        <v>12969</v>
      </c>
      <c r="AD29" s="42">
        <f t="shared" si="22"/>
        <v>-2602</v>
      </c>
      <c r="AE29" s="42">
        <f t="shared" si="23"/>
        <v>6770404</v>
      </c>
      <c r="AF29" s="42">
        <f t="shared" si="21"/>
        <v>2602</v>
      </c>
      <c r="AG29" s="43"/>
      <c r="AH29" s="42">
        <f t="shared" si="24"/>
        <v>12780.125</v>
      </c>
      <c r="AI29" s="42">
        <f t="shared" si="27"/>
        <v>-2413.125</v>
      </c>
      <c r="AJ29" s="42">
        <f t="shared" si="25"/>
        <v>5823172.265625</v>
      </c>
      <c r="AK29" s="42">
        <f t="shared" si="26"/>
        <v>2413.125</v>
      </c>
      <c r="AL29" s="43"/>
      <c r="AM29" s="42">
        <f t="shared" si="28"/>
        <v>12788.555555555555</v>
      </c>
      <c r="AN29" s="42">
        <f t="shared" si="31"/>
        <v>-2421.5555555555547</v>
      </c>
      <c r="AO29" s="42">
        <f t="shared" si="29"/>
        <v>5863931.3086419711</v>
      </c>
      <c r="AP29" s="42">
        <f t="shared" si="30"/>
        <v>2421.5555555555547</v>
      </c>
      <c r="AQ29" s="43"/>
      <c r="AR29" s="42">
        <f t="shared" si="32"/>
        <v>12766.3</v>
      </c>
      <c r="AS29" s="42">
        <f t="shared" si="34"/>
        <v>-2399.2999999999993</v>
      </c>
      <c r="AT29" s="42">
        <f t="shared" si="35"/>
        <v>5756640.4899999965</v>
      </c>
      <c r="AU29" s="42">
        <f t="shared" si="33"/>
        <v>2399.2999999999993</v>
      </c>
      <c r="AV29" s="43"/>
      <c r="AW29" s="42">
        <f t="shared" si="36"/>
        <v>12784.454545454546</v>
      </c>
      <c r="AX29" s="42">
        <f t="shared" si="39"/>
        <v>-2417.454545454546</v>
      </c>
      <c r="AY29" s="42">
        <f t="shared" si="37"/>
        <v>5844086.4793388452</v>
      </c>
      <c r="AZ29" s="42">
        <f t="shared" si="38"/>
        <v>2417.454545454546</v>
      </c>
      <c r="BA29" s="43"/>
      <c r="BB29" s="42">
        <f t="shared" si="42"/>
        <v>12627.5</v>
      </c>
      <c r="BC29" s="42">
        <f t="shared" si="43"/>
        <v>-2260.5</v>
      </c>
      <c r="BD29" s="42">
        <f t="shared" si="40"/>
        <v>5109860.25</v>
      </c>
      <c r="BE29" s="42">
        <f t="shared" si="41"/>
        <v>2260.5</v>
      </c>
    </row>
    <row r="30" spans="1:57" ht="18" x14ac:dyDescent="0.2">
      <c r="A30" s="7">
        <v>39142</v>
      </c>
      <c r="B30" s="17">
        <v>14339</v>
      </c>
      <c r="D30" s="42">
        <f t="shared" si="3"/>
        <v>9871</v>
      </c>
      <c r="E30" s="42">
        <f t="shared" si="17"/>
        <v>4468</v>
      </c>
      <c r="F30" s="42">
        <f t="shared" si="0"/>
        <v>19963024</v>
      </c>
      <c r="G30" s="42">
        <f t="shared" si="1"/>
        <v>4468</v>
      </c>
      <c r="H30" s="43"/>
      <c r="I30" s="42">
        <f t="shared" si="2"/>
        <v>11568</v>
      </c>
      <c r="J30" s="42">
        <f t="shared" si="4"/>
        <v>2771</v>
      </c>
      <c r="K30" s="42">
        <f t="shared" si="5"/>
        <v>7678441</v>
      </c>
      <c r="L30" s="42">
        <f t="shared" si="6"/>
        <v>2771</v>
      </c>
      <c r="M30" s="43"/>
      <c r="N30" s="42">
        <f t="shared" si="7"/>
        <v>11056</v>
      </c>
      <c r="O30" s="42">
        <f t="shared" si="9"/>
        <v>3283</v>
      </c>
      <c r="P30" s="42">
        <f t="shared" si="10"/>
        <v>10778089</v>
      </c>
      <c r="Q30" s="42">
        <f t="shared" si="8"/>
        <v>3283</v>
      </c>
      <c r="R30" s="43"/>
      <c r="S30" s="42">
        <f t="shared" si="11"/>
        <v>10511.8</v>
      </c>
      <c r="T30" s="42">
        <f t="shared" si="13"/>
        <v>3827.2000000000007</v>
      </c>
      <c r="U30" s="42">
        <f t="shared" si="14"/>
        <v>14647459.840000005</v>
      </c>
      <c r="V30" s="42">
        <f t="shared" si="12"/>
        <v>3827.2000000000007</v>
      </c>
      <c r="W30" s="43"/>
      <c r="X30" s="42">
        <f t="shared" si="15"/>
        <v>10426.666666666666</v>
      </c>
      <c r="Y30" s="42">
        <f t="shared" si="18"/>
        <v>3912.3333333333339</v>
      </c>
      <c r="Z30" s="42">
        <f t="shared" si="19"/>
        <v>15306352.111111116</v>
      </c>
      <c r="AA30" s="42">
        <f t="shared" si="16"/>
        <v>3912.3333333333339</v>
      </c>
      <c r="AB30" s="43"/>
      <c r="AC30" s="42">
        <f t="shared" si="20"/>
        <v>11665.714285714286</v>
      </c>
      <c r="AD30" s="42">
        <f t="shared" si="22"/>
        <v>2673.2857142857138</v>
      </c>
      <c r="AE30" s="42">
        <f t="shared" si="23"/>
        <v>7146456.5102040786</v>
      </c>
      <c r="AF30" s="42">
        <f t="shared" si="21"/>
        <v>2673.2857142857138</v>
      </c>
      <c r="AG30" s="43"/>
      <c r="AH30" s="42">
        <f t="shared" si="24"/>
        <v>12643.75</v>
      </c>
      <c r="AI30" s="42">
        <f t="shared" si="27"/>
        <v>1695.25</v>
      </c>
      <c r="AJ30" s="42">
        <f t="shared" si="25"/>
        <v>2873872.5625</v>
      </c>
      <c r="AK30" s="42">
        <f t="shared" si="26"/>
        <v>1695.25</v>
      </c>
      <c r="AL30" s="43"/>
      <c r="AM30" s="42">
        <f t="shared" si="28"/>
        <v>12512</v>
      </c>
      <c r="AN30" s="42">
        <f t="shared" si="31"/>
        <v>1827</v>
      </c>
      <c r="AO30" s="42">
        <f t="shared" si="29"/>
        <v>3337929</v>
      </c>
      <c r="AP30" s="42">
        <f t="shared" si="30"/>
        <v>1827</v>
      </c>
      <c r="AQ30" s="43"/>
      <c r="AR30" s="42">
        <f t="shared" si="32"/>
        <v>12546.4</v>
      </c>
      <c r="AS30" s="42">
        <f t="shared" si="34"/>
        <v>1792.6000000000004</v>
      </c>
      <c r="AT30" s="42">
        <f t="shared" si="35"/>
        <v>3213414.7600000012</v>
      </c>
      <c r="AU30" s="42">
        <f t="shared" si="33"/>
        <v>1792.6000000000004</v>
      </c>
      <c r="AV30" s="43"/>
      <c r="AW30" s="42">
        <f t="shared" si="36"/>
        <v>12548.181818181818</v>
      </c>
      <c r="AX30" s="42">
        <f t="shared" si="39"/>
        <v>1790.818181818182</v>
      </c>
      <c r="AY30" s="42">
        <f t="shared" si="37"/>
        <v>3207029.7603305792</v>
      </c>
      <c r="AZ30" s="42">
        <f t="shared" si="38"/>
        <v>1790.818181818182</v>
      </c>
      <c r="BA30" s="43"/>
      <c r="BB30" s="42">
        <f t="shared" si="42"/>
        <v>12583</v>
      </c>
      <c r="BC30" s="42">
        <f t="shared" si="43"/>
        <v>1756</v>
      </c>
      <c r="BD30" s="42">
        <f t="shared" si="40"/>
        <v>3083536</v>
      </c>
      <c r="BE30" s="42">
        <f t="shared" si="41"/>
        <v>1756</v>
      </c>
    </row>
    <row r="31" spans="1:57" ht="18" x14ac:dyDescent="0.2">
      <c r="A31" s="7">
        <v>39173</v>
      </c>
      <c r="B31" s="17">
        <v>12047</v>
      </c>
      <c r="D31" s="42">
        <f t="shared" si="3"/>
        <v>12353</v>
      </c>
      <c r="E31" s="42">
        <f t="shared" si="17"/>
        <v>-306</v>
      </c>
      <c r="F31" s="42">
        <f t="shared" si="0"/>
        <v>93636</v>
      </c>
      <c r="G31" s="42">
        <f t="shared" si="1"/>
        <v>306</v>
      </c>
      <c r="H31" s="43"/>
      <c r="I31" s="42">
        <f t="shared" si="2"/>
        <v>11360.333333333334</v>
      </c>
      <c r="J31" s="42">
        <f t="shared" si="4"/>
        <v>686.66666666666606</v>
      </c>
      <c r="K31" s="42">
        <f t="shared" si="5"/>
        <v>471511.11111111025</v>
      </c>
      <c r="L31" s="42">
        <f t="shared" si="6"/>
        <v>686.66666666666606</v>
      </c>
      <c r="M31" s="43"/>
      <c r="N31" s="42">
        <f t="shared" si="7"/>
        <v>12260.75</v>
      </c>
      <c r="O31" s="42">
        <f t="shared" si="9"/>
        <v>-213.75</v>
      </c>
      <c r="P31" s="42">
        <f t="shared" si="10"/>
        <v>45689.0625</v>
      </c>
      <c r="Q31" s="42">
        <f t="shared" si="8"/>
        <v>213.75</v>
      </c>
      <c r="R31" s="43"/>
      <c r="S31" s="42">
        <f t="shared" si="11"/>
        <v>11712.6</v>
      </c>
      <c r="T31" s="42">
        <f t="shared" si="13"/>
        <v>334.39999999999964</v>
      </c>
      <c r="U31" s="42">
        <f t="shared" si="14"/>
        <v>111823.35999999975</v>
      </c>
      <c r="V31" s="42">
        <f t="shared" si="12"/>
        <v>334.39999999999964</v>
      </c>
      <c r="W31" s="43"/>
      <c r="X31" s="42">
        <f t="shared" si="15"/>
        <v>11149.666666666666</v>
      </c>
      <c r="Y31" s="42">
        <f t="shared" si="18"/>
        <v>897.33333333333394</v>
      </c>
      <c r="Z31" s="42">
        <f t="shared" si="19"/>
        <v>805207.11111111217</v>
      </c>
      <c r="AA31" s="42">
        <f t="shared" si="16"/>
        <v>897.33333333333394</v>
      </c>
      <c r="AB31" s="43"/>
      <c r="AC31" s="42">
        <f t="shared" si="20"/>
        <v>10985.571428571429</v>
      </c>
      <c r="AD31" s="42">
        <f t="shared" si="22"/>
        <v>1061.4285714285706</v>
      </c>
      <c r="AE31" s="42">
        <f t="shared" si="23"/>
        <v>1126630.6122448964</v>
      </c>
      <c r="AF31" s="42">
        <f t="shared" si="21"/>
        <v>1061.4285714285706</v>
      </c>
      <c r="AG31" s="43"/>
      <c r="AH31" s="42">
        <f t="shared" si="24"/>
        <v>11999.875</v>
      </c>
      <c r="AI31" s="42">
        <f t="shared" si="27"/>
        <v>47.125</v>
      </c>
      <c r="AJ31" s="42">
        <f t="shared" si="25"/>
        <v>2220.765625</v>
      </c>
      <c r="AK31" s="42">
        <f t="shared" si="26"/>
        <v>47.125</v>
      </c>
      <c r="AL31" s="43"/>
      <c r="AM31" s="42">
        <f t="shared" si="28"/>
        <v>12832.111111111111</v>
      </c>
      <c r="AN31" s="42">
        <f t="shared" si="31"/>
        <v>-785.11111111111131</v>
      </c>
      <c r="AO31" s="42">
        <f t="shared" si="29"/>
        <v>616399.45679012372</v>
      </c>
      <c r="AP31" s="42">
        <f t="shared" si="30"/>
        <v>785.11111111111131</v>
      </c>
      <c r="AQ31" s="43"/>
      <c r="AR31" s="42">
        <f t="shared" si="32"/>
        <v>12694.7</v>
      </c>
      <c r="AS31" s="42">
        <f t="shared" si="34"/>
        <v>-647.70000000000073</v>
      </c>
      <c r="AT31" s="42">
        <f t="shared" si="35"/>
        <v>419515.29000000097</v>
      </c>
      <c r="AU31" s="42">
        <f t="shared" si="33"/>
        <v>647.70000000000073</v>
      </c>
      <c r="AV31" s="43"/>
      <c r="AW31" s="42">
        <f t="shared" si="36"/>
        <v>12709.363636363636</v>
      </c>
      <c r="AX31" s="42">
        <f t="shared" si="39"/>
        <v>-662.36363636363603</v>
      </c>
      <c r="AY31" s="42">
        <f t="shared" si="37"/>
        <v>438725.58677685907</v>
      </c>
      <c r="AZ31" s="42">
        <f t="shared" si="38"/>
        <v>662.36363636363603</v>
      </c>
      <c r="BA31" s="43"/>
      <c r="BB31" s="42">
        <f t="shared" si="42"/>
        <v>12697.416666666666</v>
      </c>
      <c r="BC31" s="42">
        <f t="shared" si="43"/>
        <v>-650.41666666666606</v>
      </c>
      <c r="BD31" s="42">
        <f t="shared" si="40"/>
        <v>423041.840277777</v>
      </c>
      <c r="BE31" s="42">
        <f t="shared" si="41"/>
        <v>650.41666666666606</v>
      </c>
    </row>
    <row r="32" spans="1:57" ht="18" x14ac:dyDescent="0.2">
      <c r="A32" s="7">
        <v>39203</v>
      </c>
      <c r="B32" s="17">
        <v>10133</v>
      </c>
      <c r="D32" s="42">
        <f t="shared" si="3"/>
        <v>13193</v>
      </c>
      <c r="E32" s="42">
        <f t="shared" si="17"/>
        <v>-3060</v>
      </c>
      <c r="F32" s="42">
        <f t="shared" si="0"/>
        <v>9363600</v>
      </c>
      <c r="G32" s="42">
        <f t="shared" si="1"/>
        <v>3060</v>
      </c>
      <c r="H32" s="43"/>
      <c r="I32" s="42">
        <f t="shared" si="2"/>
        <v>12251</v>
      </c>
      <c r="J32" s="42">
        <f t="shared" si="4"/>
        <v>-2118</v>
      </c>
      <c r="K32" s="42">
        <f t="shared" si="5"/>
        <v>4485924</v>
      </c>
      <c r="L32" s="42">
        <f t="shared" si="6"/>
        <v>2118</v>
      </c>
      <c r="M32" s="43"/>
      <c r="N32" s="42">
        <f t="shared" si="7"/>
        <v>11532</v>
      </c>
      <c r="O32" s="42">
        <f t="shared" si="9"/>
        <v>-1399</v>
      </c>
      <c r="P32" s="42">
        <f t="shared" si="10"/>
        <v>1957201</v>
      </c>
      <c r="Q32" s="42">
        <f t="shared" si="8"/>
        <v>1399</v>
      </c>
      <c r="R32" s="43"/>
      <c r="S32" s="42">
        <f t="shared" si="11"/>
        <v>12218</v>
      </c>
      <c r="T32" s="42">
        <f t="shared" si="13"/>
        <v>-2085</v>
      </c>
      <c r="U32" s="42">
        <f t="shared" si="14"/>
        <v>4347225</v>
      </c>
      <c r="V32" s="42">
        <f t="shared" si="12"/>
        <v>2085</v>
      </c>
      <c r="W32" s="43"/>
      <c r="X32" s="42">
        <f t="shared" si="15"/>
        <v>11768.333333333334</v>
      </c>
      <c r="Y32" s="42">
        <f t="shared" si="18"/>
        <v>-1635.3333333333339</v>
      </c>
      <c r="Z32" s="42">
        <f t="shared" si="19"/>
        <v>2674315.1111111129</v>
      </c>
      <c r="AA32" s="42">
        <f t="shared" si="16"/>
        <v>1635.3333333333339</v>
      </c>
      <c r="AB32" s="43"/>
      <c r="AC32" s="42">
        <f t="shared" si="20"/>
        <v>11277.857142857143</v>
      </c>
      <c r="AD32" s="42">
        <f t="shared" si="22"/>
        <v>-1144.8571428571431</v>
      </c>
      <c r="AE32" s="42">
        <f t="shared" si="23"/>
        <v>1310697.8775510211</v>
      </c>
      <c r="AF32" s="42">
        <f t="shared" si="21"/>
        <v>1144.8571428571431</v>
      </c>
      <c r="AG32" s="43"/>
      <c r="AH32" s="42">
        <f t="shared" si="24"/>
        <v>11118.25</v>
      </c>
      <c r="AI32" s="42">
        <f t="shared" si="27"/>
        <v>-985.25</v>
      </c>
      <c r="AJ32" s="42">
        <f t="shared" si="25"/>
        <v>970717.5625</v>
      </c>
      <c r="AK32" s="42">
        <f t="shared" si="26"/>
        <v>985.25</v>
      </c>
      <c r="AL32" s="43"/>
      <c r="AM32" s="42">
        <f t="shared" si="28"/>
        <v>12005.111111111111</v>
      </c>
      <c r="AN32" s="42">
        <f t="shared" si="31"/>
        <v>-1872.1111111111113</v>
      </c>
      <c r="AO32" s="42">
        <f t="shared" si="29"/>
        <v>3504800.0123456796</v>
      </c>
      <c r="AP32" s="42">
        <f t="shared" si="30"/>
        <v>1872.1111111111113</v>
      </c>
      <c r="AQ32" s="43"/>
      <c r="AR32" s="42">
        <f t="shared" si="32"/>
        <v>12753.6</v>
      </c>
      <c r="AS32" s="42">
        <f t="shared" si="34"/>
        <v>-2620.6000000000004</v>
      </c>
      <c r="AT32" s="42">
        <f t="shared" si="35"/>
        <v>6867544.3600000022</v>
      </c>
      <c r="AU32" s="42">
        <f t="shared" si="33"/>
        <v>2620.6000000000004</v>
      </c>
      <c r="AV32" s="43"/>
      <c r="AW32" s="42">
        <f t="shared" si="36"/>
        <v>12635.818181818182</v>
      </c>
      <c r="AX32" s="42">
        <f t="shared" si="39"/>
        <v>-2502.818181818182</v>
      </c>
      <c r="AY32" s="42">
        <f t="shared" si="37"/>
        <v>6264098.8512396701</v>
      </c>
      <c r="AZ32" s="42">
        <f t="shared" si="38"/>
        <v>2502.818181818182</v>
      </c>
      <c r="BA32" s="43"/>
      <c r="BB32" s="42">
        <f t="shared" si="42"/>
        <v>12654.166666666666</v>
      </c>
      <c r="BC32" s="42">
        <f t="shared" si="43"/>
        <v>-2521.1666666666661</v>
      </c>
      <c r="BD32" s="42">
        <f t="shared" si="40"/>
        <v>6356281.3611111082</v>
      </c>
      <c r="BE32" s="42">
        <f t="shared" si="41"/>
        <v>2521.1666666666661</v>
      </c>
    </row>
    <row r="33" spans="1:57" ht="18" x14ac:dyDescent="0.2">
      <c r="A33" s="7">
        <v>39234</v>
      </c>
      <c r="B33" s="17">
        <v>10371</v>
      </c>
      <c r="D33" s="42">
        <f t="shared" si="3"/>
        <v>11090</v>
      </c>
      <c r="E33" s="42">
        <f t="shared" si="17"/>
        <v>-719</v>
      </c>
      <c r="F33" s="42">
        <f t="shared" si="0"/>
        <v>516961</v>
      </c>
      <c r="G33" s="42">
        <f t="shared" si="1"/>
        <v>719</v>
      </c>
      <c r="H33" s="43"/>
      <c r="I33" s="42">
        <f t="shared" si="2"/>
        <v>12173</v>
      </c>
      <c r="J33" s="42">
        <f t="shared" si="4"/>
        <v>-1802</v>
      </c>
      <c r="K33" s="42">
        <f t="shared" si="5"/>
        <v>3247204</v>
      </c>
      <c r="L33" s="42">
        <f t="shared" si="6"/>
        <v>1802</v>
      </c>
      <c r="M33" s="43"/>
      <c r="N33" s="42">
        <f t="shared" si="7"/>
        <v>11721.5</v>
      </c>
      <c r="O33" s="42">
        <f t="shared" si="9"/>
        <v>-1350.5</v>
      </c>
      <c r="P33" s="42">
        <f t="shared" si="10"/>
        <v>1823850.25</v>
      </c>
      <c r="Q33" s="42">
        <f t="shared" si="8"/>
        <v>1350.5</v>
      </c>
      <c r="R33" s="43"/>
      <c r="S33" s="42">
        <f t="shared" si="11"/>
        <v>11252.2</v>
      </c>
      <c r="T33" s="42">
        <f t="shared" si="13"/>
        <v>-881.20000000000073</v>
      </c>
      <c r="U33" s="42">
        <f t="shared" si="14"/>
        <v>776513.44000000122</v>
      </c>
      <c r="V33" s="42">
        <f t="shared" si="12"/>
        <v>881.20000000000073</v>
      </c>
      <c r="W33" s="43"/>
      <c r="X33" s="42">
        <f t="shared" si="15"/>
        <v>11870.5</v>
      </c>
      <c r="Y33" s="42">
        <f t="shared" si="18"/>
        <v>-1499.5</v>
      </c>
      <c r="Z33" s="42">
        <f t="shared" si="19"/>
        <v>2248500.25</v>
      </c>
      <c r="AA33" s="42">
        <f t="shared" si="16"/>
        <v>1499.5</v>
      </c>
      <c r="AB33" s="43"/>
      <c r="AC33" s="42">
        <f t="shared" si="20"/>
        <v>11534.714285714286</v>
      </c>
      <c r="AD33" s="42">
        <f t="shared" si="22"/>
        <v>-1163.7142857142862</v>
      </c>
      <c r="AE33" s="42">
        <f t="shared" si="23"/>
        <v>1354230.9387755115</v>
      </c>
      <c r="AF33" s="42">
        <f t="shared" si="21"/>
        <v>1163.7142857142862</v>
      </c>
      <c r="AG33" s="43"/>
      <c r="AH33" s="42">
        <f t="shared" si="24"/>
        <v>11134.75</v>
      </c>
      <c r="AI33" s="42">
        <f t="shared" si="27"/>
        <v>-763.75</v>
      </c>
      <c r="AJ33" s="42">
        <f t="shared" si="25"/>
        <v>583314.0625</v>
      </c>
      <c r="AK33" s="42">
        <f t="shared" si="26"/>
        <v>763.75</v>
      </c>
      <c r="AL33" s="43"/>
      <c r="AM33" s="42">
        <f t="shared" si="28"/>
        <v>11008.777777777777</v>
      </c>
      <c r="AN33" s="42">
        <f t="shared" si="31"/>
        <v>-637.77777777777737</v>
      </c>
      <c r="AO33" s="42">
        <f t="shared" si="29"/>
        <v>406760.49382715998</v>
      </c>
      <c r="AP33" s="42">
        <f t="shared" si="30"/>
        <v>637.77777777777737</v>
      </c>
      <c r="AQ33" s="43"/>
      <c r="AR33" s="42">
        <f t="shared" si="32"/>
        <v>11817.9</v>
      </c>
      <c r="AS33" s="42">
        <f t="shared" si="34"/>
        <v>-1446.8999999999996</v>
      </c>
      <c r="AT33" s="42">
        <f t="shared" si="35"/>
        <v>2093519.6099999989</v>
      </c>
      <c r="AU33" s="42">
        <f t="shared" si="33"/>
        <v>1446.8999999999996</v>
      </c>
      <c r="AV33" s="43"/>
      <c r="AW33" s="42">
        <f t="shared" si="36"/>
        <v>12515.363636363636</v>
      </c>
      <c r="AX33" s="42">
        <f t="shared" si="39"/>
        <v>-2144.363636363636</v>
      </c>
      <c r="AY33" s="42">
        <f t="shared" si="37"/>
        <v>4598295.4049586765</v>
      </c>
      <c r="AZ33" s="42">
        <f t="shared" si="38"/>
        <v>2144.363636363636</v>
      </c>
      <c r="BA33" s="43"/>
      <c r="BB33" s="42">
        <f t="shared" si="42"/>
        <v>12427.25</v>
      </c>
      <c r="BC33" s="42">
        <f t="shared" si="43"/>
        <v>-2056.25</v>
      </c>
      <c r="BD33" s="42">
        <f t="shared" si="40"/>
        <v>4228164.0625</v>
      </c>
      <c r="BE33" s="42">
        <f t="shared" si="41"/>
        <v>2056.25</v>
      </c>
    </row>
    <row r="34" spans="1:57" ht="18" x14ac:dyDescent="0.2">
      <c r="A34" s="7">
        <v>39264</v>
      </c>
      <c r="B34" s="17">
        <v>13136</v>
      </c>
      <c r="D34" s="42">
        <f t="shared" si="3"/>
        <v>10252</v>
      </c>
      <c r="E34" s="42">
        <f t="shared" si="17"/>
        <v>2884</v>
      </c>
      <c r="F34" s="42">
        <f t="shared" si="0"/>
        <v>8317456</v>
      </c>
      <c r="G34" s="42">
        <f t="shared" si="1"/>
        <v>2884</v>
      </c>
      <c r="H34" s="43"/>
      <c r="I34" s="42">
        <f t="shared" si="2"/>
        <v>10850.333333333334</v>
      </c>
      <c r="J34" s="42">
        <f t="shared" si="4"/>
        <v>2285.6666666666661</v>
      </c>
      <c r="K34" s="42">
        <f t="shared" si="5"/>
        <v>5224272.1111111082</v>
      </c>
      <c r="L34" s="42">
        <f t="shared" si="6"/>
        <v>2285.6666666666661</v>
      </c>
      <c r="M34" s="43"/>
      <c r="N34" s="42">
        <f t="shared" si="7"/>
        <v>11722.5</v>
      </c>
      <c r="O34" s="42">
        <f t="shared" si="9"/>
        <v>1413.5</v>
      </c>
      <c r="P34" s="42">
        <f t="shared" si="10"/>
        <v>1997982.25</v>
      </c>
      <c r="Q34" s="42">
        <f t="shared" si="8"/>
        <v>1413.5</v>
      </c>
      <c r="R34" s="43"/>
      <c r="S34" s="42">
        <f t="shared" si="11"/>
        <v>11451.4</v>
      </c>
      <c r="T34" s="42">
        <f t="shared" si="13"/>
        <v>1684.6000000000004</v>
      </c>
      <c r="U34" s="42">
        <f t="shared" si="14"/>
        <v>2837877.1600000011</v>
      </c>
      <c r="V34" s="42">
        <f t="shared" si="12"/>
        <v>1684.6000000000004</v>
      </c>
      <c r="W34" s="43"/>
      <c r="X34" s="42">
        <f t="shared" si="15"/>
        <v>11105.333333333334</v>
      </c>
      <c r="Y34" s="42">
        <f t="shared" si="18"/>
        <v>2030.6666666666661</v>
      </c>
      <c r="Z34" s="42">
        <f t="shared" si="19"/>
        <v>4123607.1111111087</v>
      </c>
      <c r="AA34" s="42">
        <f t="shared" si="16"/>
        <v>2030.6666666666661</v>
      </c>
      <c r="AB34" s="43"/>
      <c r="AC34" s="42">
        <f t="shared" si="20"/>
        <v>11656.285714285714</v>
      </c>
      <c r="AD34" s="42">
        <f t="shared" si="22"/>
        <v>1479.7142857142862</v>
      </c>
      <c r="AE34" s="42">
        <f t="shared" si="23"/>
        <v>2189554.3673469401</v>
      </c>
      <c r="AF34" s="42">
        <f t="shared" si="21"/>
        <v>1479.7142857142862</v>
      </c>
      <c r="AG34" s="43"/>
      <c r="AH34" s="42">
        <f t="shared" si="24"/>
        <v>11389.25</v>
      </c>
      <c r="AI34" s="42">
        <f t="shared" si="27"/>
        <v>1746.75</v>
      </c>
      <c r="AJ34" s="42">
        <f t="shared" si="25"/>
        <v>3051135.5625</v>
      </c>
      <c r="AK34" s="42">
        <f t="shared" si="26"/>
        <v>1746.75</v>
      </c>
      <c r="AL34" s="43"/>
      <c r="AM34" s="42">
        <f t="shared" si="28"/>
        <v>11049.888888888889</v>
      </c>
      <c r="AN34" s="42">
        <f t="shared" si="31"/>
        <v>2086.1111111111113</v>
      </c>
      <c r="AO34" s="42">
        <f t="shared" si="29"/>
        <v>4351859.5679012351</v>
      </c>
      <c r="AP34" s="42">
        <f t="shared" si="30"/>
        <v>2086.1111111111113</v>
      </c>
      <c r="AQ34" s="43"/>
      <c r="AR34" s="42">
        <f t="shared" si="32"/>
        <v>10945</v>
      </c>
      <c r="AS34" s="42">
        <f t="shared" si="34"/>
        <v>2191</v>
      </c>
      <c r="AT34" s="42">
        <f t="shared" si="35"/>
        <v>4800481</v>
      </c>
      <c r="AU34" s="42">
        <f t="shared" si="33"/>
        <v>2191</v>
      </c>
      <c r="AV34" s="43"/>
      <c r="AW34" s="42">
        <f t="shared" si="36"/>
        <v>11686.363636363636</v>
      </c>
      <c r="AX34" s="42">
        <f t="shared" si="39"/>
        <v>1449.636363636364</v>
      </c>
      <c r="AY34" s="42">
        <f t="shared" si="37"/>
        <v>2101445.5867768605</v>
      </c>
      <c r="AZ34" s="42">
        <f t="shared" si="38"/>
        <v>1449.636363636364</v>
      </c>
      <c r="BA34" s="43"/>
      <c r="BB34" s="42">
        <f t="shared" si="42"/>
        <v>12336.666666666666</v>
      </c>
      <c r="BC34" s="42">
        <f t="shared" si="43"/>
        <v>799.33333333333394</v>
      </c>
      <c r="BD34" s="42">
        <f t="shared" si="40"/>
        <v>638933.7777777788</v>
      </c>
      <c r="BE34" s="42">
        <f t="shared" si="41"/>
        <v>799.33333333333394</v>
      </c>
    </row>
    <row r="35" spans="1:57" ht="18" x14ac:dyDescent="0.2">
      <c r="A35" s="7">
        <v>39295</v>
      </c>
      <c r="B35" s="17">
        <v>9504</v>
      </c>
      <c r="D35" s="42">
        <f t="shared" si="3"/>
        <v>11753.5</v>
      </c>
      <c r="E35" s="42">
        <f t="shared" si="17"/>
        <v>-2249.5</v>
      </c>
      <c r="F35" s="42">
        <f t="shared" si="0"/>
        <v>5060250.25</v>
      </c>
      <c r="G35" s="42">
        <f t="shared" si="1"/>
        <v>2249.5</v>
      </c>
      <c r="H35" s="43"/>
      <c r="I35" s="42">
        <f t="shared" si="2"/>
        <v>11213.333333333334</v>
      </c>
      <c r="J35" s="42">
        <f t="shared" si="4"/>
        <v>-1709.3333333333339</v>
      </c>
      <c r="K35" s="42">
        <f t="shared" si="5"/>
        <v>2921820.4444444464</v>
      </c>
      <c r="L35" s="42">
        <f t="shared" si="6"/>
        <v>1709.3333333333339</v>
      </c>
      <c r="M35" s="43"/>
      <c r="N35" s="42">
        <f t="shared" si="7"/>
        <v>11421.75</v>
      </c>
      <c r="O35" s="42">
        <f t="shared" si="9"/>
        <v>-1917.75</v>
      </c>
      <c r="P35" s="42">
        <f t="shared" si="10"/>
        <v>3677765.0625</v>
      </c>
      <c r="Q35" s="42">
        <f t="shared" si="8"/>
        <v>1917.75</v>
      </c>
      <c r="R35" s="43"/>
      <c r="S35" s="42">
        <f t="shared" si="11"/>
        <v>12005.2</v>
      </c>
      <c r="T35" s="42">
        <f t="shared" si="13"/>
        <v>-2501.2000000000007</v>
      </c>
      <c r="U35" s="42">
        <f t="shared" si="14"/>
        <v>6256001.4400000032</v>
      </c>
      <c r="V35" s="42">
        <f t="shared" si="12"/>
        <v>2501.2000000000007</v>
      </c>
      <c r="W35" s="43"/>
      <c r="X35" s="42">
        <f t="shared" si="15"/>
        <v>11732.166666666666</v>
      </c>
      <c r="Y35" s="42">
        <f t="shared" si="18"/>
        <v>-2228.1666666666661</v>
      </c>
      <c r="Z35" s="42">
        <f t="shared" si="19"/>
        <v>4964726.6944444422</v>
      </c>
      <c r="AA35" s="42">
        <f t="shared" si="16"/>
        <v>2228.1666666666661</v>
      </c>
      <c r="AB35" s="43"/>
      <c r="AC35" s="42">
        <f t="shared" si="20"/>
        <v>11395.428571428571</v>
      </c>
      <c r="AD35" s="42">
        <f t="shared" si="22"/>
        <v>-1891.4285714285706</v>
      </c>
      <c r="AE35" s="42">
        <f t="shared" si="23"/>
        <v>3577502.0408163234</v>
      </c>
      <c r="AF35" s="42">
        <f t="shared" si="21"/>
        <v>1891.4285714285706</v>
      </c>
      <c r="AG35" s="43"/>
      <c r="AH35" s="42">
        <f t="shared" si="24"/>
        <v>11841.25</v>
      </c>
      <c r="AI35" s="42">
        <f t="shared" si="27"/>
        <v>-2337.25</v>
      </c>
      <c r="AJ35" s="42">
        <f t="shared" si="25"/>
        <v>5462737.5625</v>
      </c>
      <c r="AK35" s="42">
        <f t="shared" si="26"/>
        <v>2337.25</v>
      </c>
      <c r="AL35" s="43"/>
      <c r="AM35" s="42">
        <f t="shared" si="28"/>
        <v>11583.333333333334</v>
      </c>
      <c r="AN35" s="42">
        <f t="shared" si="31"/>
        <v>-2079.3333333333339</v>
      </c>
      <c r="AO35" s="42">
        <f t="shared" si="29"/>
        <v>4323627.1111111138</v>
      </c>
      <c r="AP35" s="42">
        <f t="shared" si="30"/>
        <v>2079.3333333333339</v>
      </c>
      <c r="AQ35" s="43"/>
      <c r="AR35" s="42">
        <f t="shared" si="32"/>
        <v>11258.5</v>
      </c>
      <c r="AS35" s="42">
        <f t="shared" si="34"/>
        <v>-1754.5</v>
      </c>
      <c r="AT35" s="42">
        <f t="shared" si="35"/>
        <v>3078270.25</v>
      </c>
      <c r="AU35" s="42">
        <f t="shared" si="33"/>
        <v>1754.5</v>
      </c>
      <c r="AV35" s="43"/>
      <c r="AW35" s="42">
        <f t="shared" si="36"/>
        <v>11144.181818181818</v>
      </c>
      <c r="AX35" s="42">
        <f t="shared" si="39"/>
        <v>-1640.181818181818</v>
      </c>
      <c r="AY35" s="42">
        <f t="shared" si="37"/>
        <v>2690196.3966942145</v>
      </c>
      <c r="AZ35" s="42">
        <f t="shared" si="38"/>
        <v>1640.181818181818</v>
      </c>
      <c r="BA35" s="43"/>
      <c r="BB35" s="42">
        <f t="shared" si="42"/>
        <v>11807.166666666666</v>
      </c>
      <c r="BC35" s="42">
        <f t="shared" si="43"/>
        <v>-2303.1666666666661</v>
      </c>
      <c r="BD35" s="42">
        <f t="shared" si="40"/>
        <v>5304576.6944444412</v>
      </c>
      <c r="BE35" s="42">
        <f t="shared" si="41"/>
        <v>2303.1666666666661</v>
      </c>
    </row>
    <row r="36" spans="1:57" ht="18" x14ac:dyDescent="0.2">
      <c r="A36" s="7">
        <v>39326</v>
      </c>
      <c r="B36" s="17">
        <v>6191</v>
      </c>
      <c r="D36" s="42">
        <f t="shared" si="3"/>
        <v>11320</v>
      </c>
      <c r="E36" s="42">
        <f t="shared" si="17"/>
        <v>-5129</v>
      </c>
      <c r="F36" s="42">
        <f t="shared" si="0"/>
        <v>26306641</v>
      </c>
      <c r="G36" s="42">
        <f t="shared" si="1"/>
        <v>5129</v>
      </c>
      <c r="H36" s="43"/>
      <c r="I36" s="42">
        <f t="shared" si="2"/>
        <v>11003.666666666666</v>
      </c>
      <c r="J36" s="42">
        <f t="shared" si="4"/>
        <v>-4812.6666666666661</v>
      </c>
      <c r="K36" s="42">
        <f t="shared" si="5"/>
        <v>23161760.44444444</v>
      </c>
      <c r="L36" s="42">
        <f t="shared" si="6"/>
        <v>4812.6666666666661</v>
      </c>
      <c r="M36" s="43"/>
      <c r="N36" s="42">
        <f t="shared" si="7"/>
        <v>10786</v>
      </c>
      <c r="O36" s="42">
        <f t="shared" si="9"/>
        <v>-4595</v>
      </c>
      <c r="P36" s="42">
        <f t="shared" si="10"/>
        <v>21114025</v>
      </c>
      <c r="Q36" s="42">
        <f t="shared" si="8"/>
        <v>4595</v>
      </c>
      <c r="R36" s="43"/>
      <c r="S36" s="42">
        <f t="shared" si="11"/>
        <v>11038.2</v>
      </c>
      <c r="T36" s="42">
        <f t="shared" si="13"/>
        <v>-4847.2000000000007</v>
      </c>
      <c r="U36" s="42">
        <f t="shared" si="14"/>
        <v>23495347.840000007</v>
      </c>
      <c r="V36" s="42">
        <f t="shared" si="12"/>
        <v>4847.2000000000007</v>
      </c>
      <c r="W36" s="43"/>
      <c r="X36" s="42">
        <f t="shared" si="15"/>
        <v>11588.333333333334</v>
      </c>
      <c r="Y36" s="42">
        <f t="shared" si="18"/>
        <v>-5397.3333333333339</v>
      </c>
      <c r="Z36" s="42">
        <f t="shared" si="19"/>
        <v>29131207.111111119</v>
      </c>
      <c r="AA36" s="42">
        <f t="shared" si="16"/>
        <v>5397.3333333333339</v>
      </c>
      <c r="AB36" s="43"/>
      <c r="AC36" s="42">
        <f t="shared" si="20"/>
        <v>11413.857142857143</v>
      </c>
      <c r="AD36" s="42">
        <f t="shared" si="22"/>
        <v>-5222.8571428571431</v>
      </c>
      <c r="AE36" s="42">
        <f t="shared" si="23"/>
        <v>27278236.734693881</v>
      </c>
      <c r="AF36" s="42">
        <f t="shared" si="21"/>
        <v>5222.8571428571431</v>
      </c>
      <c r="AG36" s="43"/>
      <c r="AH36" s="42">
        <f t="shared" si="24"/>
        <v>11159</v>
      </c>
      <c r="AI36" s="42">
        <f t="shared" si="27"/>
        <v>-4968</v>
      </c>
      <c r="AJ36" s="42">
        <f t="shared" si="25"/>
        <v>24681024</v>
      </c>
      <c r="AK36" s="42">
        <f t="shared" si="26"/>
        <v>4968</v>
      </c>
      <c r="AL36" s="43"/>
      <c r="AM36" s="42">
        <f t="shared" si="28"/>
        <v>11581.555555555555</v>
      </c>
      <c r="AN36" s="42">
        <f t="shared" si="31"/>
        <v>-5390.5555555555547</v>
      </c>
      <c r="AO36" s="42">
        <f t="shared" si="29"/>
        <v>29058089.197530854</v>
      </c>
      <c r="AP36" s="42">
        <f t="shared" si="30"/>
        <v>5390.5555555555547</v>
      </c>
      <c r="AQ36" s="43"/>
      <c r="AR36" s="42">
        <f t="shared" si="32"/>
        <v>11375.4</v>
      </c>
      <c r="AS36" s="42">
        <f t="shared" si="34"/>
        <v>-5184.3999999999996</v>
      </c>
      <c r="AT36" s="42">
        <f t="shared" si="35"/>
        <v>26878003.359999996</v>
      </c>
      <c r="AU36" s="42">
        <f t="shared" si="33"/>
        <v>5184.3999999999996</v>
      </c>
      <c r="AV36" s="43"/>
      <c r="AW36" s="42">
        <f t="shared" si="36"/>
        <v>11099</v>
      </c>
      <c r="AX36" s="42">
        <f t="shared" si="39"/>
        <v>-4908</v>
      </c>
      <c r="AY36" s="42">
        <f t="shared" si="37"/>
        <v>24088464</v>
      </c>
      <c r="AZ36" s="42">
        <f t="shared" si="38"/>
        <v>4908</v>
      </c>
      <c r="BA36" s="43"/>
      <c r="BB36" s="42">
        <f t="shared" si="42"/>
        <v>11007.5</v>
      </c>
      <c r="BC36" s="42">
        <f t="shared" si="43"/>
        <v>-4816.5</v>
      </c>
      <c r="BD36" s="42">
        <f t="shared" si="40"/>
        <v>23198672.25</v>
      </c>
      <c r="BE36" s="42">
        <f t="shared" si="41"/>
        <v>4816.5</v>
      </c>
    </row>
    <row r="37" spans="1:57" ht="18" x14ac:dyDescent="0.2">
      <c r="A37" s="7">
        <v>39356</v>
      </c>
      <c r="B37" s="17">
        <v>5920</v>
      </c>
      <c r="D37" s="42">
        <f t="shared" si="3"/>
        <v>7847.5</v>
      </c>
      <c r="E37" s="42">
        <f t="shared" si="17"/>
        <v>-1927.5</v>
      </c>
      <c r="F37" s="42">
        <f t="shared" si="0"/>
        <v>3715256.25</v>
      </c>
      <c r="G37" s="42">
        <f t="shared" si="1"/>
        <v>1927.5</v>
      </c>
      <c r="H37" s="43"/>
      <c r="I37" s="42">
        <f t="shared" si="2"/>
        <v>9610.3333333333339</v>
      </c>
      <c r="J37" s="42">
        <f t="shared" si="4"/>
        <v>-3690.3333333333339</v>
      </c>
      <c r="K37" s="42">
        <f t="shared" si="5"/>
        <v>13618560.111111116</v>
      </c>
      <c r="L37" s="42">
        <f t="shared" si="6"/>
        <v>3690.3333333333339</v>
      </c>
      <c r="M37" s="43"/>
      <c r="N37" s="42">
        <f t="shared" si="7"/>
        <v>9800.5</v>
      </c>
      <c r="O37" s="42">
        <f t="shared" si="9"/>
        <v>-3880.5</v>
      </c>
      <c r="P37" s="42">
        <f t="shared" si="10"/>
        <v>15058280.25</v>
      </c>
      <c r="Q37" s="42">
        <f t="shared" si="8"/>
        <v>3880.5</v>
      </c>
      <c r="R37" s="43"/>
      <c r="S37" s="42">
        <f t="shared" si="11"/>
        <v>9867</v>
      </c>
      <c r="T37" s="42">
        <f t="shared" si="13"/>
        <v>-3947</v>
      </c>
      <c r="U37" s="42">
        <f t="shared" si="14"/>
        <v>15578809</v>
      </c>
      <c r="V37" s="42">
        <f t="shared" si="12"/>
        <v>3947</v>
      </c>
      <c r="W37" s="43"/>
      <c r="X37" s="42">
        <f t="shared" si="15"/>
        <v>10230.333333333334</v>
      </c>
      <c r="Y37" s="42">
        <f t="shared" si="18"/>
        <v>-4310.3333333333339</v>
      </c>
      <c r="Z37" s="42">
        <f t="shared" si="19"/>
        <v>18578973.444444451</v>
      </c>
      <c r="AA37" s="42">
        <f t="shared" si="16"/>
        <v>4310.3333333333339</v>
      </c>
      <c r="AB37" s="43"/>
      <c r="AC37" s="42">
        <f t="shared" si="20"/>
        <v>10817.285714285714</v>
      </c>
      <c r="AD37" s="42">
        <f t="shared" si="22"/>
        <v>-4897.2857142857138</v>
      </c>
      <c r="AE37" s="42">
        <f t="shared" si="23"/>
        <v>23983407.367346935</v>
      </c>
      <c r="AF37" s="42">
        <f t="shared" si="21"/>
        <v>4897.2857142857138</v>
      </c>
      <c r="AG37" s="43"/>
      <c r="AH37" s="42">
        <f t="shared" si="24"/>
        <v>10761</v>
      </c>
      <c r="AI37" s="42">
        <f t="shared" si="27"/>
        <v>-4841</v>
      </c>
      <c r="AJ37" s="42">
        <f t="shared" si="25"/>
        <v>23435281</v>
      </c>
      <c r="AK37" s="42">
        <f t="shared" si="26"/>
        <v>4841</v>
      </c>
      <c r="AL37" s="43"/>
      <c r="AM37" s="42">
        <f t="shared" si="28"/>
        <v>10607</v>
      </c>
      <c r="AN37" s="42">
        <f t="shared" si="31"/>
        <v>-4687</v>
      </c>
      <c r="AO37" s="42">
        <f t="shared" si="29"/>
        <v>21967969</v>
      </c>
      <c r="AP37" s="42">
        <f t="shared" si="30"/>
        <v>4687</v>
      </c>
      <c r="AQ37" s="43"/>
      <c r="AR37" s="42">
        <f t="shared" si="32"/>
        <v>11042.5</v>
      </c>
      <c r="AS37" s="42">
        <f t="shared" si="34"/>
        <v>-5122.5</v>
      </c>
      <c r="AT37" s="42">
        <f t="shared" si="35"/>
        <v>26240006.25</v>
      </c>
      <c r="AU37" s="42">
        <f t="shared" si="33"/>
        <v>5122.5</v>
      </c>
      <c r="AV37" s="43"/>
      <c r="AW37" s="42">
        <f t="shared" si="36"/>
        <v>10904.09090909091</v>
      </c>
      <c r="AX37" s="42">
        <f t="shared" si="39"/>
        <v>-4984.0909090909099</v>
      </c>
      <c r="AY37" s="42">
        <f t="shared" si="37"/>
        <v>24841162.190082654</v>
      </c>
      <c r="AZ37" s="42">
        <f t="shared" si="38"/>
        <v>4984.0909090909099</v>
      </c>
      <c r="BA37" s="43"/>
      <c r="BB37" s="42">
        <f t="shared" si="42"/>
        <v>10690</v>
      </c>
      <c r="BC37" s="42">
        <f t="shared" si="43"/>
        <v>-4770</v>
      </c>
      <c r="BD37" s="42">
        <f t="shared" si="40"/>
        <v>22752900</v>
      </c>
      <c r="BE37" s="42">
        <f t="shared" si="41"/>
        <v>4770</v>
      </c>
    </row>
    <row r="38" spans="1:57" ht="18" x14ac:dyDescent="0.2">
      <c r="A38" s="7">
        <v>39387</v>
      </c>
      <c r="B38" s="17">
        <v>5360</v>
      </c>
      <c r="D38" s="42">
        <f t="shared" si="3"/>
        <v>6055.5</v>
      </c>
      <c r="E38" s="42">
        <f t="shared" si="17"/>
        <v>-695.5</v>
      </c>
      <c r="F38" s="42">
        <f t="shared" si="0"/>
        <v>483720.25</v>
      </c>
      <c r="G38" s="42">
        <f t="shared" si="1"/>
        <v>695.5</v>
      </c>
      <c r="H38" s="43"/>
      <c r="I38" s="42">
        <f t="shared" si="2"/>
        <v>7205</v>
      </c>
      <c r="J38" s="42">
        <f t="shared" si="4"/>
        <v>-1845</v>
      </c>
      <c r="K38" s="42">
        <f t="shared" si="5"/>
        <v>3404025</v>
      </c>
      <c r="L38" s="42">
        <f t="shared" si="6"/>
        <v>1845</v>
      </c>
      <c r="M38" s="43"/>
      <c r="N38" s="42">
        <f t="shared" si="7"/>
        <v>8687.75</v>
      </c>
      <c r="O38" s="42">
        <f t="shared" si="9"/>
        <v>-3327.75</v>
      </c>
      <c r="P38" s="42">
        <f t="shared" si="10"/>
        <v>11073920.0625</v>
      </c>
      <c r="Q38" s="42">
        <f t="shared" si="8"/>
        <v>3327.75</v>
      </c>
      <c r="R38" s="43"/>
      <c r="S38" s="42">
        <f t="shared" si="11"/>
        <v>9024.4</v>
      </c>
      <c r="T38" s="42">
        <f t="shared" si="13"/>
        <v>-3664.3999999999996</v>
      </c>
      <c r="U38" s="42">
        <f t="shared" si="14"/>
        <v>13427827.359999998</v>
      </c>
      <c r="V38" s="42">
        <f t="shared" si="12"/>
        <v>3664.3999999999996</v>
      </c>
      <c r="W38" s="43"/>
      <c r="X38" s="42">
        <f t="shared" si="15"/>
        <v>9209.1666666666661</v>
      </c>
      <c r="Y38" s="42">
        <f t="shared" si="18"/>
        <v>-3849.1666666666661</v>
      </c>
      <c r="Z38" s="42">
        <f t="shared" si="19"/>
        <v>14816084.027777772</v>
      </c>
      <c r="AA38" s="42">
        <f t="shared" si="16"/>
        <v>3849.1666666666661</v>
      </c>
      <c r="AB38" s="43"/>
      <c r="AC38" s="42">
        <f t="shared" si="20"/>
        <v>9614.5714285714294</v>
      </c>
      <c r="AD38" s="42">
        <f t="shared" si="22"/>
        <v>-4254.5714285714294</v>
      </c>
      <c r="AE38" s="42">
        <f t="shared" si="23"/>
        <v>18101378.040816333</v>
      </c>
      <c r="AF38" s="42">
        <f t="shared" si="21"/>
        <v>4254.5714285714294</v>
      </c>
      <c r="AG38" s="43"/>
      <c r="AH38" s="42">
        <f t="shared" si="24"/>
        <v>10205.125</v>
      </c>
      <c r="AI38" s="42">
        <f t="shared" si="27"/>
        <v>-4845.125</v>
      </c>
      <c r="AJ38" s="42">
        <f t="shared" si="25"/>
        <v>23475236.265625</v>
      </c>
      <c r="AK38" s="42">
        <f t="shared" si="26"/>
        <v>4845.125</v>
      </c>
      <c r="AL38" s="43"/>
      <c r="AM38" s="42">
        <f t="shared" si="28"/>
        <v>10223.111111111111</v>
      </c>
      <c r="AN38" s="42">
        <f t="shared" si="31"/>
        <v>-4863.1111111111113</v>
      </c>
      <c r="AO38" s="42">
        <f t="shared" si="29"/>
        <v>23649849.679012347</v>
      </c>
      <c r="AP38" s="42">
        <f t="shared" si="30"/>
        <v>4863.1111111111113</v>
      </c>
      <c r="AQ38" s="43"/>
      <c r="AR38" s="42">
        <f t="shared" si="32"/>
        <v>10138.299999999999</v>
      </c>
      <c r="AS38" s="42">
        <f t="shared" si="34"/>
        <v>-4778.2999999999993</v>
      </c>
      <c r="AT38" s="42">
        <f t="shared" si="35"/>
        <v>22832150.889999993</v>
      </c>
      <c r="AU38" s="42">
        <f t="shared" si="33"/>
        <v>4778.2999999999993</v>
      </c>
      <c r="AV38" s="43"/>
      <c r="AW38" s="42">
        <f t="shared" si="36"/>
        <v>10576.818181818182</v>
      </c>
      <c r="AX38" s="42">
        <f t="shared" si="39"/>
        <v>-5216.818181818182</v>
      </c>
      <c r="AY38" s="42">
        <f t="shared" si="37"/>
        <v>27215191.942148764</v>
      </c>
      <c r="AZ38" s="42">
        <f t="shared" si="38"/>
        <v>5216.818181818182</v>
      </c>
      <c r="BA38" s="43"/>
      <c r="BB38" s="42">
        <f t="shared" si="42"/>
        <v>10488.75</v>
      </c>
      <c r="BC38" s="42">
        <f t="shared" si="43"/>
        <v>-5128.75</v>
      </c>
      <c r="BD38" s="42">
        <f t="shared" si="40"/>
        <v>26304076.5625</v>
      </c>
      <c r="BE38" s="42">
        <f t="shared" si="41"/>
        <v>5128.75</v>
      </c>
    </row>
    <row r="39" spans="1:57" ht="18" x14ac:dyDescent="0.2">
      <c r="A39" s="7">
        <v>39417</v>
      </c>
      <c r="B39" s="17">
        <v>10403</v>
      </c>
      <c r="D39" s="42">
        <f t="shared" si="3"/>
        <v>5640</v>
      </c>
      <c r="E39" s="42">
        <f t="shared" si="17"/>
        <v>4763</v>
      </c>
      <c r="F39" s="42">
        <f t="shared" si="0"/>
        <v>22686169</v>
      </c>
      <c r="G39" s="42">
        <f t="shared" si="1"/>
        <v>4763</v>
      </c>
      <c r="H39" s="43"/>
      <c r="I39" s="42">
        <f t="shared" si="2"/>
        <v>5823.666666666667</v>
      </c>
      <c r="J39" s="42">
        <f t="shared" si="4"/>
        <v>4579.333333333333</v>
      </c>
      <c r="K39" s="42">
        <f t="shared" si="5"/>
        <v>20970293.777777776</v>
      </c>
      <c r="L39" s="42">
        <f t="shared" si="6"/>
        <v>4579.333333333333</v>
      </c>
      <c r="M39" s="43"/>
      <c r="N39" s="42">
        <f t="shared" si="7"/>
        <v>6743.75</v>
      </c>
      <c r="O39" s="42">
        <f t="shared" si="9"/>
        <v>3659.25</v>
      </c>
      <c r="P39" s="42">
        <f t="shared" si="10"/>
        <v>13390110.5625</v>
      </c>
      <c r="Q39" s="42">
        <f t="shared" si="8"/>
        <v>3659.25</v>
      </c>
      <c r="R39" s="43"/>
      <c r="S39" s="42">
        <f t="shared" si="11"/>
        <v>8022.2</v>
      </c>
      <c r="T39" s="42">
        <f t="shared" si="13"/>
        <v>2380.8000000000002</v>
      </c>
      <c r="U39" s="42">
        <f t="shared" si="14"/>
        <v>5668208.6400000006</v>
      </c>
      <c r="V39" s="42">
        <f t="shared" si="12"/>
        <v>2380.8000000000002</v>
      </c>
      <c r="W39" s="43"/>
      <c r="X39" s="42">
        <f t="shared" si="15"/>
        <v>8413.6666666666661</v>
      </c>
      <c r="Y39" s="42">
        <f t="shared" si="18"/>
        <v>1989.3333333333339</v>
      </c>
      <c r="Z39" s="42">
        <f t="shared" si="19"/>
        <v>3957447.1111111133</v>
      </c>
      <c r="AA39" s="42">
        <f t="shared" si="16"/>
        <v>1989.3333333333339</v>
      </c>
      <c r="AB39" s="43"/>
      <c r="AC39" s="42">
        <f t="shared" si="20"/>
        <v>8659.2857142857138</v>
      </c>
      <c r="AD39" s="42">
        <f t="shared" si="22"/>
        <v>1743.7142857142862</v>
      </c>
      <c r="AE39" s="42">
        <f t="shared" si="23"/>
        <v>3040539.5102040833</v>
      </c>
      <c r="AF39" s="42">
        <f t="shared" si="21"/>
        <v>1743.7142857142862</v>
      </c>
      <c r="AG39" s="43"/>
      <c r="AH39" s="42">
        <f t="shared" si="24"/>
        <v>9082.75</v>
      </c>
      <c r="AI39" s="42">
        <f t="shared" si="27"/>
        <v>1320.25</v>
      </c>
      <c r="AJ39" s="42">
        <f t="shared" si="25"/>
        <v>1743060.0625</v>
      </c>
      <c r="AK39" s="42">
        <f t="shared" si="26"/>
        <v>1320.25</v>
      </c>
      <c r="AL39" s="43"/>
      <c r="AM39" s="42">
        <f t="shared" si="28"/>
        <v>9666.7777777777774</v>
      </c>
      <c r="AN39" s="42">
        <f t="shared" si="31"/>
        <v>736.22222222222263</v>
      </c>
      <c r="AO39" s="42">
        <f t="shared" si="29"/>
        <v>542023.16049382777</v>
      </c>
      <c r="AP39" s="42">
        <f t="shared" si="30"/>
        <v>736.22222222222263</v>
      </c>
      <c r="AQ39" s="43"/>
      <c r="AR39" s="42">
        <f t="shared" si="32"/>
        <v>9736.7999999999993</v>
      </c>
      <c r="AS39" s="42">
        <f t="shared" si="34"/>
        <v>666.20000000000073</v>
      </c>
      <c r="AT39" s="42">
        <f t="shared" si="35"/>
        <v>443822.44000000099</v>
      </c>
      <c r="AU39" s="42">
        <f t="shared" si="33"/>
        <v>666.20000000000073</v>
      </c>
      <c r="AV39" s="43"/>
      <c r="AW39" s="42">
        <f t="shared" si="36"/>
        <v>9703.9090909090901</v>
      </c>
      <c r="AX39" s="42">
        <f t="shared" si="39"/>
        <v>699.09090909090992</v>
      </c>
      <c r="AY39" s="42">
        <f t="shared" si="37"/>
        <v>488728.09917355486</v>
      </c>
      <c r="AZ39" s="42">
        <f t="shared" si="38"/>
        <v>699.09090909090992</v>
      </c>
      <c r="BA39" s="43"/>
      <c r="BB39" s="42">
        <f t="shared" si="42"/>
        <v>10142.083333333334</v>
      </c>
      <c r="BC39" s="42">
        <f t="shared" si="43"/>
        <v>260.91666666666606</v>
      </c>
      <c r="BD39" s="42">
        <f t="shared" si="40"/>
        <v>68077.506944444132</v>
      </c>
      <c r="BE39" s="42">
        <f t="shared" si="41"/>
        <v>260.91666666666606</v>
      </c>
    </row>
    <row r="40" spans="1:57" ht="18" x14ac:dyDescent="0.2">
      <c r="A40" s="7">
        <v>39448</v>
      </c>
      <c r="B40" s="17">
        <v>8375</v>
      </c>
      <c r="D40" s="42">
        <f t="shared" si="3"/>
        <v>7881.5</v>
      </c>
      <c r="E40" s="42">
        <f t="shared" si="17"/>
        <v>493.5</v>
      </c>
      <c r="F40" s="42">
        <f t="shared" si="0"/>
        <v>243542.25</v>
      </c>
      <c r="G40" s="42">
        <f t="shared" si="1"/>
        <v>493.5</v>
      </c>
      <c r="H40" s="43"/>
      <c r="I40" s="42">
        <f t="shared" si="2"/>
        <v>7227.666666666667</v>
      </c>
      <c r="J40" s="42">
        <f t="shared" si="4"/>
        <v>1147.333333333333</v>
      </c>
      <c r="K40" s="42">
        <f t="shared" si="5"/>
        <v>1316373.7777777771</v>
      </c>
      <c r="L40" s="42">
        <f t="shared" si="6"/>
        <v>1147.333333333333</v>
      </c>
      <c r="M40" s="43"/>
      <c r="N40" s="42">
        <f t="shared" si="7"/>
        <v>6968.5</v>
      </c>
      <c r="O40" s="42">
        <f t="shared" si="9"/>
        <v>1406.5</v>
      </c>
      <c r="P40" s="42">
        <f t="shared" si="10"/>
        <v>1978242.25</v>
      </c>
      <c r="Q40" s="42">
        <f t="shared" si="8"/>
        <v>1406.5</v>
      </c>
      <c r="R40" s="43"/>
      <c r="S40" s="42">
        <f t="shared" si="11"/>
        <v>7475.6</v>
      </c>
      <c r="T40" s="42">
        <f t="shared" si="13"/>
        <v>899.39999999999964</v>
      </c>
      <c r="U40" s="42">
        <f t="shared" si="14"/>
        <v>808920.35999999929</v>
      </c>
      <c r="V40" s="42">
        <f t="shared" si="12"/>
        <v>899.39999999999964</v>
      </c>
      <c r="W40" s="43"/>
      <c r="X40" s="42">
        <f t="shared" si="15"/>
        <v>8419</v>
      </c>
      <c r="Y40" s="42">
        <f t="shared" si="18"/>
        <v>-44</v>
      </c>
      <c r="Z40" s="42">
        <f t="shared" si="19"/>
        <v>1936</v>
      </c>
      <c r="AA40" s="42">
        <f t="shared" si="16"/>
        <v>44</v>
      </c>
      <c r="AB40" s="43"/>
      <c r="AC40" s="42">
        <f t="shared" si="20"/>
        <v>8697.8571428571431</v>
      </c>
      <c r="AD40" s="42">
        <f t="shared" si="22"/>
        <v>-322.85714285714312</v>
      </c>
      <c r="AE40" s="42">
        <f t="shared" si="23"/>
        <v>104236.73469387772</v>
      </c>
      <c r="AF40" s="42">
        <f t="shared" si="21"/>
        <v>322.85714285714312</v>
      </c>
      <c r="AG40" s="43"/>
      <c r="AH40" s="42">
        <f t="shared" si="24"/>
        <v>8877.25</v>
      </c>
      <c r="AI40" s="42">
        <f t="shared" si="27"/>
        <v>-502.25</v>
      </c>
      <c r="AJ40" s="42">
        <f t="shared" si="25"/>
        <v>252255.0625</v>
      </c>
      <c r="AK40" s="42">
        <f t="shared" si="26"/>
        <v>502.25</v>
      </c>
      <c r="AL40" s="43"/>
      <c r="AM40" s="42">
        <f t="shared" si="28"/>
        <v>9229.4444444444453</v>
      </c>
      <c r="AN40" s="42">
        <f t="shared" si="31"/>
        <v>-854.44444444444525</v>
      </c>
      <c r="AO40" s="42">
        <f t="shared" si="29"/>
        <v>730075.30864197668</v>
      </c>
      <c r="AP40" s="42">
        <f t="shared" si="30"/>
        <v>854.44444444444525</v>
      </c>
      <c r="AQ40" s="43"/>
      <c r="AR40" s="42">
        <f t="shared" si="32"/>
        <v>9740.4</v>
      </c>
      <c r="AS40" s="42">
        <f t="shared" si="34"/>
        <v>-1365.3999999999996</v>
      </c>
      <c r="AT40" s="42">
        <f t="shared" si="35"/>
        <v>1864317.159999999</v>
      </c>
      <c r="AU40" s="42">
        <f t="shared" si="33"/>
        <v>1365.3999999999996</v>
      </c>
      <c r="AV40" s="43"/>
      <c r="AW40" s="42">
        <f t="shared" si="36"/>
        <v>9797.363636363636</v>
      </c>
      <c r="AX40" s="42">
        <f t="shared" si="39"/>
        <v>-1422.363636363636</v>
      </c>
      <c r="AY40" s="42">
        <f t="shared" si="37"/>
        <v>2023118.3140495857</v>
      </c>
      <c r="AZ40" s="42">
        <f t="shared" si="38"/>
        <v>1422.363636363636</v>
      </c>
      <c r="BA40" s="43"/>
      <c r="BB40" s="42">
        <f>AVERAGE(B28:B39)</f>
        <v>9762.1666666666661</v>
      </c>
      <c r="BC40" s="42">
        <f t="shared" si="43"/>
        <v>-1387.1666666666661</v>
      </c>
      <c r="BD40" s="42">
        <f t="shared" si="40"/>
        <v>1924231.3611111094</v>
      </c>
      <c r="BE40" s="42">
        <f t="shared" si="41"/>
        <v>1387.1666666666661</v>
      </c>
    </row>
    <row r="41" spans="1:57" ht="18" x14ac:dyDescent="0.2">
      <c r="A41" s="7">
        <v>39479</v>
      </c>
      <c r="B41" s="17">
        <v>12881</v>
      </c>
      <c r="D41" s="42">
        <f t="shared" si="3"/>
        <v>9389</v>
      </c>
      <c r="E41" s="42">
        <f t="shared" si="17"/>
        <v>3492</v>
      </c>
      <c r="F41" s="42">
        <f t="shared" si="0"/>
        <v>12194064</v>
      </c>
      <c r="G41" s="42">
        <f t="shared" si="1"/>
        <v>3492</v>
      </c>
      <c r="H41" s="43"/>
      <c r="I41" s="42">
        <f t="shared" si="2"/>
        <v>8046</v>
      </c>
      <c r="J41" s="42">
        <f t="shared" si="4"/>
        <v>4835</v>
      </c>
      <c r="K41" s="42">
        <f t="shared" si="5"/>
        <v>23377225</v>
      </c>
      <c r="L41" s="42">
        <f t="shared" si="6"/>
        <v>4835</v>
      </c>
      <c r="M41" s="43"/>
      <c r="N41" s="42">
        <f t="shared" si="7"/>
        <v>7514.5</v>
      </c>
      <c r="O41" s="42">
        <f t="shared" si="9"/>
        <v>5366.5</v>
      </c>
      <c r="P41" s="42">
        <f t="shared" si="10"/>
        <v>28799322.25</v>
      </c>
      <c r="Q41" s="42">
        <f t="shared" si="8"/>
        <v>5366.5</v>
      </c>
      <c r="R41" s="43"/>
      <c r="S41" s="42">
        <f t="shared" si="11"/>
        <v>7249.8</v>
      </c>
      <c r="T41" s="42">
        <f t="shared" si="13"/>
        <v>5631.2</v>
      </c>
      <c r="U41" s="42">
        <f t="shared" si="14"/>
        <v>31710413.439999998</v>
      </c>
      <c r="V41" s="42">
        <f t="shared" si="12"/>
        <v>5631.2</v>
      </c>
      <c r="W41" s="43"/>
      <c r="X41" s="42">
        <f t="shared" si="15"/>
        <v>7625.5</v>
      </c>
      <c r="Y41" s="42">
        <f t="shared" si="18"/>
        <v>5255.5</v>
      </c>
      <c r="Z41" s="42">
        <f t="shared" si="19"/>
        <v>27620280.25</v>
      </c>
      <c r="AA41" s="42">
        <f t="shared" si="16"/>
        <v>5255.5</v>
      </c>
      <c r="AB41" s="43"/>
      <c r="AC41" s="42">
        <f t="shared" si="20"/>
        <v>8412.7142857142862</v>
      </c>
      <c r="AD41" s="42">
        <f t="shared" si="22"/>
        <v>4468.2857142857138</v>
      </c>
      <c r="AE41" s="42">
        <f t="shared" si="23"/>
        <v>19965577.224489789</v>
      </c>
      <c r="AF41" s="42">
        <f t="shared" si="21"/>
        <v>4468.2857142857138</v>
      </c>
      <c r="AG41" s="43"/>
      <c r="AH41" s="42">
        <f t="shared" si="24"/>
        <v>8657.5</v>
      </c>
      <c r="AI41" s="42">
        <f t="shared" si="27"/>
        <v>4223.5</v>
      </c>
      <c r="AJ41" s="42">
        <f t="shared" si="25"/>
        <v>17837952.25</v>
      </c>
      <c r="AK41" s="42">
        <f t="shared" si="26"/>
        <v>4223.5</v>
      </c>
      <c r="AL41" s="43"/>
      <c r="AM41" s="42">
        <f t="shared" si="28"/>
        <v>8821.4444444444453</v>
      </c>
      <c r="AN41" s="42">
        <f t="shared" si="31"/>
        <v>4059.5555555555547</v>
      </c>
      <c r="AO41" s="42">
        <f t="shared" si="29"/>
        <v>16479991.308641968</v>
      </c>
      <c r="AP41" s="42">
        <f t="shared" si="30"/>
        <v>4059.5555555555547</v>
      </c>
      <c r="AQ41" s="43"/>
      <c r="AR41" s="42">
        <f t="shared" si="32"/>
        <v>9144</v>
      </c>
      <c r="AS41" s="42">
        <f t="shared" si="34"/>
        <v>3737</v>
      </c>
      <c r="AT41" s="42">
        <f t="shared" si="35"/>
        <v>13965169</v>
      </c>
      <c r="AU41" s="42">
        <f t="shared" si="33"/>
        <v>3737</v>
      </c>
      <c r="AV41" s="43"/>
      <c r="AW41" s="42">
        <f t="shared" si="36"/>
        <v>9616.2727272727279</v>
      </c>
      <c r="AX41" s="42">
        <f t="shared" si="39"/>
        <v>3264.7272727272721</v>
      </c>
      <c r="AY41" s="42">
        <f t="shared" si="37"/>
        <v>10658444.165289251</v>
      </c>
      <c r="AZ41" s="42">
        <f t="shared" si="38"/>
        <v>3264.7272727272721</v>
      </c>
      <c r="BA41" s="43"/>
      <c r="BB41" s="42">
        <f>AVERAGE(B29:B40)</f>
        <v>9678.8333333333339</v>
      </c>
      <c r="BC41" s="42">
        <f t="shared" si="43"/>
        <v>3202.1666666666661</v>
      </c>
      <c r="BD41" s="42">
        <f t="shared" si="40"/>
        <v>10253871.361111106</v>
      </c>
      <c r="BE41" s="42">
        <f t="shared" si="41"/>
        <v>3202.1666666666661</v>
      </c>
    </row>
    <row r="42" spans="1:57" ht="18" x14ac:dyDescent="0.2">
      <c r="A42" s="7">
        <v>39508</v>
      </c>
      <c r="B42" s="17">
        <v>10168</v>
      </c>
      <c r="D42" s="42">
        <f>AVERAGE(B40:B41)</f>
        <v>10628</v>
      </c>
      <c r="E42" s="42">
        <f>$B42-D42</f>
        <v>-460</v>
      </c>
      <c r="F42" s="42">
        <f t="shared" si="0"/>
        <v>211600</v>
      </c>
      <c r="G42" s="42">
        <f t="shared" si="1"/>
        <v>460</v>
      </c>
      <c r="H42" s="43"/>
      <c r="I42" s="42">
        <f t="shared" si="2"/>
        <v>10553</v>
      </c>
      <c r="J42" s="42">
        <f t="shared" si="4"/>
        <v>-385</v>
      </c>
      <c r="K42" s="42">
        <f t="shared" si="5"/>
        <v>148225</v>
      </c>
      <c r="L42" s="42">
        <f t="shared" si="6"/>
        <v>385</v>
      </c>
      <c r="M42" s="43"/>
      <c r="N42" s="42">
        <f t="shared" si="7"/>
        <v>9254.75</v>
      </c>
      <c r="O42" s="42">
        <f t="shared" si="9"/>
        <v>913.25</v>
      </c>
      <c r="P42" s="42">
        <f t="shared" si="10"/>
        <v>834025.5625</v>
      </c>
      <c r="Q42" s="42">
        <f t="shared" si="8"/>
        <v>913.25</v>
      </c>
      <c r="R42" s="43"/>
      <c r="S42" s="42">
        <f t="shared" si="11"/>
        <v>8587.7999999999993</v>
      </c>
      <c r="T42" s="42">
        <f t="shared" si="13"/>
        <v>1580.2000000000007</v>
      </c>
      <c r="U42" s="42">
        <f t="shared" si="14"/>
        <v>2497032.0400000024</v>
      </c>
      <c r="V42" s="42">
        <f t="shared" si="12"/>
        <v>1580.2000000000007</v>
      </c>
      <c r="W42" s="43"/>
      <c r="X42" s="42">
        <f t="shared" si="15"/>
        <v>8188.333333333333</v>
      </c>
      <c r="Y42" s="42">
        <f t="shared" si="18"/>
        <v>1979.666666666667</v>
      </c>
      <c r="Z42" s="42">
        <f t="shared" si="19"/>
        <v>3919080.1111111124</v>
      </c>
      <c r="AA42" s="42">
        <f t="shared" si="16"/>
        <v>1979.666666666667</v>
      </c>
      <c r="AB42" s="43"/>
      <c r="AC42" s="42">
        <f t="shared" si="20"/>
        <v>8376.2857142857138</v>
      </c>
      <c r="AD42" s="42">
        <f t="shared" si="22"/>
        <v>1791.7142857142862</v>
      </c>
      <c r="AE42" s="42">
        <f t="shared" si="23"/>
        <v>3210240.0816326551</v>
      </c>
      <c r="AF42" s="42">
        <f t="shared" si="21"/>
        <v>1791.7142857142862</v>
      </c>
      <c r="AG42" s="43"/>
      <c r="AH42" s="42">
        <f t="shared" si="24"/>
        <v>8971.25</v>
      </c>
      <c r="AI42" s="42">
        <f t="shared" si="27"/>
        <v>1196.75</v>
      </c>
      <c r="AJ42" s="42">
        <f t="shared" si="25"/>
        <v>1432210.5625</v>
      </c>
      <c r="AK42" s="42">
        <f t="shared" si="26"/>
        <v>1196.75</v>
      </c>
      <c r="AL42" s="43"/>
      <c r="AM42" s="42">
        <f t="shared" si="28"/>
        <v>9126.7777777777774</v>
      </c>
      <c r="AN42" s="42">
        <f t="shared" si="31"/>
        <v>1041.2222222222226</v>
      </c>
      <c r="AO42" s="42">
        <f t="shared" si="29"/>
        <v>1084143.7160493836</v>
      </c>
      <c r="AP42" s="42">
        <f t="shared" si="30"/>
        <v>1041.2222222222226</v>
      </c>
      <c r="AQ42" s="43"/>
      <c r="AR42" s="42">
        <f t="shared" si="32"/>
        <v>9227.4</v>
      </c>
      <c r="AS42" s="42">
        <f t="shared" si="34"/>
        <v>940.60000000000036</v>
      </c>
      <c r="AT42" s="42">
        <f t="shared" si="35"/>
        <v>884728.36000000068</v>
      </c>
      <c r="AU42" s="42">
        <f>ABS(AS42)</f>
        <v>940.60000000000036</v>
      </c>
      <c r="AV42" s="43"/>
      <c r="AW42" s="42">
        <f t="shared" si="36"/>
        <v>9483.7272727272721</v>
      </c>
      <c r="AX42" s="42">
        <f t="shared" si="39"/>
        <v>684.27272727272793</v>
      </c>
      <c r="AY42" s="42">
        <f t="shared" si="37"/>
        <v>468229.16528925713</v>
      </c>
      <c r="AZ42" s="42">
        <f t="shared" si="38"/>
        <v>684.27272727272793</v>
      </c>
      <c r="BA42" s="43"/>
      <c r="BB42" s="44">
        <f>AVERAGE(B30:B41)</f>
        <v>9888.3333333333339</v>
      </c>
      <c r="BC42" s="42">
        <f t="shared" si="43"/>
        <v>279.66666666666606</v>
      </c>
      <c r="BD42" s="42">
        <f t="shared" si="40"/>
        <v>78213.444444444103</v>
      </c>
      <c r="BE42" s="42">
        <f t="shared" si="41"/>
        <v>279.66666666666606</v>
      </c>
    </row>
    <row r="43" spans="1:57" ht="18" x14ac:dyDescent="0.2">
      <c r="A43" s="7">
        <v>39539</v>
      </c>
      <c r="B43" s="17">
        <v>12200</v>
      </c>
      <c r="D43" s="42">
        <f>AVERAGE(B41:B42)</f>
        <v>11524.5</v>
      </c>
      <c r="E43" s="42">
        <f t="shared" ref="E43:E106" si="44">$B43-D43</f>
        <v>675.5</v>
      </c>
      <c r="F43" s="42">
        <f t="shared" si="0"/>
        <v>456300.25</v>
      </c>
      <c r="G43" s="42">
        <f t="shared" si="1"/>
        <v>675.5</v>
      </c>
      <c r="H43" s="43"/>
      <c r="I43" s="42">
        <f t="shared" si="2"/>
        <v>10474.666666666666</v>
      </c>
      <c r="J43" s="42">
        <f t="shared" si="4"/>
        <v>1725.3333333333339</v>
      </c>
      <c r="K43" s="42">
        <f t="shared" si="5"/>
        <v>2976775.1111111133</v>
      </c>
      <c r="L43" s="42">
        <f t="shared" si="6"/>
        <v>1725.3333333333339</v>
      </c>
      <c r="M43" s="43"/>
      <c r="N43" s="42">
        <f t="shared" si="7"/>
        <v>10456.75</v>
      </c>
      <c r="O43" s="42">
        <f t="shared" si="9"/>
        <v>1743.25</v>
      </c>
      <c r="P43" s="42">
        <f t="shared" si="10"/>
        <v>3038920.5625</v>
      </c>
      <c r="Q43" s="42">
        <f t="shared" si="8"/>
        <v>1743.25</v>
      </c>
      <c r="R43" s="43"/>
      <c r="S43" s="42">
        <f t="shared" si="11"/>
        <v>9437.4</v>
      </c>
      <c r="T43" s="42">
        <f t="shared" si="13"/>
        <v>2762.6000000000004</v>
      </c>
      <c r="U43" s="42">
        <f t="shared" si="14"/>
        <v>7631958.7600000016</v>
      </c>
      <c r="V43" s="42">
        <f t="shared" si="12"/>
        <v>2762.6000000000004</v>
      </c>
      <c r="W43" s="43"/>
      <c r="X43" s="42">
        <f t="shared" si="15"/>
        <v>8851.1666666666661</v>
      </c>
      <c r="Y43" s="42">
        <f t="shared" si="18"/>
        <v>3348.8333333333339</v>
      </c>
      <c r="Z43" s="42">
        <f t="shared" si="19"/>
        <v>11214684.694444448</v>
      </c>
      <c r="AA43" s="42">
        <f t="shared" si="16"/>
        <v>3348.8333333333339</v>
      </c>
      <c r="AB43" s="43"/>
      <c r="AC43" s="42">
        <f t="shared" si="20"/>
        <v>8471.1428571428569</v>
      </c>
      <c r="AD43" s="42">
        <f t="shared" si="22"/>
        <v>3728.8571428571431</v>
      </c>
      <c r="AE43" s="42">
        <f t="shared" si="23"/>
        <v>13904375.591836737</v>
      </c>
      <c r="AF43" s="42">
        <f t="shared" si="21"/>
        <v>3728.8571428571431</v>
      </c>
      <c r="AG43" s="43"/>
      <c r="AH43" s="42">
        <f t="shared" si="24"/>
        <v>8600.25</v>
      </c>
      <c r="AI43" s="42">
        <f t="shared" si="27"/>
        <v>3599.75</v>
      </c>
      <c r="AJ43" s="42">
        <f t="shared" si="25"/>
        <v>12958200.0625</v>
      </c>
      <c r="AK43" s="42">
        <f t="shared" si="26"/>
        <v>3599.75</v>
      </c>
      <c r="AL43" s="43"/>
      <c r="AM43" s="42">
        <f t="shared" si="28"/>
        <v>9104.2222222222226</v>
      </c>
      <c r="AN43" s="42">
        <f t="shared" si="31"/>
        <v>3095.7777777777774</v>
      </c>
      <c r="AO43" s="42">
        <f t="shared" si="29"/>
        <v>9583840.0493827127</v>
      </c>
      <c r="AP43" s="42">
        <f t="shared" si="30"/>
        <v>3095.7777777777774</v>
      </c>
      <c r="AQ43" s="43"/>
      <c r="AR43" s="42">
        <f t="shared" si="32"/>
        <v>9230.9</v>
      </c>
      <c r="AS43" s="42">
        <f t="shared" si="34"/>
        <v>2969.1000000000004</v>
      </c>
      <c r="AT43" s="42">
        <f t="shared" si="35"/>
        <v>8815554.8100000024</v>
      </c>
      <c r="AU43" s="42">
        <f t="shared" ref="AU43:AU106" si="45">ABS(AS43)</f>
        <v>2969.1000000000004</v>
      </c>
      <c r="AV43" s="43"/>
      <c r="AW43" s="42">
        <f t="shared" si="36"/>
        <v>9312.9090909090901</v>
      </c>
      <c r="AX43" s="42">
        <f t="shared" si="39"/>
        <v>2887.0909090909099</v>
      </c>
      <c r="AY43" s="42">
        <f t="shared" si="37"/>
        <v>8335293.9173553763</v>
      </c>
      <c r="AZ43" s="42">
        <f t="shared" si="38"/>
        <v>2887.0909090909099</v>
      </c>
      <c r="BA43" s="43"/>
      <c r="BB43" s="44">
        <f t="shared" ref="BB43:BB106" si="46">AVERAGE(B31:B42)</f>
        <v>9540.75</v>
      </c>
      <c r="BC43" s="42">
        <f t="shared" si="43"/>
        <v>2659.25</v>
      </c>
      <c r="BD43" s="42">
        <f t="shared" si="40"/>
        <v>7071610.5625</v>
      </c>
      <c r="BE43" s="42">
        <f t="shared" si="41"/>
        <v>2659.25</v>
      </c>
    </row>
    <row r="44" spans="1:57" ht="18" x14ac:dyDescent="0.2">
      <c r="A44" s="7">
        <v>39569</v>
      </c>
      <c r="B44" s="17">
        <v>8449</v>
      </c>
      <c r="D44" s="42">
        <f>AVERAGE(B42:B43)</f>
        <v>11184</v>
      </c>
      <c r="E44" s="42">
        <f t="shared" si="44"/>
        <v>-2735</v>
      </c>
      <c r="F44" s="42">
        <f t="shared" si="0"/>
        <v>7480225</v>
      </c>
      <c r="G44" s="42">
        <f t="shared" si="1"/>
        <v>2735</v>
      </c>
      <c r="H44" s="43"/>
      <c r="I44" s="42">
        <f t="shared" si="2"/>
        <v>11749.666666666666</v>
      </c>
      <c r="J44" s="42">
        <f t="shared" si="4"/>
        <v>-3300.6666666666661</v>
      </c>
      <c r="K44" s="42">
        <f t="shared" si="5"/>
        <v>10894400.44444444</v>
      </c>
      <c r="L44" s="42">
        <f t="shared" si="6"/>
        <v>3300.6666666666661</v>
      </c>
      <c r="M44" s="43"/>
      <c r="N44" s="42">
        <f t="shared" si="7"/>
        <v>10906</v>
      </c>
      <c r="O44" s="42">
        <f t="shared" si="9"/>
        <v>-2457</v>
      </c>
      <c r="P44" s="42">
        <f t="shared" si="10"/>
        <v>6036849</v>
      </c>
      <c r="Q44" s="42">
        <f t="shared" si="8"/>
        <v>2457</v>
      </c>
      <c r="R44" s="43"/>
      <c r="S44" s="42">
        <f t="shared" si="11"/>
        <v>10805.4</v>
      </c>
      <c r="T44" s="42">
        <f t="shared" si="13"/>
        <v>-2356.3999999999996</v>
      </c>
      <c r="U44" s="42">
        <f t="shared" si="14"/>
        <v>5552620.9599999981</v>
      </c>
      <c r="V44" s="42">
        <f t="shared" si="12"/>
        <v>2356.3999999999996</v>
      </c>
      <c r="W44" s="43"/>
      <c r="X44" s="42">
        <f t="shared" si="15"/>
        <v>9897.8333333333339</v>
      </c>
      <c r="Y44" s="42">
        <f t="shared" si="18"/>
        <v>-1448.8333333333339</v>
      </c>
      <c r="Z44" s="42">
        <f t="shared" si="19"/>
        <v>2099118.0277777794</v>
      </c>
      <c r="AA44" s="42">
        <f t="shared" si="16"/>
        <v>1448.8333333333339</v>
      </c>
      <c r="AB44" s="43"/>
      <c r="AC44" s="42">
        <f t="shared" si="20"/>
        <v>9329.5714285714294</v>
      </c>
      <c r="AD44" s="42">
        <f t="shared" si="22"/>
        <v>-880.57142857142935</v>
      </c>
      <c r="AE44" s="42">
        <f t="shared" si="23"/>
        <v>775406.04081632791</v>
      </c>
      <c r="AF44" s="42">
        <f t="shared" si="21"/>
        <v>880.57142857142935</v>
      </c>
      <c r="AG44" s="43"/>
      <c r="AH44" s="42">
        <f t="shared" si="24"/>
        <v>8937.25</v>
      </c>
      <c r="AI44" s="42">
        <f t="shared" si="27"/>
        <v>-488.25</v>
      </c>
      <c r="AJ44" s="42">
        <f t="shared" si="25"/>
        <v>238388.0625</v>
      </c>
      <c r="AK44" s="42">
        <f t="shared" si="26"/>
        <v>488.25</v>
      </c>
      <c r="AL44" s="43"/>
      <c r="AM44" s="42">
        <f t="shared" si="28"/>
        <v>9000.2222222222226</v>
      </c>
      <c r="AN44" s="42">
        <f t="shared" si="31"/>
        <v>-551.22222222222263</v>
      </c>
      <c r="AO44" s="42">
        <f t="shared" si="29"/>
        <v>303845.93827160541</v>
      </c>
      <c r="AP44" s="42">
        <f t="shared" si="30"/>
        <v>551.22222222222263</v>
      </c>
      <c r="AQ44" s="43"/>
      <c r="AR44" s="42">
        <f t="shared" si="32"/>
        <v>9413.7999999999993</v>
      </c>
      <c r="AS44" s="42">
        <f t="shared" si="34"/>
        <v>-964.79999999999927</v>
      </c>
      <c r="AT44" s="42">
        <f t="shared" si="35"/>
        <v>930839.03999999864</v>
      </c>
      <c r="AU44" s="42">
        <f t="shared" si="45"/>
        <v>964.79999999999927</v>
      </c>
      <c r="AV44" s="43"/>
      <c r="AW44" s="42">
        <f t="shared" si="36"/>
        <v>9500.818181818182</v>
      </c>
      <c r="AX44" s="42">
        <f t="shared" si="39"/>
        <v>-1051.818181818182</v>
      </c>
      <c r="AY44" s="42">
        <f t="shared" si="37"/>
        <v>1106321.4876033061</v>
      </c>
      <c r="AZ44" s="42">
        <f t="shared" si="38"/>
        <v>1051.818181818182</v>
      </c>
      <c r="BA44" s="43"/>
      <c r="BB44" s="44">
        <f t="shared" si="46"/>
        <v>9553.5</v>
      </c>
      <c r="BC44" s="42">
        <f t="shared" si="43"/>
        <v>-1104.5</v>
      </c>
      <c r="BD44" s="42">
        <f t="shared" si="40"/>
        <v>1219920.25</v>
      </c>
      <c r="BE44" s="42">
        <f t="shared" si="41"/>
        <v>1104.5</v>
      </c>
    </row>
    <row r="45" spans="1:57" ht="18" x14ac:dyDescent="0.2">
      <c r="A45" s="7">
        <v>39600</v>
      </c>
      <c r="B45" s="17">
        <v>7282</v>
      </c>
      <c r="D45" s="42">
        <f t="shared" ref="D45:D108" si="47">AVERAGE(B43:B44)</f>
        <v>10324.5</v>
      </c>
      <c r="E45" s="42">
        <f t="shared" si="44"/>
        <v>-3042.5</v>
      </c>
      <c r="F45" s="42">
        <f t="shared" si="0"/>
        <v>9256806.25</v>
      </c>
      <c r="G45" s="42">
        <f t="shared" si="1"/>
        <v>3042.5</v>
      </c>
      <c r="H45" s="43"/>
      <c r="I45" s="42">
        <f t="shared" si="2"/>
        <v>10272.333333333334</v>
      </c>
      <c r="J45" s="42">
        <f t="shared" si="4"/>
        <v>-2990.3333333333339</v>
      </c>
      <c r="K45" s="42">
        <f t="shared" si="5"/>
        <v>8942093.4444444478</v>
      </c>
      <c r="L45" s="42">
        <f t="shared" si="6"/>
        <v>2990.3333333333339</v>
      </c>
      <c r="M45" s="43"/>
      <c r="N45" s="42">
        <f t="shared" si="7"/>
        <v>10924.5</v>
      </c>
      <c r="O45" s="42">
        <f t="shared" si="9"/>
        <v>-3642.5</v>
      </c>
      <c r="P45" s="42">
        <f t="shared" si="10"/>
        <v>13267806.25</v>
      </c>
      <c r="Q45" s="42">
        <f t="shared" si="8"/>
        <v>3642.5</v>
      </c>
      <c r="R45" s="43"/>
      <c r="S45" s="42">
        <f t="shared" si="11"/>
        <v>10414.6</v>
      </c>
      <c r="T45" s="42">
        <f t="shared" si="13"/>
        <v>-3132.6000000000004</v>
      </c>
      <c r="U45" s="42">
        <f t="shared" si="14"/>
        <v>9813182.7600000016</v>
      </c>
      <c r="V45" s="42">
        <f t="shared" si="12"/>
        <v>3132.6000000000004</v>
      </c>
      <c r="W45" s="43"/>
      <c r="X45" s="42">
        <f t="shared" si="15"/>
        <v>10412.666666666666</v>
      </c>
      <c r="Y45" s="42">
        <f t="shared" si="18"/>
        <v>-3130.6666666666661</v>
      </c>
      <c r="Z45" s="42">
        <f t="shared" si="19"/>
        <v>9801073.7777777743</v>
      </c>
      <c r="AA45" s="42">
        <f t="shared" si="16"/>
        <v>3130.6666666666661</v>
      </c>
      <c r="AB45" s="43"/>
      <c r="AC45" s="42">
        <f t="shared" si="20"/>
        <v>9690.8571428571431</v>
      </c>
      <c r="AD45" s="42">
        <f t="shared" si="22"/>
        <v>-2408.8571428571431</v>
      </c>
      <c r="AE45" s="42">
        <f t="shared" si="23"/>
        <v>5802592.7346938793</v>
      </c>
      <c r="AF45" s="42">
        <f t="shared" si="21"/>
        <v>2408.8571428571431</v>
      </c>
      <c r="AG45" s="43"/>
      <c r="AH45" s="42">
        <f t="shared" si="24"/>
        <v>9219.5</v>
      </c>
      <c r="AI45" s="42">
        <f t="shared" si="27"/>
        <v>-1937.5</v>
      </c>
      <c r="AJ45" s="42">
        <f t="shared" si="25"/>
        <v>3753906.25</v>
      </c>
      <c r="AK45" s="42">
        <f t="shared" si="26"/>
        <v>1937.5</v>
      </c>
      <c r="AL45" s="43"/>
      <c r="AM45" s="42">
        <f t="shared" si="28"/>
        <v>8883</v>
      </c>
      <c r="AN45" s="42">
        <f t="shared" si="31"/>
        <v>-1601</v>
      </c>
      <c r="AO45" s="42">
        <f t="shared" si="29"/>
        <v>2563201</v>
      </c>
      <c r="AP45" s="42">
        <f t="shared" si="30"/>
        <v>1601</v>
      </c>
      <c r="AQ45" s="43"/>
      <c r="AR45" s="42">
        <f t="shared" si="32"/>
        <v>8945.1</v>
      </c>
      <c r="AS45" s="42">
        <f t="shared" si="34"/>
        <v>-1663.1000000000004</v>
      </c>
      <c r="AT45" s="42">
        <f t="shared" si="35"/>
        <v>2765901.6100000013</v>
      </c>
      <c r="AU45" s="42">
        <f t="shared" si="45"/>
        <v>1663.1000000000004</v>
      </c>
      <c r="AV45" s="43"/>
      <c r="AW45" s="42">
        <f t="shared" si="36"/>
        <v>9326.0909090909099</v>
      </c>
      <c r="AX45" s="42">
        <f t="shared" si="39"/>
        <v>-2044.0909090909099</v>
      </c>
      <c r="AY45" s="42">
        <f t="shared" si="37"/>
        <v>4178307.6446281024</v>
      </c>
      <c r="AZ45" s="42">
        <f t="shared" si="38"/>
        <v>2044.0909090909099</v>
      </c>
      <c r="BA45" s="43"/>
      <c r="BB45" s="44">
        <f t="shared" si="46"/>
        <v>9413.1666666666661</v>
      </c>
      <c r="BC45" s="42">
        <f t="shared" si="43"/>
        <v>-2131.1666666666661</v>
      </c>
      <c r="BD45" s="42">
        <f t="shared" si="40"/>
        <v>4541871.3611111082</v>
      </c>
      <c r="BE45" s="42">
        <f t="shared" si="41"/>
        <v>2131.1666666666661</v>
      </c>
    </row>
    <row r="46" spans="1:57" ht="18" x14ac:dyDescent="0.2">
      <c r="A46" s="7">
        <v>39630</v>
      </c>
      <c r="B46" s="17">
        <v>7486</v>
      </c>
      <c r="D46" s="42">
        <f t="shared" si="47"/>
        <v>7865.5</v>
      </c>
      <c r="E46" s="42">
        <f t="shared" si="44"/>
        <v>-379.5</v>
      </c>
      <c r="F46" s="42">
        <f t="shared" si="0"/>
        <v>144020.25</v>
      </c>
      <c r="G46" s="42">
        <f t="shared" si="1"/>
        <v>379.5</v>
      </c>
      <c r="H46" s="43"/>
      <c r="I46" s="42">
        <f t="shared" si="2"/>
        <v>9310.3333333333339</v>
      </c>
      <c r="J46" s="42">
        <f t="shared" si="4"/>
        <v>-1824.3333333333339</v>
      </c>
      <c r="K46" s="42">
        <f t="shared" si="5"/>
        <v>3328192.1111111133</v>
      </c>
      <c r="L46" s="42">
        <f t="shared" si="6"/>
        <v>1824.3333333333339</v>
      </c>
      <c r="M46" s="43"/>
      <c r="N46" s="42">
        <f t="shared" si="7"/>
        <v>9524.75</v>
      </c>
      <c r="O46" s="42">
        <f t="shared" si="9"/>
        <v>-2038.75</v>
      </c>
      <c r="P46" s="42">
        <f t="shared" si="10"/>
        <v>4156501.5625</v>
      </c>
      <c r="Q46" s="42">
        <f t="shared" si="8"/>
        <v>2038.75</v>
      </c>
      <c r="R46" s="43"/>
      <c r="S46" s="42">
        <f t="shared" si="11"/>
        <v>10196</v>
      </c>
      <c r="T46" s="42">
        <f t="shared" si="13"/>
        <v>-2710</v>
      </c>
      <c r="U46" s="42">
        <f t="shared" si="14"/>
        <v>7344100</v>
      </c>
      <c r="V46" s="42">
        <f t="shared" si="12"/>
        <v>2710</v>
      </c>
      <c r="W46" s="43"/>
      <c r="X46" s="42">
        <f t="shared" si="15"/>
        <v>9892.5</v>
      </c>
      <c r="Y46" s="42">
        <f t="shared" si="18"/>
        <v>-2406.5</v>
      </c>
      <c r="Z46" s="42">
        <f t="shared" si="19"/>
        <v>5791242.25</v>
      </c>
      <c r="AA46" s="42">
        <f t="shared" si="16"/>
        <v>2406.5</v>
      </c>
      <c r="AB46" s="43"/>
      <c r="AC46" s="42">
        <f t="shared" si="20"/>
        <v>9965.4285714285706</v>
      </c>
      <c r="AD46" s="42">
        <f t="shared" si="22"/>
        <v>-2479.4285714285706</v>
      </c>
      <c r="AE46" s="42">
        <f t="shared" si="23"/>
        <v>6147566.0408163229</v>
      </c>
      <c r="AF46" s="42">
        <f t="shared" si="21"/>
        <v>2479.4285714285706</v>
      </c>
      <c r="AG46" s="43"/>
      <c r="AH46" s="42">
        <f t="shared" si="24"/>
        <v>9389.75</v>
      </c>
      <c r="AI46" s="42">
        <f t="shared" si="27"/>
        <v>-1903.75</v>
      </c>
      <c r="AJ46" s="42">
        <f t="shared" si="25"/>
        <v>3624264.0625</v>
      </c>
      <c r="AK46" s="42">
        <f t="shared" si="26"/>
        <v>1903.75</v>
      </c>
      <c r="AL46" s="43"/>
      <c r="AM46" s="42">
        <f t="shared" si="28"/>
        <v>9004.2222222222226</v>
      </c>
      <c r="AN46" s="42">
        <f t="shared" si="31"/>
        <v>-1518.2222222222226</v>
      </c>
      <c r="AO46" s="42">
        <f t="shared" si="29"/>
        <v>2304998.7160493839</v>
      </c>
      <c r="AP46" s="42">
        <f t="shared" si="30"/>
        <v>1518.2222222222226</v>
      </c>
      <c r="AQ46" s="43"/>
      <c r="AR46" s="42">
        <f t="shared" si="32"/>
        <v>8722.9</v>
      </c>
      <c r="AS46" s="42">
        <f t="shared" si="34"/>
        <v>-1236.8999999999996</v>
      </c>
      <c r="AT46" s="42">
        <f t="shared" si="35"/>
        <v>1529921.6099999992</v>
      </c>
      <c r="AU46" s="42">
        <f t="shared" si="45"/>
        <v>1236.8999999999996</v>
      </c>
      <c r="AV46" s="43"/>
      <c r="AW46" s="42">
        <f t="shared" si="36"/>
        <v>8793.9090909090901</v>
      </c>
      <c r="AX46" s="42">
        <f t="shared" si="39"/>
        <v>-1307.9090909090901</v>
      </c>
      <c r="AY46" s="42">
        <f t="shared" si="37"/>
        <v>1710626.1900826425</v>
      </c>
      <c r="AZ46" s="42">
        <f t="shared" si="38"/>
        <v>1307.9090909090901</v>
      </c>
      <c r="BA46" s="43"/>
      <c r="BB46" s="44">
        <f t="shared" si="46"/>
        <v>9155.75</v>
      </c>
      <c r="BC46" s="42">
        <f t="shared" si="43"/>
        <v>-1669.75</v>
      </c>
      <c r="BD46" s="42">
        <f t="shared" si="40"/>
        <v>2788065.0625</v>
      </c>
      <c r="BE46" s="42">
        <f t="shared" si="41"/>
        <v>1669.75</v>
      </c>
    </row>
    <row r="47" spans="1:57" ht="18" x14ac:dyDescent="0.2">
      <c r="A47" s="7">
        <v>39661</v>
      </c>
      <c r="B47" s="17">
        <v>11276</v>
      </c>
      <c r="D47" s="42">
        <f t="shared" si="47"/>
        <v>7384</v>
      </c>
      <c r="E47" s="42">
        <f t="shared" si="44"/>
        <v>3892</v>
      </c>
      <c r="F47" s="42">
        <f t="shared" si="0"/>
        <v>15147664</v>
      </c>
      <c r="G47" s="42">
        <f t="shared" si="1"/>
        <v>3892</v>
      </c>
      <c r="H47" s="43"/>
      <c r="I47" s="42">
        <f t="shared" si="2"/>
        <v>7739</v>
      </c>
      <c r="J47" s="42">
        <f t="shared" si="4"/>
        <v>3537</v>
      </c>
      <c r="K47" s="42">
        <f t="shared" si="5"/>
        <v>12510369</v>
      </c>
      <c r="L47" s="42">
        <f t="shared" si="6"/>
        <v>3537</v>
      </c>
      <c r="M47" s="43"/>
      <c r="N47" s="42">
        <f t="shared" si="7"/>
        <v>8854.25</v>
      </c>
      <c r="O47" s="42">
        <f t="shared" si="9"/>
        <v>2421.75</v>
      </c>
      <c r="P47" s="42">
        <f t="shared" si="10"/>
        <v>5864873.0625</v>
      </c>
      <c r="Q47" s="42">
        <f t="shared" si="8"/>
        <v>2421.75</v>
      </c>
      <c r="R47" s="43"/>
      <c r="S47" s="42">
        <f t="shared" si="11"/>
        <v>9117</v>
      </c>
      <c r="T47" s="42">
        <f t="shared" si="13"/>
        <v>2159</v>
      </c>
      <c r="U47" s="42">
        <f t="shared" si="14"/>
        <v>4661281</v>
      </c>
      <c r="V47" s="42">
        <f t="shared" si="12"/>
        <v>2159</v>
      </c>
      <c r="W47" s="43"/>
      <c r="X47" s="42">
        <f t="shared" si="15"/>
        <v>9744.3333333333339</v>
      </c>
      <c r="Y47" s="42">
        <f t="shared" si="18"/>
        <v>1531.6666666666661</v>
      </c>
      <c r="Z47" s="42">
        <f t="shared" si="19"/>
        <v>2346002.7777777761</v>
      </c>
      <c r="AA47" s="42">
        <f t="shared" si="16"/>
        <v>1531.6666666666661</v>
      </c>
      <c r="AB47" s="43"/>
      <c r="AC47" s="42">
        <f t="shared" si="20"/>
        <v>9548.7142857142862</v>
      </c>
      <c r="AD47" s="42">
        <f t="shared" si="22"/>
        <v>1727.2857142857138</v>
      </c>
      <c r="AE47" s="42">
        <f t="shared" si="23"/>
        <v>2983515.9387755082</v>
      </c>
      <c r="AF47" s="42">
        <f t="shared" si="21"/>
        <v>1727.2857142857138</v>
      </c>
      <c r="AG47" s="43"/>
      <c r="AH47" s="42">
        <f t="shared" si="24"/>
        <v>9655.5</v>
      </c>
      <c r="AI47" s="42">
        <f t="shared" si="27"/>
        <v>1620.5</v>
      </c>
      <c r="AJ47" s="42">
        <f t="shared" si="25"/>
        <v>2626020.25</v>
      </c>
      <c r="AK47" s="42">
        <f t="shared" si="26"/>
        <v>1620.5</v>
      </c>
      <c r="AL47" s="43"/>
      <c r="AM47" s="42">
        <f t="shared" si="28"/>
        <v>9178.2222222222226</v>
      </c>
      <c r="AN47" s="42">
        <f t="shared" si="31"/>
        <v>2097.7777777777774</v>
      </c>
      <c r="AO47" s="42">
        <f t="shared" si="29"/>
        <v>4400671.6049382696</v>
      </c>
      <c r="AP47" s="42">
        <f t="shared" si="30"/>
        <v>2097.7777777777774</v>
      </c>
      <c r="AQ47" s="43"/>
      <c r="AR47" s="42">
        <f t="shared" si="32"/>
        <v>8852.4</v>
      </c>
      <c r="AS47" s="42">
        <f t="shared" si="34"/>
        <v>2423.6000000000004</v>
      </c>
      <c r="AT47" s="42">
        <f t="shared" si="35"/>
        <v>5873836.9600000018</v>
      </c>
      <c r="AU47" s="42">
        <f t="shared" si="45"/>
        <v>2423.6000000000004</v>
      </c>
      <c r="AV47" s="43"/>
      <c r="AW47" s="42">
        <f t="shared" si="36"/>
        <v>8610.454545454546</v>
      </c>
      <c r="AX47" s="42">
        <f t="shared" si="39"/>
        <v>2665.545454545454</v>
      </c>
      <c r="AY47" s="42">
        <f t="shared" si="37"/>
        <v>7105132.5702479314</v>
      </c>
      <c r="AZ47" s="42">
        <f t="shared" si="38"/>
        <v>2665.545454545454</v>
      </c>
      <c r="BA47" s="43"/>
      <c r="BB47" s="44">
        <f t="shared" si="46"/>
        <v>8684.9166666666661</v>
      </c>
      <c r="BC47" s="42">
        <f t="shared" si="43"/>
        <v>2591.0833333333339</v>
      </c>
      <c r="BD47" s="42">
        <f t="shared" si="40"/>
        <v>6713712.8402777808</v>
      </c>
      <c r="BE47" s="42">
        <f t="shared" si="41"/>
        <v>2591.0833333333339</v>
      </c>
    </row>
    <row r="48" spans="1:57" ht="18" x14ac:dyDescent="0.2">
      <c r="A48" s="7">
        <v>39692</v>
      </c>
      <c r="B48" s="17">
        <v>5192</v>
      </c>
      <c r="D48" s="42">
        <f t="shared" si="47"/>
        <v>9381</v>
      </c>
      <c r="E48" s="42">
        <f t="shared" si="44"/>
        <v>-4189</v>
      </c>
      <c r="F48" s="42">
        <f t="shared" si="0"/>
        <v>17547721</v>
      </c>
      <c r="G48" s="42">
        <f t="shared" si="1"/>
        <v>4189</v>
      </c>
      <c r="H48" s="43"/>
      <c r="I48" s="42">
        <f t="shared" si="2"/>
        <v>8681.3333333333339</v>
      </c>
      <c r="J48" s="42">
        <f t="shared" si="4"/>
        <v>-3489.3333333333339</v>
      </c>
      <c r="K48" s="42">
        <f t="shared" si="5"/>
        <v>12175447.111111116</v>
      </c>
      <c r="L48" s="42">
        <f t="shared" si="6"/>
        <v>3489.3333333333339</v>
      </c>
      <c r="M48" s="43"/>
      <c r="N48" s="42">
        <f t="shared" si="7"/>
        <v>8623.25</v>
      </c>
      <c r="O48" s="42">
        <f t="shared" si="9"/>
        <v>-3431.25</v>
      </c>
      <c r="P48" s="42">
        <f t="shared" si="10"/>
        <v>11773476.5625</v>
      </c>
      <c r="Q48" s="42">
        <f t="shared" si="8"/>
        <v>3431.25</v>
      </c>
      <c r="R48" s="43"/>
      <c r="S48" s="42">
        <f t="shared" si="11"/>
        <v>9338.6</v>
      </c>
      <c r="T48" s="42">
        <f t="shared" si="13"/>
        <v>-4146.6000000000004</v>
      </c>
      <c r="U48" s="42">
        <f t="shared" si="14"/>
        <v>17194291.560000002</v>
      </c>
      <c r="V48" s="42">
        <f t="shared" si="12"/>
        <v>4146.6000000000004</v>
      </c>
      <c r="W48" s="43"/>
      <c r="X48" s="42">
        <f t="shared" si="15"/>
        <v>9476.8333333333339</v>
      </c>
      <c r="Y48" s="42">
        <f t="shared" si="18"/>
        <v>-4284.8333333333339</v>
      </c>
      <c r="Z48" s="42">
        <f t="shared" si="19"/>
        <v>18359796.694444451</v>
      </c>
      <c r="AA48" s="42">
        <f t="shared" si="16"/>
        <v>4284.8333333333339</v>
      </c>
      <c r="AB48" s="43"/>
      <c r="AC48" s="42">
        <f t="shared" si="20"/>
        <v>9963.1428571428569</v>
      </c>
      <c r="AD48" s="42">
        <f t="shared" si="22"/>
        <v>-4771.1428571428569</v>
      </c>
      <c r="AE48" s="42">
        <f t="shared" si="23"/>
        <v>22763804.163265303</v>
      </c>
      <c r="AF48" s="42">
        <f t="shared" si="21"/>
        <v>4771.1428571428569</v>
      </c>
      <c r="AG48" s="43"/>
      <c r="AH48" s="42">
        <f t="shared" si="24"/>
        <v>9764.625</v>
      </c>
      <c r="AI48" s="42">
        <f t="shared" si="27"/>
        <v>-4572.625</v>
      </c>
      <c r="AJ48" s="42">
        <f t="shared" si="25"/>
        <v>20908899.390625</v>
      </c>
      <c r="AK48" s="42">
        <f t="shared" si="26"/>
        <v>4572.625</v>
      </c>
      <c r="AL48" s="43"/>
      <c r="AM48" s="42">
        <f t="shared" si="28"/>
        <v>9835.5555555555547</v>
      </c>
      <c r="AN48" s="42">
        <f t="shared" si="31"/>
        <v>-4643.5555555555547</v>
      </c>
      <c r="AO48" s="42">
        <f t="shared" si="29"/>
        <v>21562608.197530858</v>
      </c>
      <c r="AP48" s="42">
        <f t="shared" si="30"/>
        <v>4643.5555555555547</v>
      </c>
      <c r="AQ48" s="43"/>
      <c r="AR48" s="42">
        <f t="shared" si="32"/>
        <v>9388</v>
      </c>
      <c r="AS48" s="42">
        <f t="shared" si="34"/>
        <v>-4196</v>
      </c>
      <c r="AT48" s="42">
        <f t="shared" si="35"/>
        <v>17606416</v>
      </c>
      <c r="AU48" s="42">
        <f t="shared" si="45"/>
        <v>4196</v>
      </c>
      <c r="AV48" s="43"/>
      <c r="AW48" s="42">
        <f t="shared" si="36"/>
        <v>9072.7272727272721</v>
      </c>
      <c r="AX48" s="42">
        <f t="shared" si="39"/>
        <v>-3880.7272727272721</v>
      </c>
      <c r="AY48" s="42">
        <f t="shared" si="37"/>
        <v>15060044.165289251</v>
      </c>
      <c r="AZ48" s="42">
        <f t="shared" si="38"/>
        <v>3880.7272727272721</v>
      </c>
      <c r="BA48" s="43"/>
      <c r="BB48" s="44">
        <f t="shared" si="46"/>
        <v>8832.5833333333339</v>
      </c>
      <c r="BC48" s="42">
        <f t="shared" si="43"/>
        <v>-3640.5833333333339</v>
      </c>
      <c r="BD48" s="42">
        <f t="shared" si="40"/>
        <v>13253847.00694445</v>
      </c>
      <c r="BE48" s="42">
        <f t="shared" si="41"/>
        <v>3640.5833333333339</v>
      </c>
    </row>
    <row r="49" spans="1:57" ht="18" x14ac:dyDescent="0.2">
      <c r="A49" s="7">
        <v>39722</v>
      </c>
      <c r="B49" s="17">
        <v>4980</v>
      </c>
      <c r="D49" s="42">
        <f t="shared" si="47"/>
        <v>8234</v>
      </c>
      <c r="E49" s="42">
        <f t="shared" si="44"/>
        <v>-3254</v>
      </c>
      <c r="F49" s="42">
        <f t="shared" si="0"/>
        <v>10588516</v>
      </c>
      <c r="G49" s="42">
        <f t="shared" si="1"/>
        <v>3254</v>
      </c>
      <c r="H49" s="43"/>
      <c r="I49" s="42">
        <f t="shared" si="2"/>
        <v>7984.666666666667</v>
      </c>
      <c r="J49" s="42">
        <f t="shared" si="4"/>
        <v>-3004.666666666667</v>
      </c>
      <c r="K49" s="42">
        <f t="shared" si="5"/>
        <v>9028021.7777777798</v>
      </c>
      <c r="L49" s="42">
        <f t="shared" si="6"/>
        <v>3004.666666666667</v>
      </c>
      <c r="M49" s="43"/>
      <c r="N49" s="42">
        <f t="shared" si="7"/>
        <v>7809</v>
      </c>
      <c r="O49" s="42">
        <f t="shared" si="9"/>
        <v>-2829</v>
      </c>
      <c r="P49" s="42">
        <f t="shared" si="10"/>
        <v>8003241</v>
      </c>
      <c r="Q49" s="42">
        <f t="shared" si="8"/>
        <v>2829</v>
      </c>
      <c r="R49" s="43"/>
      <c r="S49" s="42">
        <f t="shared" si="11"/>
        <v>7937</v>
      </c>
      <c r="T49" s="42">
        <f t="shared" si="13"/>
        <v>-2957</v>
      </c>
      <c r="U49" s="42">
        <f t="shared" si="14"/>
        <v>8743849</v>
      </c>
      <c r="V49" s="42">
        <f t="shared" si="12"/>
        <v>2957</v>
      </c>
      <c r="W49" s="43"/>
      <c r="X49" s="42">
        <f t="shared" si="15"/>
        <v>8647.5</v>
      </c>
      <c r="Y49" s="42">
        <f t="shared" si="18"/>
        <v>-3667.5</v>
      </c>
      <c r="Z49" s="42">
        <f t="shared" si="19"/>
        <v>13450556.25</v>
      </c>
      <c r="AA49" s="42">
        <f t="shared" si="16"/>
        <v>3667.5</v>
      </c>
      <c r="AB49" s="43"/>
      <c r="AC49" s="42">
        <f t="shared" si="20"/>
        <v>8864.7142857142862</v>
      </c>
      <c r="AD49" s="42">
        <f t="shared" si="22"/>
        <v>-3884.7142857142862</v>
      </c>
      <c r="AE49" s="42">
        <f t="shared" si="23"/>
        <v>15091005.081632657</v>
      </c>
      <c r="AF49" s="42">
        <f t="shared" si="21"/>
        <v>3884.7142857142862</v>
      </c>
      <c r="AG49" s="43"/>
      <c r="AH49" s="42">
        <f t="shared" si="24"/>
        <v>9366.75</v>
      </c>
      <c r="AI49" s="42">
        <f t="shared" si="27"/>
        <v>-4386.75</v>
      </c>
      <c r="AJ49" s="42">
        <f t="shared" si="25"/>
        <v>19243575.5625</v>
      </c>
      <c r="AK49" s="42">
        <f t="shared" si="26"/>
        <v>4386.75</v>
      </c>
      <c r="AL49" s="43"/>
      <c r="AM49" s="42">
        <f t="shared" si="28"/>
        <v>9256.5555555555547</v>
      </c>
      <c r="AN49" s="42">
        <f t="shared" si="31"/>
        <v>-4276.5555555555547</v>
      </c>
      <c r="AO49" s="42">
        <f t="shared" si="29"/>
        <v>18288927.419753078</v>
      </c>
      <c r="AP49" s="42">
        <f t="shared" si="30"/>
        <v>4276.5555555555547</v>
      </c>
      <c r="AQ49" s="43"/>
      <c r="AR49" s="42">
        <f t="shared" si="32"/>
        <v>9371.2000000000007</v>
      </c>
      <c r="AS49" s="42">
        <f t="shared" si="34"/>
        <v>-4391.2000000000007</v>
      </c>
      <c r="AT49" s="42">
        <f t="shared" si="35"/>
        <v>19282637.440000005</v>
      </c>
      <c r="AU49" s="42">
        <f t="shared" si="45"/>
        <v>4391.2000000000007</v>
      </c>
      <c r="AV49" s="43"/>
      <c r="AW49" s="42">
        <f t="shared" si="36"/>
        <v>9006.545454545454</v>
      </c>
      <c r="AX49" s="42">
        <f t="shared" si="39"/>
        <v>-4026.545454545454</v>
      </c>
      <c r="AY49" s="42">
        <f t="shared" si="37"/>
        <v>16213068.297520658</v>
      </c>
      <c r="AZ49" s="42">
        <f t="shared" si="38"/>
        <v>4026.545454545454</v>
      </c>
      <c r="BA49" s="43"/>
      <c r="BB49" s="44">
        <f t="shared" si="46"/>
        <v>8749.3333333333339</v>
      </c>
      <c r="BC49" s="42">
        <f t="shared" si="43"/>
        <v>-3769.3333333333339</v>
      </c>
      <c r="BD49" s="42">
        <f t="shared" si="40"/>
        <v>14207873.777777782</v>
      </c>
      <c r="BE49" s="42">
        <f t="shared" si="41"/>
        <v>3769.3333333333339</v>
      </c>
    </row>
    <row r="50" spans="1:57" ht="18" x14ac:dyDescent="0.2">
      <c r="A50" s="7">
        <v>39753</v>
      </c>
      <c r="B50" s="17">
        <v>5601</v>
      </c>
      <c r="D50" s="42">
        <f t="shared" si="47"/>
        <v>5086</v>
      </c>
      <c r="E50" s="42">
        <f t="shared" si="44"/>
        <v>515</v>
      </c>
      <c r="F50" s="42">
        <f t="shared" si="0"/>
        <v>265225</v>
      </c>
      <c r="G50" s="42">
        <f t="shared" si="1"/>
        <v>515</v>
      </c>
      <c r="H50" s="43"/>
      <c r="I50" s="42">
        <f t="shared" si="2"/>
        <v>7149.333333333333</v>
      </c>
      <c r="J50" s="42">
        <f t="shared" si="4"/>
        <v>-1548.333333333333</v>
      </c>
      <c r="K50" s="42">
        <f t="shared" si="5"/>
        <v>2397336.1111111101</v>
      </c>
      <c r="L50" s="42">
        <f t="shared" si="6"/>
        <v>1548.333333333333</v>
      </c>
      <c r="M50" s="43"/>
      <c r="N50" s="42">
        <f t="shared" si="7"/>
        <v>7233.5</v>
      </c>
      <c r="O50" s="42">
        <f t="shared" si="9"/>
        <v>-1632.5</v>
      </c>
      <c r="P50" s="42">
        <f t="shared" si="10"/>
        <v>2665056.25</v>
      </c>
      <c r="Q50" s="42">
        <f t="shared" si="8"/>
        <v>1632.5</v>
      </c>
      <c r="R50" s="43"/>
      <c r="S50" s="42">
        <f t="shared" si="11"/>
        <v>7243.2</v>
      </c>
      <c r="T50" s="42">
        <f t="shared" si="13"/>
        <v>-1642.1999999999998</v>
      </c>
      <c r="U50" s="42">
        <f t="shared" si="14"/>
        <v>2696820.8399999994</v>
      </c>
      <c r="V50" s="42">
        <f t="shared" si="12"/>
        <v>1642.1999999999998</v>
      </c>
      <c r="W50" s="43"/>
      <c r="X50" s="42">
        <f t="shared" si="15"/>
        <v>7444.166666666667</v>
      </c>
      <c r="Y50" s="42">
        <f t="shared" si="18"/>
        <v>-1843.166666666667</v>
      </c>
      <c r="Z50" s="42">
        <f t="shared" si="19"/>
        <v>3397263.3611111124</v>
      </c>
      <c r="AA50" s="42">
        <f t="shared" si="16"/>
        <v>1843.166666666667</v>
      </c>
      <c r="AB50" s="43"/>
      <c r="AC50" s="42">
        <f t="shared" si="20"/>
        <v>8123.5714285714284</v>
      </c>
      <c r="AD50" s="42">
        <f t="shared" si="22"/>
        <v>-2522.5714285714284</v>
      </c>
      <c r="AE50" s="42">
        <f t="shared" si="23"/>
        <v>6363366.6122448975</v>
      </c>
      <c r="AF50" s="42">
        <f t="shared" si="21"/>
        <v>2522.5714285714284</v>
      </c>
      <c r="AG50" s="43"/>
      <c r="AH50" s="42">
        <f t="shared" si="24"/>
        <v>8379.125</v>
      </c>
      <c r="AI50" s="42">
        <f t="shared" si="27"/>
        <v>-2778.125</v>
      </c>
      <c r="AJ50" s="42">
        <f t="shared" si="25"/>
        <v>7717978.515625</v>
      </c>
      <c r="AK50" s="42">
        <f t="shared" si="26"/>
        <v>2778.125</v>
      </c>
      <c r="AL50" s="43"/>
      <c r="AM50" s="42">
        <f t="shared" si="28"/>
        <v>8879.3333333333339</v>
      </c>
      <c r="AN50" s="42">
        <f t="shared" si="31"/>
        <v>-3278.3333333333339</v>
      </c>
      <c r="AO50" s="42">
        <f t="shared" si="29"/>
        <v>10747469.444444448</v>
      </c>
      <c r="AP50" s="42">
        <f t="shared" si="30"/>
        <v>3278.3333333333339</v>
      </c>
      <c r="AQ50" s="43"/>
      <c r="AR50" s="42">
        <f t="shared" si="32"/>
        <v>8828.9</v>
      </c>
      <c r="AS50" s="42">
        <f t="shared" si="34"/>
        <v>-3227.8999999999996</v>
      </c>
      <c r="AT50" s="42">
        <f t="shared" si="35"/>
        <v>10419338.409999998</v>
      </c>
      <c r="AU50" s="42">
        <f t="shared" si="45"/>
        <v>3227.8999999999996</v>
      </c>
      <c r="AV50" s="43"/>
      <c r="AW50" s="42">
        <f t="shared" si="36"/>
        <v>8972</v>
      </c>
      <c r="AX50" s="42">
        <f t="shared" si="39"/>
        <v>-3371</v>
      </c>
      <c r="AY50" s="42">
        <f t="shared" si="37"/>
        <v>11363641</v>
      </c>
      <c r="AZ50" s="42">
        <f t="shared" si="38"/>
        <v>3371</v>
      </c>
      <c r="BA50" s="43"/>
      <c r="BB50" s="44">
        <f t="shared" si="46"/>
        <v>8671</v>
      </c>
      <c r="BC50" s="42">
        <f t="shared" si="43"/>
        <v>-3070</v>
      </c>
      <c r="BD50" s="42">
        <f t="shared" si="40"/>
        <v>9424900</v>
      </c>
      <c r="BE50" s="42">
        <f t="shared" si="41"/>
        <v>3070</v>
      </c>
    </row>
    <row r="51" spans="1:57" ht="18" x14ac:dyDescent="0.2">
      <c r="A51" s="7">
        <v>39783</v>
      </c>
      <c r="B51" s="17">
        <v>6735</v>
      </c>
      <c r="D51" s="42">
        <f t="shared" si="47"/>
        <v>5290.5</v>
      </c>
      <c r="E51" s="42">
        <f t="shared" si="44"/>
        <v>1444.5</v>
      </c>
      <c r="F51" s="42">
        <f t="shared" si="0"/>
        <v>2086580.25</v>
      </c>
      <c r="G51" s="42">
        <f t="shared" si="1"/>
        <v>1444.5</v>
      </c>
      <c r="H51" s="43"/>
      <c r="I51" s="42">
        <f t="shared" si="2"/>
        <v>5257.666666666667</v>
      </c>
      <c r="J51" s="42">
        <f t="shared" si="4"/>
        <v>1477.333333333333</v>
      </c>
      <c r="K51" s="42">
        <f t="shared" si="5"/>
        <v>2182513.7777777771</v>
      </c>
      <c r="L51" s="42">
        <f t="shared" si="6"/>
        <v>1477.333333333333</v>
      </c>
      <c r="M51" s="43"/>
      <c r="N51" s="42">
        <f t="shared" si="7"/>
        <v>6762.25</v>
      </c>
      <c r="O51" s="42">
        <f t="shared" si="9"/>
        <v>-27.25</v>
      </c>
      <c r="P51" s="42">
        <f t="shared" si="10"/>
        <v>742.5625</v>
      </c>
      <c r="Q51" s="42">
        <f t="shared" si="8"/>
        <v>27.25</v>
      </c>
      <c r="R51" s="43"/>
      <c r="S51" s="42">
        <f t="shared" si="11"/>
        <v>6907</v>
      </c>
      <c r="T51" s="42">
        <f t="shared" si="13"/>
        <v>-172</v>
      </c>
      <c r="U51" s="42">
        <f t="shared" si="14"/>
        <v>29584</v>
      </c>
      <c r="V51" s="42">
        <f t="shared" si="12"/>
        <v>172</v>
      </c>
      <c r="W51" s="43"/>
      <c r="X51" s="42">
        <f t="shared" si="15"/>
        <v>6969.5</v>
      </c>
      <c r="Y51" s="42">
        <f t="shared" si="18"/>
        <v>-234.5</v>
      </c>
      <c r="Z51" s="42">
        <f t="shared" si="19"/>
        <v>54990.25</v>
      </c>
      <c r="AA51" s="42">
        <f t="shared" si="16"/>
        <v>234.5</v>
      </c>
      <c r="AB51" s="43"/>
      <c r="AC51" s="42">
        <f t="shared" si="20"/>
        <v>7180.8571428571431</v>
      </c>
      <c r="AD51" s="42">
        <f t="shared" si="22"/>
        <v>-445.85714285714312</v>
      </c>
      <c r="AE51" s="42">
        <f t="shared" si="23"/>
        <v>198788.59183673494</v>
      </c>
      <c r="AF51" s="42">
        <f t="shared" si="21"/>
        <v>445.85714285714312</v>
      </c>
      <c r="AG51" s="43"/>
      <c r="AH51" s="42">
        <f t="shared" si="24"/>
        <v>7808.25</v>
      </c>
      <c r="AI51" s="42">
        <f t="shared" si="27"/>
        <v>-1073.25</v>
      </c>
      <c r="AJ51" s="42">
        <f t="shared" si="25"/>
        <v>1151865.5625</v>
      </c>
      <c r="AK51" s="42">
        <f t="shared" si="26"/>
        <v>1073.25</v>
      </c>
      <c r="AL51" s="43"/>
      <c r="AM51" s="42">
        <f t="shared" si="28"/>
        <v>8070.4444444444443</v>
      </c>
      <c r="AN51" s="42">
        <f t="shared" si="31"/>
        <v>-1335.4444444444443</v>
      </c>
      <c r="AO51" s="42">
        <f t="shared" si="29"/>
        <v>1783411.8641975306</v>
      </c>
      <c r="AP51" s="42">
        <f t="shared" si="30"/>
        <v>1335.4444444444443</v>
      </c>
      <c r="AQ51" s="43"/>
      <c r="AR51" s="42">
        <f t="shared" si="32"/>
        <v>8551.5</v>
      </c>
      <c r="AS51" s="42">
        <f t="shared" si="34"/>
        <v>-1816.5</v>
      </c>
      <c r="AT51" s="42">
        <f t="shared" si="35"/>
        <v>3299672.25</v>
      </c>
      <c r="AU51" s="42">
        <f t="shared" si="45"/>
        <v>1816.5</v>
      </c>
      <c r="AV51" s="43"/>
      <c r="AW51" s="42">
        <f t="shared" si="36"/>
        <v>8535.454545454546</v>
      </c>
      <c r="AX51" s="42">
        <f t="shared" si="39"/>
        <v>-1800.454545454546</v>
      </c>
      <c r="AY51" s="42">
        <f t="shared" si="37"/>
        <v>3241636.5702479356</v>
      </c>
      <c r="AZ51" s="42">
        <f t="shared" si="38"/>
        <v>1800.454545454546</v>
      </c>
      <c r="BA51" s="43"/>
      <c r="BB51" s="44">
        <f t="shared" si="46"/>
        <v>8691.0833333333339</v>
      </c>
      <c r="BC51" s="42">
        <f t="shared" si="43"/>
        <v>-1956.0833333333339</v>
      </c>
      <c r="BD51" s="42">
        <f t="shared" si="40"/>
        <v>3826262.0069444468</v>
      </c>
      <c r="BE51" s="42">
        <f t="shared" si="41"/>
        <v>1956.0833333333339</v>
      </c>
    </row>
    <row r="52" spans="1:57" ht="18" x14ac:dyDescent="0.2">
      <c r="A52" s="7">
        <v>39814</v>
      </c>
      <c r="B52" s="17">
        <v>6679</v>
      </c>
      <c r="D52" s="42">
        <f t="shared" si="47"/>
        <v>6168</v>
      </c>
      <c r="E52" s="42">
        <f t="shared" si="44"/>
        <v>511</v>
      </c>
      <c r="F52" s="42">
        <f t="shared" si="0"/>
        <v>261121</v>
      </c>
      <c r="G52" s="42">
        <f t="shared" si="1"/>
        <v>511</v>
      </c>
      <c r="H52" s="43"/>
      <c r="I52" s="42">
        <f t="shared" si="2"/>
        <v>5772</v>
      </c>
      <c r="J52" s="42">
        <f t="shared" si="4"/>
        <v>907</v>
      </c>
      <c r="K52" s="42">
        <f t="shared" si="5"/>
        <v>822649</v>
      </c>
      <c r="L52" s="42">
        <f t="shared" si="6"/>
        <v>907</v>
      </c>
      <c r="M52" s="43"/>
      <c r="N52" s="42">
        <f t="shared" si="7"/>
        <v>5627</v>
      </c>
      <c r="O52" s="42">
        <f t="shared" si="9"/>
        <v>1052</v>
      </c>
      <c r="P52" s="42">
        <f t="shared" si="10"/>
        <v>1106704</v>
      </c>
      <c r="Q52" s="42">
        <f t="shared" si="8"/>
        <v>1052</v>
      </c>
      <c r="R52" s="43"/>
      <c r="S52" s="42">
        <f t="shared" si="11"/>
        <v>6756.8</v>
      </c>
      <c r="T52" s="42">
        <f t="shared" si="13"/>
        <v>-77.800000000000182</v>
      </c>
      <c r="U52" s="42">
        <f t="shared" si="14"/>
        <v>6052.8400000000283</v>
      </c>
      <c r="V52" s="42">
        <f t="shared" si="12"/>
        <v>77.800000000000182</v>
      </c>
      <c r="W52" s="43"/>
      <c r="X52" s="42">
        <f t="shared" si="15"/>
        <v>6878.333333333333</v>
      </c>
      <c r="Y52" s="42">
        <f t="shared" si="18"/>
        <v>-199.33333333333303</v>
      </c>
      <c r="Z52" s="42">
        <f t="shared" si="19"/>
        <v>39733.777777777657</v>
      </c>
      <c r="AA52" s="42">
        <f t="shared" si="16"/>
        <v>199.33333333333303</v>
      </c>
      <c r="AB52" s="43"/>
      <c r="AC52" s="42">
        <f t="shared" si="20"/>
        <v>6936</v>
      </c>
      <c r="AD52" s="42">
        <f t="shared" si="22"/>
        <v>-257</v>
      </c>
      <c r="AE52" s="42">
        <f t="shared" si="23"/>
        <v>66049</v>
      </c>
      <c r="AF52" s="42">
        <f t="shared" si="21"/>
        <v>257</v>
      </c>
      <c r="AG52" s="43"/>
      <c r="AH52" s="42">
        <f t="shared" si="24"/>
        <v>7125.125</v>
      </c>
      <c r="AI52" s="42">
        <f t="shared" si="27"/>
        <v>-446.125</v>
      </c>
      <c r="AJ52" s="42">
        <f t="shared" si="25"/>
        <v>199027.515625</v>
      </c>
      <c r="AK52" s="42">
        <f t="shared" si="26"/>
        <v>446.125</v>
      </c>
      <c r="AL52" s="43"/>
      <c r="AM52" s="42">
        <f t="shared" si="28"/>
        <v>7689</v>
      </c>
      <c r="AN52" s="42">
        <f t="shared" si="31"/>
        <v>-1010</v>
      </c>
      <c r="AO52" s="42">
        <f t="shared" si="29"/>
        <v>1020100</v>
      </c>
      <c r="AP52" s="42">
        <f t="shared" si="30"/>
        <v>1010</v>
      </c>
      <c r="AQ52" s="43"/>
      <c r="AR52" s="42">
        <f t="shared" si="32"/>
        <v>7936.9</v>
      </c>
      <c r="AS52" s="42">
        <f t="shared" si="34"/>
        <v>-1257.8999999999996</v>
      </c>
      <c r="AT52" s="42">
        <f t="shared" si="35"/>
        <v>1582312.409999999</v>
      </c>
      <c r="AU52" s="42">
        <f t="shared" si="45"/>
        <v>1257.8999999999996</v>
      </c>
      <c r="AV52" s="43"/>
      <c r="AW52" s="42">
        <f t="shared" si="36"/>
        <v>8386.363636363636</v>
      </c>
      <c r="AX52" s="42">
        <f t="shared" si="39"/>
        <v>-1707.363636363636</v>
      </c>
      <c r="AY52" s="42">
        <f t="shared" si="37"/>
        <v>2915090.5867768582</v>
      </c>
      <c r="AZ52" s="42">
        <f t="shared" si="38"/>
        <v>1707.363636363636</v>
      </c>
      <c r="BA52" s="43"/>
      <c r="BB52" s="44">
        <f t="shared" si="46"/>
        <v>8385.4166666666661</v>
      </c>
      <c r="BC52" s="42">
        <f t="shared" si="43"/>
        <v>-1706.4166666666661</v>
      </c>
      <c r="BD52" s="42">
        <f t="shared" si="40"/>
        <v>2911857.8402777757</v>
      </c>
      <c r="BE52" s="42">
        <f t="shared" si="41"/>
        <v>1706.4166666666661</v>
      </c>
    </row>
    <row r="53" spans="1:57" ht="18" x14ac:dyDescent="0.2">
      <c r="A53" s="7">
        <v>39845</v>
      </c>
      <c r="B53" s="17">
        <v>6678</v>
      </c>
      <c r="D53" s="42">
        <f t="shared" si="47"/>
        <v>6707</v>
      </c>
      <c r="E53" s="42">
        <f t="shared" si="44"/>
        <v>-29</v>
      </c>
      <c r="F53" s="42">
        <f t="shared" si="0"/>
        <v>841</v>
      </c>
      <c r="G53" s="42">
        <f t="shared" si="1"/>
        <v>29</v>
      </c>
      <c r="H53" s="43"/>
      <c r="I53" s="42">
        <f t="shared" si="2"/>
        <v>6338.333333333333</v>
      </c>
      <c r="J53" s="42">
        <f t="shared" si="4"/>
        <v>339.66666666666697</v>
      </c>
      <c r="K53" s="42">
        <f t="shared" si="5"/>
        <v>115373.44444444466</v>
      </c>
      <c r="L53" s="42">
        <f t="shared" si="6"/>
        <v>339.66666666666697</v>
      </c>
      <c r="M53" s="43"/>
      <c r="N53" s="42">
        <f t="shared" si="7"/>
        <v>5998.75</v>
      </c>
      <c r="O53" s="42">
        <f t="shared" si="9"/>
        <v>679.25</v>
      </c>
      <c r="P53" s="42">
        <f t="shared" si="10"/>
        <v>461380.5625</v>
      </c>
      <c r="Q53" s="42">
        <f t="shared" si="8"/>
        <v>679.25</v>
      </c>
      <c r="R53" s="43"/>
      <c r="S53" s="42">
        <f t="shared" si="11"/>
        <v>5837.4</v>
      </c>
      <c r="T53" s="42">
        <f t="shared" si="13"/>
        <v>840.60000000000036</v>
      </c>
      <c r="U53" s="42">
        <f t="shared" si="14"/>
        <v>706608.36000000057</v>
      </c>
      <c r="V53" s="42">
        <f t="shared" si="12"/>
        <v>840.60000000000036</v>
      </c>
      <c r="W53" s="43"/>
      <c r="X53" s="42">
        <f t="shared" si="15"/>
        <v>6743.833333333333</v>
      </c>
      <c r="Y53" s="42">
        <f t="shared" si="18"/>
        <v>-65.83333333333303</v>
      </c>
      <c r="Z53" s="42">
        <f t="shared" si="19"/>
        <v>4334.0277777777383</v>
      </c>
      <c r="AA53" s="42">
        <f t="shared" si="16"/>
        <v>65.83333333333303</v>
      </c>
      <c r="AB53" s="43"/>
      <c r="AC53" s="42">
        <f t="shared" si="20"/>
        <v>6849.8571428571431</v>
      </c>
      <c r="AD53" s="42">
        <f t="shared" si="22"/>
        <v>-171.85714285714312</v>
      </c>
      <c r="AE53" s="42">
        <f t="shared" si="23"/>
        <v>29534.877551020498</v>
      </c>
      <c r="AF53" s="42">
        <f t="shared" si="21"/>
        <v>171.85714285714312</v>
      </c>
      <c r="AG53" s="43"/>
      <c r="AH53" s="42">
        <f t="shared" si="24"/>
        <v>6903.875</v>
      </c>
      <c r="AI53" s="42">
        <f t="shared" si="27"/>
        <v>-225.875</v>
      </c>
      <c r="AJ53" s="42">
        <f t="shared" si="25"/>
        <v>51019.515625</v>
      </c>
      <c r="AK53" s="42">
        <f t="shared" si="26"/>
        <v>225.875</v>
      </c>
      <c r="AL53" s="43"/>
      <c r="AM53" s="42">
        <f t="shared" si="28"/>
        <v>7075.5555555555557</v>
      </c>
      <c r="AN53" s="42">
        <f t="shared" si="31"/>
        <v>-397.55555555555566</v>
      </c>
      <c r="AO53" s="42">
        <f t="shared" si="29"/>
        <v>158050.41975308649</v>
      </c>
      <c r="AP53" s="42">
        <f t="shared" si="30"/>
        <v>397.55555555555566</v>
      </c>
      <c r="AQ53" s="43"/>
      <c r="AR53" s="42">
        <f t="shared" si="32"/>
        <v>7588</v>
      </c>
      <c r="AS53" s="42">
        <f t="shared" si="34"/>
        <v>-910</v>
      </c>
      <c r="AT53" s="42">
        <f t="shared" si="35"/>
        <v>828100</v>
      </c>
      <c r="AU53" s="42">
        <f t="shared" si="45"/>
        <v>910</v>
      </c>
      <c r="AV53" s="43"/>
      <c r="AW53" s="42">
        <f t="shared" si="36"/>
        <v>7822.545454545455</v>
      </c>
      <c r="AX53" s="42">
        <f t="shared" si="39"/>
        <v>-1144.545454545455</v>
      </c>
      <c r="AY53" s="42">
        <f t="shared" si="37"/>
        <v>1309984.2975206622</v>
      </c>
      <c r="AZ53" s="42">
        <f t="shared" si="38"/>
        <v>1144.545454545455</v>
      </c>
      <c r="BA53" s="43"/>
      <c r="BB53" s="44">
        <f t="shared" si="46"/>
        <v>8244.0833333333339</v>
      </c>
      <c r="BC53" s="42">
        <f t="shared" si="43"/>
        <v>-1566.0833333333339</v>
      </c>
      <c r="BD53" s="42">
        <f t="shared" si="40"/>
        <v>2452617.0069444464</v>
      </c>
      <c r="BE53" s="42">
        <f t="shared" si="41"/>
        <v>1566.0833333333339</v>
      </c>
    </row>
    <row r="54" spans="1:57" ht="18" x14ac:dyDescent="0.2">
      <c r="A54" s="7">
        <v>39873</v>
      </c>
      <c r="B54" s="17">
        <v>6789</v>
      </c>
      <c r="D54" s="42">
        <f t="shared" si="47"/>
        <v>6678.5</v>
      </c>
      <c r="E54" s="42">
        <f t="shared" si="44"/>
        <v>110.5</v>
      </c>
      <c r="F54" s="42">
        <f t="shared" si="0"/>
        <v>12210.25</v>
      </c>
      <c r="G54" s="42">
        <f t="shared" si="1"/>
        <v>110.5</v>
      </c>
      <c r="H54" s="43"/>
      <c r="I54" s="42">
        <f t="shared" si="2"/>
        <v>6697.333333333333</v>
      </c>
      <c r="J54" s="42">
        <f t="shared" si="4"/>
        <v>91.66666666666697</v>
      </c>
      <c r="K54" s="42">
        <f t="shared" si="5"/>
        <v>8402.7777777778338</v>
      </c>
      <c r="L54" s="42">
        <f t="shared" si="6"/>
        <v>91.66666666666697</v>
      </c>
      <c r="M54" s="43"/>
      <c r="N54" s="42">
        <f t="shared" si="7"/>
        <v>6423.25</v>
      </c>
      <c r="O54" s="42">
        <f t="shared" si="9"/>
        <v>365.75</v>
      </c>
      <c r="P54" s="42">
        <f t="shared" si="10"/>
        <v>133773.0625</v>
      </c>
      <c r="Q54" s="42">
        <f t="shared" si="8"/>
        <v>365.75</v>
      </c>
      <c r="R54" s="43"/>
      <c r="S54" s="42">
        <f t="shared" si="11"/>
        <v>6134.6</v>
      </c>
      <c r="T54" s="42">
        <f t="shared" si="13"/>
        <v>654.39999999999964</v>
      </c>
      <c r="U54" s="42">
        <f t="shared" si="14"/>
        <v>428239.35999999952</v>
      </c>
      <c r="V54" s="42">
        <f t="shared" si="12"/>
        <v>654.39999999999964</v>
      </c>
      <c r="W54" s="43"/>
      <c r="X54" s="42">
        <f t="shared" si="15"/>
        <v>5977.5</v>
      </c>
      <c r="Y54" s="42">
        <f t="shared" si="18"/>
        <v>811.5</v>
      </c>
      <c r="Z54" s="42">
        <f t="shared" si="19"/>
        <v>658532.25</v>
      </c>
      <c r="AA54" s="42">
        <f t="shared" si="16"/>
        <v>811.5</v>
      </c>
      <c r="AB54" s="43"/>
      <c r="AC54" s="42">
        <f t="shared" si="20"/>
        <v>6734.4285714285716</v>
      </c>
      <c r="AD54" s="42">
        <f t="shared" si="22"/>
        <v>54.571428571428442</v>
      </c>
      <c r="AE54" s="42">
        <f t="shared" si="23"/>
        <v>2978.0408163265165</v>
      </c>
      <c r="AF54" s="42">
        <f t="shared" si="21"/>
        <v>54.571428571428442</v>
      </c>
      <c r="AG54" s="43"/>
      <c r="AH54" s="42">
        <f t="shared" si="24"/>
        <v>6828.375</v>
      </c>
      <c r="AI54" s="42">
        <f t="shared" si="27"/>
        <v>-39.375</v>
      </c>
      <c r="AJ54" s="42">
        <f t="shared" si="25"/>
        <v>1550.390625</v>
      </c>
      <c r="AK54" s="42">
        <f t="shared" si="26"/>
        <v>39.375</v>
      </c>
      <c r="AL54" s="43"/>
      <c r="AM54" s="42">
        <f t="shared" si="28"/>
        <v>6878.7777777777774</v>
      </c>
      <c r="AN54" s="42">
        <f t="shared" si="31"/>
        <v>-89.777777777777374</v>
      </c>
      <c r="AO54" s="42">
        <f t="shared" si="29"/>
        <v>8060.0493827159771</v>
      </c>
      <c r="AP54" s="42">
        <f t="shared" si="30"/>
        <v>89.777777777777374</v>
      </c>
      <c r="AQ54" s="43"/>
      <c r="AR54" s="42">
        <f t="shared" si="32"/>
        <v>7035.8</v>
      </c>
      <c r="AS54" s="42">
        <f t="shared" si="34"/>
        <v>-246.80000000000018</v>
      </c>
      <c r="AT54" s="42">
        <f t="shared" si="35"/>
        <v>60910.240000000093</v>
      </c>
      <c r="AU54" s="42">
        <f t="shared" si="45"/>
        <v>246.80000000000018</v>
      </c>
      <c r="AV54" s="43"/>
      <c r="AW54" s="42">
        <f t="shared" si="36"/>
        <v>7505.272727272727</v>
      </c>
      <c r="AX54" s="42">
        <f t="shared" si="39"/>
        <v>-716.27272727272702</v>
      </c>
      <c r="AY54" s="42">
        <f t="shared" si="37"/>
        <v>513046.61983471038</v>
      </c>
      <c r="AZ54" s="42">
        <f t="shared" si="38"/>
        <v>716.27272727272702</v>
      </c>
      <c r="BA54" s="43"/>
      <c r="BB54" s="44">
        <f t="shared" si="46"/>
        <v>7727.166666666667</v>
      </c>
      <c r="BC54" s="42">
        <f t="shared" si="43"/>
        <v>-938.16666666666697</v>
      </c>
      <c r="BD54" s="42">
        <f t="shared" si="40"/>
        <v>880156.69444444496</v>
      </c>
      <c r="BE54" s="42">
        <f t="shared" si="41"/>
        <v>938.16666666666697</v>
      </c>
    </row>
    <row r="55" spans="1:57" ht="18" x14ac:dyDescent="0.2">
      <c r="A55" s="7">
        <v>39904</v>
      </c>
      <c r="B55" s="17">
        <v>6569</v>
      </c>
      <c r="D55" s="42">
        <f t="shared" si="47"/>
        <v>6733.5</v>
      </c>
      <c r="E55" s="42">
        <f t="shared" si="44"/>
        <v>-164.5</v>
      </c>
      <c r="F55" s="42">
        <f t="shared" si="0"/>
        <v>27060.25</v>
      </c>
      <c r="G55" s="42">
        <f t="shared" si="1"/>
        <v>164.5</v>
      </c>
      <c r="H55" s="43"/>
      <c r="I55" s="42">
        <f t="shared" si="2"/>
        <v>6715.333333333333</v>
      </c>
      <c r="J55" s="42">
        <f t="shared" si="4"/>
        <v>-146.33333333333303</v>
      </c>
      <c r="K55" s="42">
        <f t="shared" si="5"/>
        <v>21413.444444444354</v>
      </c>
      <c r="L55" s="42">
        <f t="shared" si="6"/>
        <v>146.33333333333303</v>
      </c>
      <c r="M55" s="43"/>
      <c r="N55" s="42">
        <f t="shared" si="7"/>
        <v>6720.25</v>
      </c>
      <c r="O55" s="42">
        <f t="shared" si="9"/>
        <v>-151.25</v>
      </c>
      <c r="P55" s="42">
        <f t="shared" si="10"/>
        <v>22876.5625</v>
      </c>
      <c r="Q55" s="42">
        <f t="shared" si="8"/>
        <v>151.25</v>
      </c>
      <c r="R55" s="43"/>
      <c r="S55" s="42">
        <f t="shared" si="11"/>
        <v>6496.4</v>
      </c>
      <c r="T55" s="42">
        <f t="shared" si="13"/>
        <v>72.600000000000364</v>
      </c>
      <c r="U55" s="42">
        <f t="shared" si="14"/>
        <v>5270.760000000053</v>
      </c>
      <c r="V55" s="42">
        <f t="shared" si="12"/>
        <v>72.600000000000364</v>
      </c>
      <c r="W55" s="43"/>
      <c r="X55" s="42">
        <f t="shared" si="15"/>
        <v>6243.666666666667</v>
      </c>
      <c r="Y55" s="42">
        <f t="shared" si="18"/>
        <v>325.33333333333303</v>
      </c>
      <c r="Z55" s="42">
        <f t="shared" si="19"/>
        <v>105841.77777777758</v>
      </c>
      <c r="AA55" s="42">
        <f t="shared" si="16"/>
        <v>325.33333333333303</v>
      </c>
      <c r="AB55" s="43"/>
      <c r="AC55" s="42">
        <f t="shared" si="20"/>
        <v>6093.4285714285716</v>
      </c>
      <c r="AD55" s="42">
        <f t="shared" si="22"/>
        <v>475.57142857142844</v>
      </c>
      <c r="AE55" s="42">
        <f t="shared" si="23"/>
        <v>226168.18367346926</v>
      </c>
      <c r="AF55" s="42">
        <f t="shared" si="21"/>
        <v>475.57142857142844</v>
      </c>
      <c r="AG55" s="43"/>
      <c r="AH55" s="42">
        <f t="shared" si="24"/>
        <v>6741.25</v>
      </c>
      <c r="AI55" s="42">
        <f t="shared" si="27"/>
        <v>-172.25</v>
      </c>
      <c r="AJ55" s="42">
        <f t="shared" si="25"/>
        <v>29670.0625</v>
      </c>
      <c r="AK55" s="42">
        <f t="shared" si="26"/>
        <v>172.25</v>
      </c>
      <c r="AL55" s="43"/>
      <c r="AM55" s="42">
        <f t="shared" si="28"/>
        <v>6824</v>
      </c>
      <c r="AN55" s="42">
        <f t="shared" si="31"/>
        <v>-255</v>
      </c>
      <c r="AO55" s="42">
        <f t="shared" si="29"/>
        <v>65025</v>
      </c>
      <c r="AP55" s="42">
        <f t="shared" si="30"/>
        <v>255</v>
      </c>
      <c r="AQ55" s="43"/>
      <c r="AR55" s="42">
        <f t="shared" si="32"/>
        <v>6869.8</v>
      </c>
      <c r="AS55" s="42">
        <f t="shared" si="34"/>
        <v>-300.80000000000018</v>
      </c>
      <c r="AT55" s="42">
        <f t="shared" si="35"/>
        <v>90480.640000000116</v>
      </c>
      <c r="AU55" s="42">
        <f t="shared" si="45"/>
        <v>300.80000000000018</v>
      </c>
      <c r="AV55" s="43"/>
      <c r="AW55" s="42">
        <f t="shared" si="36"/>
        <v>7013.363636363636</v>
      </c>
      <c r="AX55" s="42">
        <f t="shared" si="39"/>
        <v>-444.36363636363603</v>
      </c>
      <c r="AY55" s="42">
        <f t="shared" si="37"/>
        <v>197459.04132231374</v>
      </c>
      <c r="AZ55" s="42">
        <f t="shared" si="38"/>
        <v>444.36363636363603</v>
      </c>
      <c r="BA55" s="43"/>
      <c r="BB55" s="44">
        <f t="shared" si="46"/>
        <v>7445.583333333333</v>
      </c>
      <c r="BC55" s="42">
        <f t="shared" si="43"/>
        <v>-876.58333333333303</v>
      </c>
      <c r="BD55" s="42">
        <f t="shared" si="40"/>
        <v>768398.34027777729</v>
      </c>
      <c r="BE55" s="42">
        <f t="shared" si="41"/>
        <v>876.58333333333303</v>
      </c>
    </row>
    <row r="56" spans="1:57" ht="18" x14ac:dyDescent="0.2">
      <c r="A56" s="7">
        <v>39934</v>
      </c>
      <c r="B56" s="17">
        <v>7412</v>
      </c>
      <c r="D56" s="42">
        <f t="shared" si="47"/>
        <v>6679</v>
      </c>
      <c r="E56" s="42">
        <f t="shared" si="44"/>
        <v>733</v>
      </c>
      <c r="F56" s="42">
        <f t="shared" si="0"/>
        <v>537289</v>
      </c>
      <c r="G56" s="42">
        <f t="shared" si="1"/>
        <v>733</v>
      </c>
      <c r="H56" s="43"/>
      <c r="I56" s="42">
        <f t="shared" si="2"/>
        <v>6678.666666666667</v>
      </c>
      <c r="J56" s="42">
        <f t="shared" si="4"/>
        <v>733.33333333333303</v>
      </c>
      <c r="K56" s="42">
        <f t="shared" si="5"/>
        <v>537777.77777777729</v>
      </c>
      <c r="L56" s="42">
        <f t="shared" si="6"/>
        <v>733.33333333333303</v>
      </c>
      <c r="M56" s="43"/>
      <c r="N56" s="42">
        <f t="shared" si="7"/>
        <v>6678.75</v>
      </c>
      <c r="O56" s="42">
        <f t="shared" si="9"/>
        <v>733.25</v>
      </c>
      <c r="P56" s="42">
        <f t="shared" si="10"/>
        <v>537655.5625</v>
      </c>
      <c r="Q56" s="42">
        <f t="shared" si="8"/>
        <v>733.25</v>
      </c>
      <c r="R56" s="43"/>
      <c r="S56" s="42">
        <f t="shared" si="11"/>
        <v>6690</v>
      </c>
      <c r="T56" s="42">
        <f t="shared" si="13"/>
        <v>722</v>
      </c>
      <c r="U56" s="42">
        <f t="shared" si="14"/>
        <v>521284</v>
      </c>
      <c r="V56" s="42">
        <f t="shared" si="12"/>
        <v>722</v>
      </c>
      <c r="W56" s="43"/>
      <c r="X56" s="42">
        <f t="shared" si="15"/>
        <v>6508.5</v>
      </c>
      <c r="Y56" s="42">
        <f t="shared" si="18"/>
        <v>903.5</v>
      </c>
      <c r="Z56" s="42">
        <f t="shared" si="19"/>
        <v>816312.25</v>
      </c>
      <c r="AA56" s="42">
        <f t="shared" si="16"/>
        <v>903.5</v>
      </c>
      <c r="AB56" s="43"/>
      <c r="AC56" s="42">
        <f t="shared" si="20"/>
        <v>6290.1428571428569</v>
      </c>
      <c r="AD56" s="42">
        <f t="shared" si="22"/>
        <v>1121.8571428571431</v>
      </c>
      <c r="AE56" s="42">
        <f t="shared" si="23"/>
        <v>1258563.4489795924</v>
      </c>
      <c r="AF56" s="42">
        <f t="shared" si="21"/>
        <v>1121.8571428571431</v>
      </c>
      <c r="AG56" s="43"/>
      <c r="AH56" s="42">
        <f t="shared" si="24"/>
        <v>6152.875</v>
      </c>
      <c r="AI56" s="42">
        <f t="shared" si="27"/>
        <v>1259.125</v>
      </c>
      <c r="AJ56" s="42">
        <f t="shared" si="25"/>
        <v>1585395.765625</v>
      </c>
      <c r="AK56" s="42">
        <f t="shared" si="26"/>
        <v>1259.125</v>
      </c>
      <c r="AL56" s="43"/>
      <c r="AM56" s="42">
        <f t="shared" si="28"/>
        <v>6722.1111111111113</v>
      </c>
      <c r="AN56" s="42">
        <f t="shared" si="31"/>
        <v>689.88888888888869</v>
      </c>
      <c r="AO56" s="42">
        <f t="shared" si="29"/>
        <v>475946.67901234538</v>
      </c>
      <c r="AP56" s="42">
        <f t="shared" si="30"/>
        <v>689.88888888888869</v>
      </c>
      <c r="AQ56" s="43"/>
      <c r="AR56" s="42">
        <f t="shared" si="32"/>
        <v>6798.5</v>
      </c>
      <c r="AS56" s="42">
        <f t="shared" si="34"/>
        <v>613.5</v>
      </c>
      <c r="AT56" s="42">
        <f t="shared" si="35"/>
        <v>376382.25</v>
      </c>
      <c r="AU56" s="42">
        <f t="shared" si="45"/>
        <v>613.5</v>
      </c>
      <c r="AV56" s="43"/>
      <c r="AW56" s="42">
        <f t="shared" si="36"/>
        <v>6842.454545454545</v>
      </c>
      <c r="AX56" s="42">
        <f t="shared" si="39"/>
        <v>569.54545454545496</v>
      </c>
      <c r="AY56" s="42">
        <f t="shared" si="37"/>
        <v>324382.0247933889</v>
      </c>
      <c r="AZ56" s="42">
        <f t="shared" si="38"/>
        <v>569.54545454545496</v>
      </c>
      <c r="BA56" s="43"/>
      <c r="BB56" s="44">
        <f t="shared" si="46"/>
        <v>6976.333333333333</v>
      </c>
      <c r="BC56" s="42">
        <f t="shared" si="43"/>
        <v>435.66666666666697</v>
      </c>
      <c r="BD56" s="42">
        <f t="shared" si="40"/>
        <v>189805.4444444447</v>
      </c>
      <c r="BE56" s="42">
        <f t="shared" si="41"/>
        <v>435.66666666666697</v>
      </c>
    </row>
    <row r="57" spans="1:57" ht="18" x14ac:dyDescent="0.2">
      <c r="A57" s="7">
        <v>39965</v>
      </c>
      <c r="B57" s="17">
        <v>8171</v>
      </c>
      <c r="D57" s="42">
        <f t="shared" si="47"/>
        <v>6990.5</v>
      </c>
      <c r="E57" s="42">
        <f t="shared" si="44"/>
        <v>1180.5</v>
      </c>
      <c r="F57" s="42">
        <f t="shared" si="0"/>
        <v>1393580.25</v>
      </c>
      <c r="G57" s="42">
        <f t="shared" si="1"/>
        <v>1180.5</v>
      </c>
      <c r="H57" s="43"/>
      <c r="I57" s="42">
        <f t="shared" si="2"/>
        <v>6923.333333333333</v>
      </c>
      <c r="J57" s="42">
        <f t="shared" si="4"/>
        <v>1247.666666666667</v>
      </c>
      <c r="K57" s="42">
        <f t="shared" si="5"/>
        <v>1556672.1111111119</v>
      </c>
      <c r="L57" s="42">
        <f t="shared" si="6"/>
        <v>1247.666666666667</v>
      </c>
      <c r="M57" s="43"/>
      <c r="N57" s="42">
        <f t="shared" si="7"/>
        <v>6862</v>
      </c>
      <c r="O57" s="42">
        <f t="shared" si="9"/>
        <v>1309</v>
      </c>
      <c r="P57" s="42">
        <f t="shared" si="10"/>
        <v>1713481</v>
      </c>
      <c r="Q57" s="42">
        <f t="shared" si="8"/>
        <v>1309</v>
      </c>
      <c r="R57" s="43"/>
      <c r="S57" s="42">
        <f t="shared" si="11"/>
        <v>6825.4</v>
      </c>
      <c r="T57" s="42">
        <f t="shared" si="13"/>
        <v>1345.6000000000004</v>
      </c>
      <c r="U57" s="42">
        <f t="shared" si="14"/>
        <v>1810639.360000001</v>
      </c>
      <c r="V57" s="42">
        <f t="shared" si="12"/>
        <v>1345.6000000000004</v>
      </c>
      <c r="W57" s="43"/>
      <c r="X57" s="42">
        <f t="shared" si="15"/>
        <v>6810.333333333333</v>
      </c>
      <c r="Y57" s="42">
        <f t="shared" si="18"/>
        <v>1360.666666666667</v>
      </c>
      <c r="Z57" s="42">
        <f t="shared" si="19"/>
        <v>1851413.7777777787</v>
      </c>
      <c r="AA57" s="42">
        <f t="shared" si="16"/>
        <v>1360.666666666667</v>
      </c>
      <c r="AB57" s="43"/>
      <c r="AC57" s="42">
        <f t="shared" si="20"/>
        <v>6637.5714285714284</v>
      </c>
      <c r="AD57" s="42">
        <f t="shared" si="22"/>
        <v>1533.4285714285716</v>
      </c>
      <c r="AE57" s="42">
        <f t="shared" si="23"/>
        <v>2351403.1836734698</v>
      </c>
      <c r="AF57" s="42">
        <f t="shared" si="21"/>
        <v>1533.4285714285716</v>
      </c>
      <c r="AG57" s="43"/>
      <c r="AH57" s="42">
        <f t="shared" si="24"/>
        <v>6430.375</v>
      </c>
      <c r="AI57" s="42">
        <f t="shared" si="27"/>
        <v>1740.625</v>
      </c>
      <c r="AJ57" s="42">
        <f t="shared" si="25"/>
        <v>3029775.390625</v>
      </c>
      <c r="AK57" s="42">
        <f t="shared" si="26"/>
        <v>1740.625</v>
      </c>
      <c r="AL57" s="43"/>
      <c r="AM57" s="42">
        <f t="shared" si="28"/>
        <v>6292.7777777777774</v>
      </c>
      <c r="AN57" s="42">
        <f t="shared" si="31"/>
        <v>1878.2222222222226</v>
      </c>
      <c r="AO57" s="42">
        <f t="shared" si="29"/>
        <v>3527718.7160493843</v>
      </c>
      <c r="AP57" s="42">
        <f t="shared" si="30"/>
        <v>1878.2222222222226</v>
      </c>
      <c r="AQ57" s="43"/>
      <c r="AR57" s="42">
        <f t="shared" si="32"/>
        <v>6791.1</v>
      </c>
      <c r="AS57" s="42">
        <f t="shared" si="34"/>
        <v>1379.8999999999996</v>
      </c>
      <c r="AT57" s="42">
        <f t="shared" si="35"/>
        <v>1904124.0099999991</v>
      </c>
      <c r="AU57" s="42">
        <f t="shared" si="45"/>
        <v>1379.8999999999996</v>
      </c>
      <c r="AV57" s="43"/>
      <c r="AW57" s="42">
        <f t="shared" si="36"/>
        <v>6854.272727272727</v>
      </c>
      <c r="AX57" s="42">
        <f t="shared" si="39"/>
        <v>1316.727272727273</v>
      </c>
      <c r="AY57" s="42">
        <f t="shared" si="37"/>
        <v>1733770.7107438024</v>
      </c>
      <c r="AZ57" s="42">
        <f t="shared" si="38"/>
        <v>1316.727272727273</v>
      </c>
      <c r="BA57" s="43"/>
      <c r="BB57" s="44">
        <f t="shared" si="46"/>
        <v>6889.916666666667</v>
      </c>
      <c r="BC57" s="42">
        <f t="shared" si="43"/>
        <v>1281.083333333333</v>
      </c>
      <c r="BD57" s="42">
        <f t="shared" si="40"/>
        <v>1641174.5069444436</v>
      </c>
      <c r="BE57" s="42">
        <f t="shared" si="41"/>
        <v>1281.083333333333</v>
      </c>
    </row>
    <row r="58" spans="1:57" ht="18" x14ac:dyDescent="0.2">
      <c r="A58" s="7">
        <v>39995</v>
      </c>
      <c r="B58" s="17">
        <v>6340</v>
      </c>
      <c r="D58" s="42">
        <f t="shared" si="47"/>
        <v>7791.5</v>
      </c>
      <c r="E58" s="42">
        <f t="shared" si="44"/>
        <v>-1451.5</v>
      </c>
      <c r="F58" s="42">
        <f t="shared" si="0"/>
        <v>2106852.25</v>
      </c>
      <c r="G58" s="42">
        <f t="shared" si="1"/>
        <v>1451.5</v>
      </c>
      <c r="H58" s="43"/>
      <c r="I58" s="42">
        <f t="shared" si="2"/>
        <v>7384</v>
      </c>
      <c r="J58" s="42">
        <f t="shared" si="4"/>
        <v>-1044</v>
      </c>
      <c r="K58" s="42">
        <f t="shared" si="5"/>
        <v>1089936</v>
      </c>
      <c r="L58" s="42">
        <f t="shared" si="6"/>
        <v>1044</v>
      </c>
      <c r="M58" s="43"/>
      <c r="N58" s="42">
        <f t="shared" si="7"/>
        <v>7235.25</v>
      </c>
      <c r="O58" s="42">
        <f t="shared" si="9"/>
        <v>-895.25</v>
      </c>
      <c r="P58" s="42">
        <f t="shared" si="10"/>
        <v>801472.5625</v>
      </c>
      <c r="Q58" s="42">
        <f t="shared" si="8"/>
        <v>895.25</v>
      </c>
      <c r="R58" s="43"/>
      <c r="S58" s="42">
        <f t="shared" si="11"/>
        <v>7123.8</v>
      </c>
      <c r="T58" s="42">
        <f t="shared" si="13"/>
        <v>-783.80000000000018</v>
      </c>
      <c r="U58" s="42">
        <f t="shared" si="14"/>
        <v>614342.44000000029</v>
      </c>
      <c r="V58" s="42">
        <f t="shared" si="12"/>
        <v>783.80000000000018</v>
      </c>
      <c r="W58" s="43"/>
      <c r="X58" s="42">
        <f t="shared" si="15"/>
        <v>7049.666666666667</v>
      </c>
      <c r="Y58" s="42">
        <f t="shared" si="18"/>
        <v>-709.66666666666697</v>
      </c>
      <c r="Z58" s="42">
        <f t="shared" si="19"/>
        <v>503626.77777777822</v>
      </c>
      <c r="AA58" s="42">
        <f t="shared" si="16"/>
        <v>709.66666666666697</v>
      </c>
      <c r="AB58" s="43"/>
      <c r="AC58" s="42">
        <f t="shared" si="20"/>
        <v>7004.7142857142853</v>
      </c>
      <c r="AD58" s="42">
        <f t="shared" si="22"/>
        <v>-664.71428571428532</v>
      </c>
      <c r="AE58" s="42">
        <f t="shared" si="23"/>
        <v>441845.08163265255</v>
      </c>
      <c r="AF58" s="42">
        <f t="shared" si="21"/>
        <v>664.71428571428532</v>
      </c>
      <c r="AG58" s="43"/>
      <c r="AH58" s="42">
        <f t="shared" si="24"/>
        <v>6829.25</v>
      </c>
      <c r="AI58" s="42">
        <f t="shared" si="27"/>
        <v>-489.25</v>
      </c>
      <c r="AJ58" s="42">
        <f t="shared" si="25"/>
        <v>239365.5625</v>
      </c>
      <c r="AK58" s="42">
        <f t="shared" si="26"/>
        <v>489.25</v>
      </c>
      <c r="AL58" s="43"/>
      <c r="AM58" s="42">
        <f t="shared" si="28"/>
        <v>6623.7777777777774</v>
      </c>
      <c r="AN58" s="42">
        <f t="shared" si="31"/>
        <v>-283.77777777777737</v>
      </c>
      <c r="AO58" s="42">
        <f t="shared" si="29"/>
        <v>80529.827160493602</v>
      </c>
      <c r="AP58" s="42">
        <f t="shared" si="30"/>
        <v>283.77777777777737</v>
      </c>
      <c r="AQ58" s="43"/>
      <c r="AR58" s="42">
        <f t="shared" si="32"/>
        <v>6480.6</v>
      </c>
      <c r="AS58" s="42">
        <f t="shared" si="34"/>
        <v>-140.60000000000036</v>
      </c>
      <c r="AT58" s="42">
        <f t="shared" si="35"/>
        <v>19768.360000000102</v>
      </c>
      <c r="AU58" s="42">
        <f t="shared" si="45"/>
        <v>140.60000000000036</v>
      </c>
      <c r="AV58" s="43"/>
      <c r="AW58" s="42">
        <f t="shared" si="36"/>
        <v>6916.545454545455</v>
      </c>
      <c r="AX58" s="42">
        <f t="shared" si="39"/>
        <v>-576.54545454545496</v>
      </c>
      <c r="AY58" s="42">
        <f t="shared" si="37"/>
        <v>332404.66115702526</v>
      </c>
      <c r="AZ58" s="42">
        <f t="shared" si="38"/>
        <v>576.54545454545496</v>
      </c>
      <c r="BA58" s="43"/>
      <c r="BB58" s="44">
        <f t="shared" si="46"/>
        <v>6964</v>
      </c>
      <c r="BC58" s="42">
        <f t="shared" si="43"/>
        <v>-624</v>
      </c>
      <c r="BD58" s="42">
        <f t="shared" si="40"/>
        <v>389376</v>
      </c>
      <c r="BE58" s="42">
        <f t="shared" si="41"/>
        <v>624</v>
      </c>
    </row>
    <row r="59" spans="1:57" ht="18" x14ac:dyDescent="0.2">
      <c r="A59" s="7">
        <v>40026</v>
      </c>
      <c r="B59" s="17">
        <v>7800</v>
      </c>
      <c r="D59" s="42">
        <f t="shared" si="47"/>
        <v>7255.5</v>
      </c>
      <c r="E59" s="42">
        <f t="shared" si="44"/>
        <v>544.5</v>
      </c>
      <c r="F59" s="42">
        <f t="shared" si="0"/>
        <v>296480.25</v>
      </c>
      <c r="G59" s="42">
        <f t="shared" si="1"/>
        <v>544.5</v>
      </c>
      <c r="H59" s="43"/>
      <c r="I59" s="42">
        <f t="shared" si="2"/>
        <v>7307.666666666667</v>
      </c>
      <c r="J59" s="42">
        <f t="shared" si="4"/>
        <v>492.33333333333303</v>
      </c>
      <c r="K59" s="42">
        <f t="shared" si="5"/>
        <v>242392.1111111108</v>
      </c>
      <c r="L59" s="42">
        <f t="shared" si="6"/>
        <v>492.33333333333303</v>
      </c>
      <c r="M59" s="43"/>
      <c r="N59" s="42">
        <f t="shared" si="7"/>
        <v>7123</v>
      </c>
      <c r="O59" s="42">
        <f t="shared" si="9"/>
        <v>677</v>
      </c>
      <c r="P59" s="42">
        <f t="shared" si="10"/>
        <v>458329</v>
      </c>
      <c r="Q59" s="42">
        <f t="shared" si="8"/>
        <v>677</v>
      </c>
      <c r="R59" s="43"/>
      <c r="S59" s="42">
        <f t="shared" si="11"/>
        <v>7056.2</v>
      </c>
      <c r="T59" s="42">
        <f t="shared" si="13"/>
        <v>743.80000000000018</v>
      </c>
      <c r="U59" s="42">
        <f t="shared" si="14"/>
        <v>553238.44000000029</v>
      </c>
      <c r="V59" s="42">
        <f t="shared" si="12"/>
        <v>743.80000000000018</v>
      </c>
      <c r="W59" s="43"/>
      <c r="X59" s="42">
        <f t="shared" si="15"/>
        <v>6993.166666666667</v>
      </c>
      <c r="Y59" s="42">
        <f t="shared" si="18"/>
        <v>806.83333333333303</v>
      </c>
      <c r="Z59" s="42">
        <f t="shared" si="19"/>
        <v>650980.02777777729</v>
      </c>
      <c r="AA59" s="42">
        <f t="shared" si="16"/>
        <v>806.83333333333303</v>
      </c>
      <c r="AB59" s="43"/>
      <c r="AC59" s="42">
        <f t="shared" si="20"/>
        <v>6948.2857142857147</v>
      </c>
      <c r="AD59" s="42">
        <f t="shared" si="22"/>
        <v>851.71428571428532</v>
      </c>
      <c r="AE59" s="42">
        <f t="shared" si="23"/>
        <v>725417.22448979528</v>
      </c>
      <c r="AF59" s="42">
        <f t="shared" si="21"/>
        <v>851.71428571428532</v>
      </c>
      <c r="AG59" s="43"/>
      <c r="AH59" s="42">
        <f t="shared" si="24"/>
        <v>6921.625</v>
      </c>
      <c r="AI59" s="42">
        <f t="shared" si="27"/>
        <v>878.375</v>
      </c>
      <c r="AJ59" s="42">
        <f t="shared" si="25"/>
        <v>771542.640625</v>
      </c>
      <c r="AK59" s="42">
        <f t="shared" si="26"/>
        <v>878.375</v>
      </c>
      <c r="AL59" s="43"/>
      <c r="AM59" s="42">
        <f t="shared" si="28"/>
        <v>6774.8888888888887</v>
      </c>
      <c r="AN59" s="42">
        <f t="shared" si="31"/>
        <v>1025.1111111111113</v>
      </c>
      <c r="AO59" s="42">
        <f t="shared" si="29"/>
        <v>1050852.7901234571</v>
      </c>
      <c r="AP59" s="42">
        <f t="shared" si="30"/>
        <v>1025.1111111111113</v>
      </c>
      <c r="AQ59" s="43"/>
      <c r="AR59" s="42">
        <f t="shared" si="32"/>
        <v>6595.4</v>
      </c>
      <c r="AS59" s="42">
        <f t="shared" si="34"/>
        <v>1204.6000000000004</v>
      </c>
      <c r="AT59" s="42">
        <f t="shared" si="35"/>
        <v>1451061.1600000008</v>
      </c>
      <c r="AU59" s="42">
        <f t="shared" si="45"/>
        <v>1204.6000000000004</v>
      </c>
      <c r="AV59" s="43"/>
      <c r="AW59" s="42">
        <f t="shared" si="36"/>
        <v>6467.818181818182</v>
      </c>
      <c r="AX59" s="42">
        <f t="shared" si="39"/>
        <v>1332.181818181818</v>
      </c>
      <c r="AY59" s="42">
        <f t="shared" si="37"/>
        <v>1774708.3966942145</v>
      </c>
      <c r="AZ59" s="42">
        <f t="shared" si="38"/>
        <v>1332.181818181818</v>
      </c>
      <c r="BA59" s="43"/>
      <c r="BB59" s="44">
        <f t="shared" si="46"/>
        <v>6868.5</v>
      </c>
      <c r="BC59" s="42">
        <f t="shared" si="43"/>
        <v>931.5</v>
      </c>
      <c r="BD59" s="42">
        <f t="shared" si="40"/>
        <v>867692.25</v>
      </c>
      <c r="BE59" s="42">
        <f t="shared" si="41"/>
        <v>931.5</v>
      </c>
    </row>
    <row r="60" spans="1:57" ht="18" x14ac:dyDescent="0.2">
      <c r="A60" s="7">
        <v>40057</v>
      </c>
      <c r="B60" s="17">
        <v>5438</v>
      </c>
      <c r="D60" s="42">
        <f t="shared" si="47"/>
        <v>7070</v>
      </c>
      <c r="E60" s="42">
        <f t="shared" si="44"/>
        <v>-1632</v>
      </c>
      <c r="F60" s="42">
        <f t="shared" si="0"/>
        <v>2663424</v>
      </c>
      <c r="G60" s="42">
        <f t="shared" si="1"/>
        <v>1632</v>
      </c>
      <c r="H60" s="43"/>
      <c r="I60" s="42">
        <f t="shared" si="2"/>
        <v>7437</v>
      </c>
      <c r="J60" s="42">
        <f t="shared" si="4"/>
        <v>-1999</v>
      </c>
      <c r="K60" s="42">
        <f t="shared" si="5"/>
        <v>3996001</v>
      </c>
      <c r="L60" s="42">
        <f t="shared" si="6"/>
        <v>1999</v>
      </c>
      <c r="M60" s="43"/>
      <c r="N60" s="42">
        <f t="shared" si="7"/>
        <v>7430.75</v>
      </c>
      <c r="O60" s="42">
        <f t="shared" si="9"/>
        <v>-1992.75</v>
      </c>
      <c r="P60" s="42">
        <f t="shared" si="10"/>
        <v>3971052.5625</v>
      </c>
      <c r="Q60" s="42">
        <f t="shared" si="8"/>
        <v>1992.75</v>
      </c>
      <c r="R60" s="43"/>
      <c r="S60" s="42">
        <f t="shared" si="11"/>
        <v>7258.4</v>
      </c>
      <c r="T60" s="42">
        <f t="shared" si="13"/>
        <v>-1820.3999999999996</v>
      </c>
      <c r="U60" s="42">
        <f t="shared" si="14"/>
        <v>3313856.1599999988</v>
      </c>
      <c r="V60" s="42">
        <f t="shared" si="12"/>
        <v>1820.3999999999996</v>
      </c>
      <c r="W60" s="43"/>
      <c r="X60" s="42">
        <f t="shared" si="15"/>
        <v>7180.166666666667</v>
      </c>
      <c r="Y60" s="42">
        <f t="shared" si="18"/>
        <v>-1742.166666666667</v>
      </c>
      <c r="Z60" s="42">
        <f t="shared" si="19"/>
        <v>3035144.6944444454</v>
      </c>
      <c r="AA60" s="42">
        <f t="shared" si="16"/>
        <v>1742.166666666667</v>
      </c>
      <c r="AB60" s="43"/>
      <c r="AC60" s="42">
        <f t="shared" si="20"/>
        <v>7108.4285714285716</v>
      </c>
      <c r="AD60" s="42">
        <f t="shared" si="22"/>
        <v>-1670.4285714285716</v>
      </c>
      <c r="AE60" s="42">
        <f t="shared" si="23"/>
        <v>2790331.6122448985</v>
      </c>
      <c r="AF60" s="42">
        <f t="shared" si="21"/>
        <v>1670.4285714285716</v>
      </c>
      <c r="AG60" s="43"/>
      <c r="AH60" s="42">
        <f t="shared" si="24"/>
        <v>7054.75</v>
      </c>
      <c r="AI60" s="42">
        <f t="shared" si="27"/>
        <v>-1616.75</v>
      </c>
      <c r="AJ60" s="42">
        <f t="shared" si="25"/>
        <v>2613880.5625</v>
      </c>
      <c r="AK60" s="42">
        <f t="shared" si="26"/>
        <v>1616.75</v>
      </c>
      <c r="AL60" s="43"/>
      <c r="AM60" s="42">
        <f t="shared" si="28"/>
        <v>7019.2222222222226</v>
      </c>
      <c r="AN60" s="42">
        <f t="shared" si="31"/>
        <v>-1581.2222222222226</v>
      </c>
      <c r="AO60" s="42">
        <f t="shared" si="29"/>
        <v>2500263.7160493839</v>
      </c>
      <c r="AP60" s="42">
        <f t="shared" si="30"/>
        <v>1581.2222222222226</v>
      </c>
      <c r="AQ60" s="43"/>
      <c r="AR60" s="42">
        <f t="shared" si="32"/>
        <v>6877.4</v>
      </c>
      <c r="AS60" s="42">
        <f t="shared" si="34"/>
        <v>-1439.3999999999996</v>
      </c>
      <c r="AT60" s="42">
        <f t="shared" si="35"/>
        <v>2071872.3599999989</v>
      </c>
      <c r="AU60" s="42">
        <f t="shared" si="45"/>
        <v>1439.3999999999996</v>
      </c>
      <c r="AV60" s="43"/>
      <c r="AW60" s="42">
        <f t="shared" si="36"/>
        <v>6704.909090909091</v>
      </c>
      <c r="AX60" s="42">
        <f t="shared" si="39"/>
        <v>-1266.909090909091</v>
      </c>
      <c r="AY60" s="42">
        <f t="shared" si="37"/>
        <v>1605058.6446280994</v>
      </c>
      <c r="AZ60" s="42">
        <f t="shared" si="38"/>
        <v>1266.909090909091</v>
      </c>
      <c r="BA60" s="43"/>
      <c r="BB60" s="44">
        <f t="shared" si="46"/>
        <v>6578.833333333333</v>
      </c>
      <c r="BC60" s="42">
        <f t="shared" si="43"/>
        <v>-1140.833333333333</v>
      </c>
      <c r="BD60" s="42">
        <f t="shared" si="40"/>
        <v>1301500.6944444438</v>
      </c>
      <c r="BE60" s="42">
        <f t="shared" si="41"/>
        <v>1140.833333333333</v>
      </c>
    </row>
    <row r="61" spans="1:57" ht="18" x14ac:dyDescent="0.2">
      <c r="A61" s="7">
        <v>40087</v>
      </c>
      <c r="B61" s="17">
        <v>6339</v>
      </c>
      <c r="D61" s="42">
        <f t="shared" si="47"/>
        <v>6619</v>
      </c>
      <c r="E61" s="42">
        <f t="shared" si="44"/>
        <v>-280</v>
      </c>
      <c r="F61" s="42">
        <f t="shared" si="0"/>
        <v>78400</v>
      </c>
      <c r="G61" s="42">
        <f t="shared" si="1"/>
        <v>280</v>
      </c>
      <c r="H61" s="43"/>
      <c r="I61" s="42">
        <f t="shared" si="2"/>
        <v>6526</v>
      </c>
      <c r="J61" s="42">
        <f t="shared" si="4"/>
        <v>-187</v>
      </c>
      <c r="K61" s="42">
        <f t="shared" si="5"/>
        <v>34969</v>
      </c>
      <c r="L61" s="42">
        <f t="shared" si="6"/>
        <v>187</v>
      </c>
      <c r="M61" s="43"/>
      <c r="N61" s="42">
        <f t="shared" si="7"/>
        <v>6937.25</v>
      </c>
      <c r="O61" s="42">
        <f t="shared" si="9"/>
        <v>-598.25</v>
      </c>
      <c r="P61" s="42">
        <f t="shared" si="10"/>
        <v>357903.0625</v>
      </c>
      <c r="Q61" s="42">
        <f t="shared" si="8"/>
        <v>598.25</v>
      </c>
      <c r="R61" s="43"/>
      <c r="S61" s="42">
        <f t="shared" si="11"/>
        <v>7032.2</v>
      </c>
      <c r="T61" s="42">
        <f t="shared" si="13"/>
        <v>-693.19999999999982</v>
      </c>
      <c r="U61" s="42">
        <f t="shared" si="14"/>
        <v>480526.23999999976</v>
      </c>
      <c r="V61" s="42">
        <f t="shared" si="12"/>
        <v>693.19999999999982</v>
      </c>
      <c r="W61" s="43"/>
      <c r="X61" s="42">
        <f t="shared" si="15"/>
        <v>6955</v>
      </c>
      <c r="Y61" s="42">
        <f t="shared" si="18"/>
        <v>-616</v>
      </c>
      <c r="Z61" s="42">
        <f t="shared" si="19"/>
        <v>379456</v>
      </c>
      <c r="AA61" s="42">
        <f t="shared" si="16"/>
        <v>616</v>
      </c>
      <c r="AB61" s="43"/>
      <c r="AC61" s="42">
        <f t="shared" si="20"/>
        <v>6931.2857142857147</v>
      </c>
      <c r="AD61" s="42">
        <f t="shared" si="22"/>
        <v>-592.28571428571468</v>
      </c>
      <c r="AE61" s="42">
        <f t="shared" si="23"/>
        <v>350802.36734693922</v>
      </c>
      <c r="AF61" s="42">
        <f t="shared" si="21"/>
        <v>592.28571428571468</v>
      </c>
      <c r="AG61" s="43"/>
      <c r="AH61" s="42">
        <f t="shared" si="24"/>
        <v>6899.625</v>
      </c>
      <c r="AI61" s="42">
        <f t="shared" si="27"/>
        <v>-560.625</v>
      </c>
      <c r="AJ61" s="42">
        <f t="shared" si="25"/>
        <v>314300.390625</v>
      </c>
      <c r="AK61" s="42">
        <f t="shared" si="26"/>
        <v>560.625</v>
      </c>
      <c r="AL61" s="43"/>
      <c r="AM61" s="42">
        <f t="shared" si="28"/>
        <v>6875.1111111111113</v>
      </c>
      <c r="AN61" s="42">
        <f t="shared" si="31"/>
        <v>-536.11111111111131</v>
      </c>
      <c r="AO61" s="42">
        <f t="shared" si="29"/>
        <v>287415.12345679034</v>
      </c>
      <c r="AP61" s="42">
        <f t="shared" si="30"/>
        <v>536.11111111111131</v>
      </c>
      <c r="AQ61" s="43"/>
      <c r="AR61" s="42">
        <f t="shared" si="32"/>
        <v>6861.1</v>
      </c>
      <c r="AS61" s="42">
        <f t="shared" si="34"/>
        <v>-522.10000000000036</v>
      </c>
      <c r="AT61" s="42">
        <f t="shared" si="35"/>
        <v>272588.41000000038</v>
      </c>
      <c r="AU61" s="42">
        <f t="shared" si="45"/>
        <v>522.10000000000036</v>
      </c>
      <c r="AV61" s="43"/>
      <c r="AW61" s="42">
        <f t="shared" si="36"/>
        <v>6746.545454545455</v>
      </c>
      <c r="AX61" s="42">
        <f t="shared" si="39"/>
        <v>-407.54545454545496</v>
      </c>
      <c r="AY61" s="42">
        <f t="shared" si="37"/>
        <v>166093.29752066149</v>
      </c>
      <c r="AZ61" s="42">
        <f t="shared" si="38"/>
        <v>407.54545454545496</v>
      </c>
      <c r="BA61" s="43"/>
      <c r="BB61" s="44">
        <f t="shared" si="46"/>
        <v>6599.333333333333</v>
      </c>
      <c r="BC61" s="42">
        <f t="shared" si="43"/>
        <v>-260.33333333333303</v>
      </c>
      <c r="BD61" s="42">
        <f t="shared" si="40"/>
        <v>67773.444444444292</v>
      </c>
      <c r="BE61" s="42">
        <f t="shared" si="41"/>
        <v>260.33333333333303</v>
      </c>
    </row>
    <row r="62" spans="1:57" ht="18" x14ac:dyDescent="0.2">
      <c r="A62" s="7">
        <v>40118</v>
      </c>
      <c r="B62" s="17">
        <v>6502</v>
      </c>
      <c r="D62" s="42">
        <f t="shared" si="47"/>
        <v>5888.5</v>
      </c>
      <c r="E62" s="42">
        <f t="shared" si="44"/>
        <v>613.5</v>
      </c>
      <c r="F62" s="42">
        <f t="shared" si="0"/>
        <v>376382.25</v>
      </c>
      <c r="G62" s="42">
        <f t="shared" si="1"/>
        <v>613.5</v>
      </c>
      <c r="H62" s="43"/>
      <c r="I62" s="42">
        <f t="shared" si="2"/>
        <v>6525.666666666667</v>
      </c>
      <c r="J62" s="42">
        <f t="shared" si="4"/>
        <v>-23.66666666666697</v>
      </c>
      <c r="K62" s="42">
        <f t="shared" si="5"/>
        <v>560.11111111112541</v>
      </c>
      <c r="L62" s="42">
        <f t="shared" si="6"/>
        <v>23.66666666666697</v>
      </c>
      <c r="M62" s="43"/>
      <c r="N62" s="42">
        <f t="shared" si="7"/>
        <v>6479.25</v>
      </c>
      <c r="O62" s="42">
        <f t="shared" si="9"/>
        <v>22.75</v>
      </c>
      <c r="P62" s="42">
        <f t="shared" si="10"/>
        <v>517.5625</v>
      </c>
      <c r="Q62" s="42">
        <f t="shared" si="8"/>
        <v>22.75</v>
      </c>
      <c r="R62" s="43"/>
      <c r="S62" s="42">
        <f t="shared" si="11"/>
        <v>6817.6</v>
      </c>
      <c r="T62" s="42">
        <f t="shared" si="13"/>
        <v>-315.60000000000036</v>
      </c>
      <c r="U62" s="42">
        <f t="shared" si="14"/>
        <v>99603.360000000233</v>
      </c>
      <c r="V62" s="42">
        <f t="shared" si="12"/>
        <v>315.60000000000036</v>
      </c>
      <c r="W62" s="43"/>
      <c r="X62" s="42">
        <f t="shared" si="15"/>
        <v>6916.666666666667</v>
      </c>
      <c r="Y62" s="42">
        <f t="shared" si="18"/>
        <v>-414.66666666666697</v>
      </c>
      <c r="Z62" s="42">
        <f t="shared" si="19"/>
        <v>171948.4444444447</v>
      </c>
      <c r="AA62" s="42">
        <f t="shared" si="16"/>
        <v>414.66666666666697</v>
      </c>
      <c r="AB62" s="43"/>
      <c r="AC62" s="42">
        <f t="shared" si="20"/>
        <v>6867</v>
      </c>
      <c r="AD62" s="42">
        <f t="shared" si="22"/>
        <v>-365</v>
      </c>
      <c r="AE62" s="42">
        <f t="shared" si="23"/>
        <v>133225</v>
      </c>
      <c r="AF62" s="42">
        <f t="shared" si="21"/>
        <v>365</v>
      </c>
      <c r="AG62" s="43"/>
      <c r="AH62" s="42">
        <f t="shared" si="24"/>
        <v>6857.25</v>
      </c>
      <c r="AI62" s="42">
        <f t="shared" si="27"/>
        <v>-355.25</v>
      </c>
      <c r="AJ62" s="42">
        <f t="shared" si="25"/>
        <v>126202.5625</v>
      </c>
      <c r="AK62" s="42">
        <f t="shared" si="26"/>
        <v>355.25</v>
      </c>
      <c r="AL62" s="43"/>
      <c r="AM62" s="42">
        <f t="shared" si="28"/>
        <v>6837.333333333333</v>
      </c>
      <c r="AN62" s="42">
        <f t="shared" si="31"/>
        <v>-335.33333333333303</v>
      </c>
      <c r="AO62" s="42">
        <f t="shared" si="29"/>
        <v>112448.44444444423</v>
      </c>
      <c r="AP62" s="42">
        <f t="shared" si="30"/>
        <v>335.33333333333303</v>
      </c>
      <c r="AQ62" s="43"/>
      <c r="AR62" s="42">
        <f t="shared" si="32"/>
        <v>6821.5</v>
      </c>
      <c r="AS62" s="42">
        <f t="shared" si="34"/>
        <v>-319.5</v>
      </c>
      <c r="AT62" s="42">
        <f t="shared" si="35"/>
        <v>102080.25</v>
      </c>
      <c r="AU62" s="42">
        <f t="shared" si="45"/>
        <v>319.5</v>
      </c>
      <c r="AV62" s="43"/>
      <c r="AW62" s="42">
        <f t="shared" si="36"/>
        <v>6813.636363636364</v>
      </c>
      <c r="AX62" s="42">
        <f t="shared" si="39"/>
        <v>-311.63636363636397</v>
      </c>
      <c r="AY62" s="42">
        <f t="shared" si="37"/>
        <v>97117.223140496077</v>
      </c>
      <c r="AZ62" s="42">
        <f t="shared" si="38"/>
        <v>311.63636363636397</v>
      </c>
      <c r="BA62" s="43"/>
      <c r="BB62" s="44">
        <f t="shared" si="46"/>
        <v>6712.583333333333</v>
      </c>
      <c r="BC62" s="42">
        <f t="shared" si="43"/>
        <v>-210.58333333333303</v>
      </c>
      <c r="BD62" s="42">
        <f t="shared" si="40"/>
        <v>44345.34027777765</v>
      </c>
      <c r="BE62" s="42">
        <f t="shared" si="41"/>
        <v>210.58333333333303</v>
      </c>
    </row>
    <row r="63" spans="1:57" ht="18" x14ac:dyDescent="0.2">
      <c r="A63" s="7">
        <v>40148</v>
      </c>
      <c r="B63" s="17">
        <v>9184</v>
      </c>
      <c r="D63" s="42">
        <f t="shared" si="47"/>
        <v>6420.5</v>
      </c>
      <c r="E63" s="42">
        <f t="shared" si="44"/>
        <v>2763.5</v>
      </c>
      <c r="F63" s="42">
        <f t="shared" si="0"/>
        <v>7636932.25</v>
      </c>
      <c r="G63" s="42">
        <f t="shared" si="1"/>
        <v>2763.5</v>
      </c>
      <c r="H63" s="43"/>
      <c r="I63" s="42">
        <f t="shared" si="2"/>
        <v>6093</v>
      </c>
      <c r="J63" s="42">
        <f t="shared" si="4"/>
        <v>3091</v>
      </c>
      <c r="K63" s="42">
        <f t="shared" si="5"/>
        <v>9554281</v>
      </c>
      <c r="L63" s="42">
        <f t="shared" si="6"/>
        <v>3091</v>
      </c>
      <c r="M63" s="43"/>
      <c r="N63" s="42">
        <f t="shared" si="7"/>
        <v>6519.75</v>
      </c>
      <c r="O63" s="42">
        <f t="shared" si="9"/>
        <v>2664.25</v>
      </c>
      <c r="P63" s="42">
        <f t="shared" si="10"/>
        <v>7098228.0625</v>
      </c>
      <c r="Q63" s="42">
        <f t="shared" si="8"/>
        <v>2664.25</v>
      </c>
      <c r="R63" s="43"/>
      <c r="S63" s="42">
        <f t="shared" si="11"/>
        <v>6483.8</v>
      </c>
      <c r="T63" s="42">
        <f t="shared" si="13"/>
        <v>2700.2</v>
      </c>
      <c r="U63" s="42">
        <f t="shared" si="14"/>
        <v>7291080.0399999991</v>
      </c>
      <c r="V63" s="42">
        <f t="shared" si="12"/>
        <v>2700.2</v>
      </c>
      <c r="W63" s="43"/>
      <c r="X63" s="42">
        <f t="shared" si="15"/>
        <v>6765</v>
      </c>
      <c r="Y63" s="42">
        <f t="shared" si="18"/>
        <v>2419</v>
      </c>
      <c r="Z63" s="42">
        <f t="shared" si="19"/>
        <v>5851561</v>
      </c>
      <c r="AA63" s="42">
        <f t="shared" si="16"/>
        <v>2419</v>
      </c>
      <c r="AB63" s="43"/>
      <c r="AC63" s="42">
        <f t="shared" si="20"/>
        <v>6857.4285714285716</v>
      </c>
      <c r="AD63" s="42">
        <f t="shared" si="22"/>
        <v>2326.5714285714284</v>
      </c>
      <c r="AE63" s="42">
        <f t="shared" si="23"/>
        <v>5412934.6122448975</v>
      </c>
      <c r="AF63" s="42">
        <f t="shared" si="21"/>
        <v>2326.5714285714284</v>
      </c>
      <c r="AG63" s="43"/>
      <c r="AH63" s="42">
        <f t="shared" si="24"/>
        <v>6821.375</v>
      </c>
      <c r="AI63" s="42">
        <f t="shared" si="27"/>
        <v>2362.625</v>
      </c>
      <c r="AJ63" s="42">
        <f t="shared" si="25"/>
        <v>5581996.890625</v>
      </c>
      <c r="AK63" s="42">
        <f t="shared" si="26"/>
        <v>2362.625</v>
      </c>
      <c r="AL63" s="43"/>
      <c r="AM63" s="42">
        <f t="shared" si="28"/>
        <v>6817.7777777777774</v>
      </c>
      <c r="AN63" s="42">
        <f t="shared" si="31"/>
        <v>2366.2222222222226</v>
      </c>
      <c r="AO63" s="42">
        <f t="shared" si="29"/>
        <v>5599007.6049382733</v>
      </c>
      <c r="AP63" s="42">
        <f t="shared" si="30"/>
        <v>2366.2222222222226</v>
      </c>
      <c r="AQ63" s="43"/>
      <c r="AR63" s="42">
        <f t="shared" si="32"/>
        <v>6803.8</v>
      </c>
      <c r="AS63" s="42">
        <f t="shared" si="34"/>
        <v>2380.1999999999998</v>
      </c>
      <c r="AT63" s="42">
        <f t="shared" si="35"/>
        <v>5665352.0399999991</v>
      </c>
      <c r="AU63" s="42">
        <f t="shared" si="45"/>
        <v>2380.1999999999998</v>
      </c>
      <c r="AV63" s="43"/>
      <c r="AW63" s="42">
        <f t="shared" si="36"/>
        <v>6792.454545454545</v>
      </c>
      <c r="AX63" s="42">
        <f t="shared" si="39"/>
        <v>2391.545454545455</v>
      </c>
      <c r="AY63" s="42">
        <f t="shared" si="37"/>
        <v>5719489.6611570269</v>
      </c>
      <c r="AZ63" s="42">
        <f t="shared" si="38"/>
        <v>2391.545454545455</v>
      </c>
      <c r="BA63" s="43"/>
      <c r="BB63" s="44">
        <f t="shared" si="46"/>
        <v>6787.666666666667</v>
      </c>
      <c r="BC63" s="42">
        <f t="shared" si="43"/>
        <v>2396.333333333333</v>
      </c>
      <c r="BD63" s="42">
        <f t="shared" si="40"/>
        <v>5742413.4444444431</v>
      </c>
      <c r="BE63" s="42">
        <f t="shared" si="41"/>
        <v>2396.333333333333</v>
      </c>
    </row>
    <row r="64" spans="1:57" ht="18" x14ac:dyDescent="0.2">
      <c r="A64" s="7">
        <v>40179</v>
      </c>
      <c r="B64" s="17">
        <v>4865</v>
      </c>
      <c r="D64" s="42">
        <f t="shared" si="47"/>
        <v>7843</v>
      </c>
      <c r="E64" s="42">
        <f t="shared" si="44"/>
        <v>-2978</v>
      </c>
      <c r="F64" s="42">
        <f t="shared" si="0"/>
        <v>8868484</v>
      </c>
      <c r="G64" s="42">
        <f t="shared" si="1"/>
        <v>2978</v>
      </c>
      <c r="H64" s="43"/>
      <c r="I64" s="42">
        <f t="shared" si="2"/>
        <v>7341.666666666667</v>
      </c>
      <c r="J64" s="42">
        <f t="shared" si="4"/>
        <v>-2476.666666666667</v>
      </c>
      <c r="K64" s="42">
        <f t="shared" si="5"/>
        <v>6133877.7777777789</v>
      </c>
      <c r="L64" s="42">
        <f t="shared" si="6"/>
        <v>2476.666666666667</v>
      </c>
      <c r="M64" s="43"/>
      <c r="N64" s="42">
        <f t="shared" si="7"/>
        <v>6865.75</v>
      </c>
      <c r="O64" s="42">
        <f t="shared" si="9"/>
        <v>-2000.75</v>
      </c>
      <c r="P64" s="42">
        <f t="shared" si="10"/>
        <v>4003000.5625</v>
      </c>
      <c r="Q64" s="42">
        <f t="shared" si="8"/>
        <v>2000.75</v>
      </c>
      <c r="R64" s="43"/>
      <c r="S64" s="42">
        <f t="shared" si="11"/>
        <v>7052.6</v>
      </c>
      <c r="T64" s="42">
        <f t="shared" si="13"/>
        <v>-2187.6000000000004</v>
      </c>
      <c r="U64" s="42">
        <f t="shared" si="14"/>
        <v>4785593.7600000016</v>
      </c>
      <c r="V64" s="42">
        <f t="shared" si="12"/>
        <v>2187.6000000000004</v>
      </c>
      <c r="W64" s="43"/>
      <c r="X64" s="42">
        <f t="shared" si="15"/>
        <v>6933.833333333333</v>
      </c>
      <c r="Y64" s="42">
        <f t="shared" si="18"/>
        <v>-2068.833333333333</v>
      </c>
      <c r="Z64" s="42">
        <f t="shared" si="19"/>
        <v>4280071.3611111101</v>
      </c>
      <c r="AA64" s="42">
        <f t="shared" si="16"/>
        <v>2068.833333333333</v>
      </c>
      <c r="AB64" s="43"/>
      <c r="AC64" s="42">
        <f t="shared" si="20"/>
        <v>7110.5714285714284</v>
      </c>
      <c r="AD64" s="42">
        <f t="shared" si="22"/>
        <v>-2245.5714285714284</v>
      </c>
      <c r="AE64" s="42">
        <f t="shared" si="23"/>
        <v>5042591.0408163257</v>
      </c>
      <c r="AF64" s="42">
        <f t="shared" si="21"/>
        <v>2245.5714285714284</v>
      </c>
      <c r="AG64" s="43"/>
      <c r="AH64" s="42">
        <f t="shared" si="24"/>
        <v>7148.25</v>
      </c>
      <c r="AI64" s="42">
        <f t="shared" si="27"/>
        <v>-2283.25</v>
      </c>
      <c r="AJ64" s="42">
        <f t="shared" si="25"/>
        <v>5213230.5625</v>
      </c>
      <c r="AK64" s="42">
        <f t="shared" si="26"/>
        <v>2283.25</v>
      </c>
      <c r="AL64" s="43"/>
      <c r="AM64" s="42">
        <f t="shared" si="28"/>
        <v>7083.8888888888887</v>
      </c>
      <c r="AN64" s="42">
        <f t="shared" si="31"/>
        <v>-2218.8888888888887</v>
      </c>
      <c r="AO64" s="42">
        <f t="shared" si="29"/>
        <v>4923467.9012345672</v>
      </c>
      <c r="AP64" s="42">
        <f t="shared" si="30"/>
        <v>2218.8888888888887</v>
      </c>
      <c r="AQ64" s="43"/>
      <c r="AR64" s="42">
        <f t="shared" si="32"/>
        <v>7054.4</v>
      </c>
      <c r="AS64" s="42">
        <f t="shared" si="34"/>
        <v>-2189.3999999999996</v>
      </c>
      <c r="AT64" s="42">
        <f t="shared" si="35"/>
        <v>4793472.3599999985</v>
      </c>
      <c r="AU64" s="42">
        <f t="shared" si="45"/>
        <v>2189.3999999999996</v>
      </c>
      <c r="AV64" s="43"/>
      <c r="AW64" s="42">
        <f t="shared" si="36"/>
        <v>7020.181818181818</v>
      </c>
      <c r="AX64" s="42">
        <f t="shared" si="39"/>
        <v>-2155.181818181818</v>
      </c>
      <c r="AY64" s="42">
        <f t="shared" si="37"/>
        <v>4644808.6694214866</v>
      </c>
      <c r="AZ64" s="42">
        <f t="shared" si="38"/>
        <v>2155.181818181818</v>
      </c>
      <c r="BA64" s="43"/>
      <c r="BB64" s="44">
        <f t="shared" si="46"/>
        <v>6991.75</v>
      </c>
      <c r="BC64" s="42">
        <f t="shared" si="43"/>
        <v>-2126.75</v>
      </c>
      <c r="BD64" s="42">
        <f t="shared" si="40"/>
        <v>4523065.5625</v>
      </c>
      <c r="BE64" s="42">
        <f t="shared" si="41"/>
        <v>2126.75</v>
      </c>
    </row>
    <row r="65" spans="1:57" ht="18" x14ac:dyDescent="0.2">
      <c r="A65" s="7">
        <v>40210</v>
      </c>
      <c r="B65" s="17">
        <v>6672</v>
      </c>
      <c r="D65" s="42">
        <f t="shared" si="47"/>
        <v>7024.5</v>
      </c>
      <c r="E65" s="42">
        <f t="shared" si="44"/>
        <v>-352.5</v>
      </c>
      <c r="F65" s="42">
        <f t="shared" si="0"/>
        <v>124256.25</v>
      </c>
      <c r="G65" s="42">
        <f t="shared" si="1"/>
        <v>352.5</v>
      </c>
      <c r="H65" s="43"/>
      <c r="I65" s="42">
        <f t="shared" si="2"/>
        <v>6850.333333333333</v>
      </c>
      <c r="J65" s="42">
        <f t="shared" si="4"/>
        <v>-178.33333333333303</v>
      </c>
      <c r="K65" s="42">
        <f t="shared" si="5"/>
        <v>31802.777777777668</v>
      </c>
      <c r="L65" s="42">
        <f t="shared" si="6"/>
        <v>178.33333333333303</v>
      </c>
      <c r="M65" s="43"/>
      <c r="N65" s="42">
        <f t="shared" si="7"/>
        <v>6722.5</v>
      </c>
      <c r="O65" s="42">
        <f t="shared" si="9"/>
        <v>-50.5</v>
      </c>
      <c r="P65" s="42">
        <f t="shared" si="10"/>
        <v>2550.25</v>
      </c>
      <c r="Q65" s="42">
        <f t="shared" si="8"/>
        <v>50.5</v>
      </c>
      <c r="R65" s="43"/>
      <c r="S65" s="42">
        <f t="shared" si="11"/>
        <v>6465.6</v>
      </c>
      <c r="T65" s="42">
        <f t="shared" si="13"/>
        <v>206.39999999999964</v>
      </c>
      <c r="U65" s="42">
        <f t="shared" si="14"/>
        <v>42600.959999999846</v>
      </c>
      <c r="V65" s="42">
        <f t="shared" si="12"/>
        <v>206.39999999999964</v>
      </c>
      <c r="W65" s="43"/>
      <c r="X65" s="42">
        <f t="shared" si="15"/>
        <v>6688</v>
      </c>
      <c r="Y65" s="42">
        <f t="shared" si="18"/>
        <v>-16</v>
      </c>
      <c r="Z65" s="42">
        <f t="shared" si="19"/>
        <v>256</v>
      </c>
      <c r="AA65" s="42">
        <f t="shared" si="16"/>
        <v>16</v>
      </c>
      <c r="AB65" s="43"/>
      <c r="AC65" s="42">
        <f t="shared" si="20"/>
        <v>6638.2857142857147</v>
      </c>
      <c r="AD65" s="42">
        <f t="shared" si="22"/>
        <v>33.714285714285325</v>
      </c>
      <c r="AE65" s="42">
        <f t="shared" si="23"/>
        <v>1136.6530612244635</v>
      </c>
      <c r="AF65" s="42">
        <f t="shared" si="21"/>
        <v>33.714285714285325</v>
      </c>
      <c r="AG65" s="43"/>
      <c r="AH65" s="42">
        <f t="shared" si="24"/>
        <v>6829.875</v>
      </c>
      <c r="AI65" s="42">
        <f t="shared" si="27"/>
        <v>-157.875</v>
      </c>
      <c r="AJ65" s="42">
        <f t="shared" si="25"/>
        <v>24924.515625</v>
      </c>
      <c r="AK65" s="42">
        <f t="shared" si="26"/>
        <v>157.875</v>
      </c>
      <c r="AL65" s="43"/>
      <c r="AM65" s="42">
        <f t="shared" si="28"/>
        <v>6894.5555555555557</v>
      </c>
      <c r="AN65" s="42">
        <f t="shared" si="31"/>
        <v>-222.55555555555566</v>
      </c>
      <c r="AO65" s="42">
        <f t="shared" si="29"/>
        <v>49530.975308642017</v>
      </c>
      <c r="AP65" s="42">
        <f t="shared" si="30"/>
        <v>222.55555555555566</v>
      </c>
      <c r="AQ65" s="43"/>
      <c r="AR65" s="42">
        <f t="shared" si="32"/>
        <v>6862</v>
      </c>
      <c r="AS65" s="42">
        <f t="shared" si="34"/>
        <v>-190</v>
      </c>
      <c r="AT65" s="42">
        <f t="shared" si="35"/>
        <v>36100</v>
      </c>
      <c r="AU65" s="42">
        <f t="shared" si="45"/>
        <v>190</v>
      </c>
      <c r="AV65" s="43"/>
      <c r="AW65" s="42">
        <f t="shared" si="36"/>
        <v>6855.363636363636</v>
      </c>
      <c r="AX65" s="42">
        <f t="shared" si="39"/>
        <v>-183.36363636363603</v>
      </c>
      <c r="AY65" s="42">
        <f t="shared" si="37"/>
        <v>33622.223140495749</v>
      </c>
      <c r="AZ65" s="42">
        <f t="shared" si="38"/>
        <v>183.36363636363603</v>
      </c>
      <c r="BA65" s="43"/>
      <c r="BB65" s="44">
        <f t="shared" si="46"/>
        <v>6840.583333333333</v>
      </c>
      <c r="BC65" s="42">
        <f t="shared" si="43"/>
        <v>-168.58333333333303</v>
      </c>
      <c r="BD65" s="42">
        <f t="shared" si="40"/>
        <v>28420.340277777676</v>
      </c>
      <c r="BE65" s="42">
        <f t="shared" si="41"/>
        <v>168.58333333333303</v>
      </c>
    </row>
    <row r="66" spans="1:57" ht="18" x14ac:dyDescent="0.2">
      <c r="A66" s="7">
        <v>40238</v>
      </c>
      <c r="B66" s="17">
        <v>10432</v>
      </c>
      <c r="D66" s="42">
        <f t="shared" si="47"/>
        <v>5768.5</v>
      </c>
      <c r="E66" s="42">
        <f t="shared" si="44"/>
        <v>4663.5</v>
      </c>
      <c r="F66" s="42">
        <f t="shared" si="0"/>
        <v>21748232.25</v>
      </c>
      <c r="G66" s="42">
        <f t="shared" si="1"/>
        <v>4663.5</v>
      </c>
      <c r="H66" s="43"/>
      <c r="I66" s="42">
        <f t="shared" si="2"/>
        <v>6907</v>
      </c>
      <c r="J66" s="42">
        <f t="shared" si="4"/>
        <v>3525</v>
      </c>
      <c r="K66" s="42">
        <f t="shared" si="5"/>
        <v>12425625</v>
      </c>
      <c r="L66" s="42">
        <f t="shared" si="6"/>
        <v>3525</v>
      </c>
      <c r="M66" s="43"/>
      <c r="N66" s="42">
        <f t="shared" si="7"/>
        <v>6805.75</v>
      </c>
      <c r="O66" s="42">
        <f t="shared" si="9"/>
        <v>3626.25</v>
      </c>
      <c r="P66" s="42">
        <f t="shared" si="10"/>
        <v>13149689.0625</v>
      </c>
      <c r="Q66" s="42">
        <f t="shared" si="8"/>
        <v>3626.25</v>
      </c>
      <c r="R66" s="43"/>
      <c r="S66" s="42">
        <f t="shared" si="11"/>
        <v>6712.4</v>
      </c>
      <c r="T66" s="42">
        <f t="shared" si="13"/>
        <v>3719.6000000000004</v>
      </c>
      <c r="U66" s="42">
        <f t="shared" si="14"/>
        <v>13835424.160000002</v>
      </c>
      <c r="V66" s="42">
        <f t="shared" si="12"/>
        <v>3719.6000000000004</v>
      </c>
      <c r="W66" s="43"/>
      <c r="X66" s="42">
        <f t="shared" si="15"/>
        <v>6500</v>
      </c>
      <c r="Y66" s="42">
        <f t="shared" si="18"/>
        <v>3932</v>
      </c>
      <c r="Z66" s="42">
        <f t="shared" si="19"/>
        <v>15460624</v>
      </c>
      <c r="AA66" s="42">
        <f t="shared" si="16"/>
        <v>3932</v>
      </c>
      <c r="AB66" s="43"/>
      <c r="AC66" s="42">
        <f t="shared" si="20"/>
        <v>6685.7142857142853</v>
      </c>
      <c r="AD66" s="42">
        <f t="shared" si="22"/>
        <v>3746.2857142857147</v>
      </c>
      <c r="AE66" s="42">
        <f t="shared" si="23"/>
        <v>14034656.653061228</v>
      </c>
      <c r="AF66" s="42">
        <f t="shared" si="21"/>
        <v>3746.2857142857147</v>
      </c>
      <c r="AG66" s="43"/>
      <c r="AH66" s="42">
        <f t="shared" si="24"/>
        <v>6642.5</v>
      </c>
      <c r="AI66" s="42">
        <f t="shared" si="27"/>
        <v>3789.5</v>
      </c>
      <c r="AJ66" s="42">
        <f t="shared" si="25"/>
        <v>14360310.25</v>
      </c>
      <c r="AK66" s="42">
        <f t="shared" si="26"/>
        <v>3789.5</v>
      </c>
      <c r="AL66" s="43"/>
      <c r="AM66" s="42">
        <f t="shared" si="28"/>
        <v>6812.333333333333</v>
      </c>
      <c r="AN66" s="42">
        <f t="shared" si="31"/>
        <v>3619.666666666667</v>
      </c>
      <c r="AO66" s="42">
        <f t="shared" si="29"/>
        <v>13101986.77777778</v>
      </c>
      <c r="AP66" s="42">
        <f t="shared" si="30"/>
        <v>3619.666666666667</v>
      </c>
      <c r="AQ66" s="43"/>
      <c r="AR66" s="42">
        <f t="shared" si="32"/>
        <v>6872.3</v>
      </c>
      <c r="AS66" s="42">
        <f t="shared" si="34"/>
        <v>3559.7</v>
      </c>
      <c r="AT66" s="42">
        <f t="shared" si="35"/>
        <v>12671464.089999998</v>
      </c>
      <c r="AU66" s="42">
        <f t="shared" si="45"/>
        <v>3559.7</v>
      </c>
      <c r="AV66" s="43"/>
      <c r="AW66" s="42">
        <f t="shared" si="36"/>
        <v>6844.727272727273</v>
      </c>
      <c r="AX66" s="42">
        <f t="shared" si="39"/>
        <v>3587.272727272727</v>
      </c>
      <c r="AY66" s="42">
        <f t="shared" si="37"/>
        <v>12868525.619834708</v>
      </c>
      <c r="AZ66" s="42">
        <f t="shared" si="38"/>
        <v>3587.272727272727</v>
      </c>
      <c r="BA66" s="43"/>
      <c r="BB66" s="44">
        <f t="shared" si="46"/>
        <v>6840.083333333333</v>
      </c>
      <c r="BC66" s="42">
        <f t="shared" si="43"/>
        <v>3591.916666666667</v>
      </c>
      <c r="BD66" s="42">
        <f t="shared" si="40"/>
        <v>12901865.34027778</v>
      </c>
      <c r="BE66" s="42">
        <f t="shared" si="41"/>
        <v>3591.916666666667</v>
      </c>
    </row>
    <row r="67" spans="1:57" ht="18" x14ac:dyDescent="0.2">
      <c r="A67" s="7">
        <v>40269</v>
      </c>
      <c r="B67" s="17">
        <v>9322</v>
      </c>
      <c r="D67" s="42">
        <f t="shared" si="47"/>
        <v>8552</v>
      </c>
      <c r="E67" s="42">
        <f t="shared" si="44"/>
        <v>770</v>
      </c>
      <c r="F67" s="42">
        <f t="shared" si="0"/>
        <v>592900</v>
      </c>
      <c r="G67" s="42">
        <f t="shared" si="1"/>
        <v>770</v>
      </c>
      <c r="H67" s="43"/>
      <c r="I67" s="42">
        <f t="shared" si="2"/>
        <v>7323</v>
      </c>
      <c r="J67" s="42">
        <f t="shared" si="4"/>
        <v>1999</v>
      </c>
      <c r="K67" s="42">
        <f t="shared" si="5"/>
        <v>3996001</v>
      </c>
      <c r="L67" s="42">
        <f t="shared" si="6"/>
        <v>1999</v>
      </c>
      <c r="M67" s="43"/>
      <c r="N67" s="42">
        <f t="shared" si="7"/>
        <v>7788.25</v>
      </c>
      <c r="O67" s="42">
        <f t="shared" si="9"/>
        <v>1533.75</v>
      </c>
      <c r="P67" s="42">
        <f t="shared" si="10"/>
        <v>2352389.0625</v>
      </c>
      <c r="Q67" s="42">
        <f t="shared" si="8"/>
        <v>1533.75</v>
      </c>
      <c r="R67" s="43"/>
      <c r="S67" s="42">
        <f t="shared" si="11"/>
        <v>7531</v>
      </c>
      <c r="T67" s="42">
        <f t="shared" si="13"/>
        <v>1791</v>
      </c>
      <c r="U67" s="42">
        <f t="shared" si="14"/>
        <v>3207681</v>
      </c>
      <c r="V67" s="42">
        <f t="shared" si="12"/>
        <v>1791</v>
      </c>
      <c r="W67" s="43"/>
      <c r="X67" s="42">
        <f t="shared" si="15"/>
        <v>7332.333333333333</v>
      </c>
      <c r="Y67" s="42">
        <f t="shared" si="18"/>
        <v>1989.666666666667</v>
      </c>
      <c r="Z67" s="42">
        <f t="shared" si="19"/>
        <v>3958773.4444444454</v>
      </c>
      <c r="AA67" s="42">
        <f t="shared" si="16"/>
        <v>1989.666666666667</v>
      </c>
      <c r="AB67" s="43"/>
      <c r="AC67" s="42">
        <f t="shared" si="20"/>
        <v>7061.7142857142853</v>
      </c>
      <c r="AD67" s="42">
        <f t="shared" si="22"/>
        <v>2260.2857142857147</v>
      </c>
      <c r="AE67" s="42">
        <f t="shared" si="23"/>
        <v>5108891.5102040833</v>
      </c>
      <c r="AF67" s="42">
        <f t="shared" si="21"/>
        <v>2260.2857142857147</v>
      </c>
      <c r="AG67" s="43"/>
      <c r="AH67" s="42">
        <f t="shared" si="24"/>
        <v>7154</v>
      </c>
      <c r="AI67" s="42">
        <f t="shared" si="27"/>
        <v>2168</v>
      </c>
      <c r="AJ67" s="42">
        <f t="shared" si="25"/>
        <v>4700224</v>
      </c>
      <c r="AK67" s="42">
        <f t="shared" si="26"/>
        <v>2168</v>
      </c>
      <c r="AL67" s="43"/>
      <c r="AM67" s="42">
        <f t="shared" si="28"/>
        <v>7063.5555555555557</v>
      </c>
      <c r="AN67" s="42">
        <f t="shared" si="31"/>
        <v>2258.4444444444443</v>
      </c>
      <c r="AO67" s="42">
        <f t="shared" si="29"/>
        <v>5100571.3086419748</v>
      </c>
      <c r="AP67" s="42">
        <f t="shared" si="30"/>
        <v>2258.4444444444443</v>
      </c>
      <c r="AQ67" s="43"/>
      <c r="AR67" s="42">
        <f t="shared" si="32"/>
        <v>7174.3</v>
      </c>
      <c r="AS67" s="42">
        <f t="shared" si="34"/>
        <v>2147.6999999999998</v>
      </c>
      <c r="AT67" s="42">
        <f t="shared" si="35"/>
        <v>4612615.2899999991</v>
      </c>
      <c r="AU67" s="42">
        <f t="shared" si="45"/>
        <v>2147.6999999999998</v>
      </c>
      <c r="AV67" s="43"/>
      <c r="AW67" s="42">
        <f t="shared" si="36"/>
        <v>7195.909090909091</v>
      </c>
      <c r="AX67" s="42">
        <f t="shared" si="39"/>
        <v>2126.090909090909</v>
      </c>
      <c r="AY67" s="42">
        <f t="shared" si="37"/>
        <v>4520262.5537190083</v>
      </c>
      <c r="AZ67" s="42">
        <f t="shared" si="38"/>
        <v>2126.090909090909</v>
      </c>
      <c r="BA67" s="43"/>
      <c r="BB67" s="44">
        <f t="shared" si="46"/>
        <v>7143.666666666667</v>
      </c>
      <c r="BC67" s="42">
        <f t="shared" si="43"/>
        <v>2178.333333333333</v>
      </c>
      <c r="BD67" s="42">
        <f t="shared" si="40"/>
        <v>4745136.1111111101</v>
      </c>
      <c r="BE67" s="42">
        <f t="shared" si="41"/>
        <v>2178.333333333333</v>
      </c>
    </row>
    <row r="68" spans="1:57" ht="18" x14ac:dyDescent="0.2">
      <c r="A68" s="7">
        <v>40299</v>
      </c>
      <c r="B68" s="17">
        <v>9834</v>
      </c>
      <c r="D68" s="42">
        <f t="shared" si="47"/>
        <v>9877</v>
      </c>
      <c r="E68" s="42">
        <f t="shared" si="44"/>
        <v>-43</v>
      </c>
      <c r="F68" s="42">
        <f t="shared" si="0"/>
        <v>1849</v>
      </c>
      <c r="G68" s="42">
        <f t="shared" si="1"/>
        <v>43</v>
      </c>
      <c r="H68" s="43"/>
      <c r="I68" s="42">
        <f t="shared" si="2"/>
        <v>8808.6666666666661</v>
      </c>
      <c r="J68" s="42">
        <f t="shared" si="4"/>
        <v>1025.3333333333339</v>
      </c>
      <c r="K68" s="42">
        <f t="shared" si="5"/>
        <v>1051308.4444444457</v>
      </c>
      <c r="L68" s="42">
        <f t="shared" si="6"/>
        <v>1025.3333333333339</v>
      </c>
      <c r="M68" s="43"/>
      <c r="N68" s="42">
        <f t="shared" si="7"/>
        <v>7822.75</v>
      </c>
      <c r="O68" s="42">
        <f t="shared" si="9"/>
        <v>2011.25</v>
      </c>
      <c r="P68" s="42">
        <f t="shared" si="10"/>
        <v>4045126.5625</v>
      </c>
      <c r="Q68" s="42">
        <f t="shared" si="8"/>
        <v>2011.25</v>
      </c>
      <c r="R68" s="43"/>
      <c r="S68" s="42">
        <f t="shared" si="11"/>
        <v>8095</v>
      </c>
      <c r="T68" s="42">
        <f t="shared" si="13"/>
        <v>1739</v>
      </c>
      <c r="U68" s="42">
        <f t="shared" si="14"/>
        <v>3024121</v>
      </c>
      <c r="V68" s="42">
        <f t="shared" si="12"/>
        <v>1739</v>
      </c>
      <c r="W68" s="43"/>
      <c r="X68" s="42">
        <f t="shared" si="15"/>
        <v>7829.5</v>
      </c>
      <c r="Y68" s="42">
        <f t="shared" si="18"/>
        <v>2004.5</v>
      </c>
      <c r="Z68" s="42">
        <f t="shared" si="19"/>
        <v>4018020.25</v>
      </c>
      <c r="AA68" s="42">
        <f t="shared" si="16"/>
        <v>2004.5</v>
      </c>
      <c r="AB68" s="43"/>
      <c r="AC68" s="42">
        <f t="shared" si="20"/>
        <v>7616.5714285714284</v>
      </c>
      <c r="AD68" s="42">
        <f t="shared" si="22"/>
        <v>2217.4285714285716</v>
      </c>
      <c r="AE68" s="42">
        <f t="shared" si="23"/>
        <v>4916989.4693877557</v>
      </c>
      <c r="AF68" s="42">
        <f t="shared" si="21"/>
        <v>2217.4285714285716</v>
      </c>
      <c r="AG68" s="43"/>
      <c r="AH68" s="42">
        <f t="shared" si="24"/>
        <v>7344.25</v>
      </c>
      <c r="AI68" s="42">
        <f t="shared" si="27"/>
        <v>2489.75</v>
      </c>
      <c r="AJ68" s="42">
        <f t="shared" si="25"/>
        <v>6198855.0625</v>
      </c>
      <c r="AK68" s="42">
        <f t="shared" si="26"/>
        <v>2489.75</v>
      </c>
      <c r="AL68" s="43"/>
      <c r="AM68" s="42">
        <f t="shared" si="28"/>
        <v>7394.8888888888887</v>
      </c>
      <c r="AN68" s="42">
        <f t="shared" si="31"/>
        <v>2439.1111111111113</v>
      </c>
      <c r="AO68" s="42">
        <f t="shared" si="29"/>
        <v>5949263.01234568</v>
      </c>
      <c r="AP68" s="42">
        <f t="shared" si="30"/>
        <v>2439.1111111111113</v>
      </c>
      <c r="AQ68" s="43"/>
      <c r="AR68" s="42">
        <f t="shared" si="32"/>
        <v>7289.4</v>
      </c>
      <c r="AS68" s="42">
        <f t="shared" si="34"/>
        <v>2544.6000000000004</v>
      </c>
      <c r="AT68" s="42">
        <f t="shared" si="35"/>
        <v>6474989.160000002</v>
      </c>
      <c r="AU68" s="42">
        <f t="shared" si="45"/>
        <v>2544.6000000000004</v>
      </c>
      <c r="AV68" s="43"/>
      <c r="AW68" s="42">
        <f t="shared" si="36"/>
        <v>7369.545454545455</v>
      </c>
      <c r="AX68" s="42">
        <f t="shared" si="39"/>
        <v>2464.454545454545</v>
      </c>
      <c r="AY68" s="42">
        <f t="shared" si="37"/>
        <v>6073536.2066115681</v>
      </c>
      <c r="AZ68" s="42">
        <f t="shared" si="38"/>
        <v>2464.454545454545</v>
      </c>
      <c r="BA68" s="43"/>
      <c r="BB68" s="44">
        <f t="shared" si="46"/>
        <v>7373.083333333333</v>
      </c>
      <c r="BC68" s="42">
        <f t="shared" si="43"/>
        <v>2460.916666666667</v>
      </c>
      <c r="BD68" s="42">
        <f t="shared" si="40"/>
        <v>6056110.8402777789</v>
      </c>
      <c r="BE68" s="42">
        <f t="shared" si="41"/>
        <v>2460.916666666667</v>
      </c>
    </row>
    <row r="69" spans="1:57" ht="18" x14ac:dyDescent="0.2">
      <c r="A69" s="7">
        <v>40330</v>
      </c>
      <c r="B69" s="17">
        <v>8986</v>
      </c>
      <c r="D69" s="42">
        <f t="shared" si="47"/>
        <v>9578</v>
      </c>
      <c r="E69" s="42">
        <f t="shared" si="44"/>
        <v>-592</v>
      </c>
      <c r="F69" s="42">
        <f t="shared" si="0"/>
        <v>350464</v>
      </c>
      <c r="G69" s="42">
        <f t="shared" si="1"/>
        <v>592</v>
      </c>
      <c r="H69" s="43"/>
      <c r="I69" s="42">
        <f t="shared" si="2"/>
        <v>9862.6666666666661</v>
      </c>
      <c r="J69" s="42">
        <f t="shared" si="4"/>
        <v>-876.66666666666606</v>
      </c>
      <c r="K69" s="42">
        <f t="shared" si="5"/>
        <v>768544.44444444333</v>
      </c>
      <c r="L69" s="42">
        <f t="shared" si="6"/>
        <v>876.66666666666606</v>
      </c>
      <c r="M69" s="43"/>
      <c r="N69" s="42">
        <f t="shared" si="7"/>
        <v>9065</v>
      </c>
      <c r="O69" s="42">
        <f t="shared" si="9"/>
        <v>-79</v>
      </c>
      <c r="P69" s="42">
        <f t="shared" si="10"/>
        <v>6241</v>
      </c>
      <c r="Q69" s="42">
        <f t="shared" si="8"/>
        <v>79</v>
      </c>
      <c r="R69" s="43"/>
      <c r="S69" s="42">
        <f t="shared" si="11"/>
        <v>8225</v>
      </c>
      <c r="T69" s="42">
        <f t="shared" si="13"/>
        <v>761</v>
      </c>
      <c r="U69" s="42">
        <f t="shared" si="14"/>
        <v>579121</v>
      </c>
      <c r="V69" s="42">
        <f t="shared" si="12"/>
        <v>761</v>
      </c>
      <c r="W69" s="43"/>
      <c r="X69" s="42">
        <f t="shared" si="15"/>
        <v>8384.8333333333339</v>
      </c>
      <c r="Y69" s="42">
        <f t="shared" si="18"/>
        <v>601.16666666666606</v>
      </c>
      <c r="Z69" s="42">
        <f t="shared" si="19"/>
        <v>361401.36111111037</v>
      </c>
      <c r="AA69" s="42">
        <f t="shared" si="16"/>
        <v>601.16666666666606</v>
      </c>
      <c r="AB69" s="43"/>
      <c r="AC69" s="42">
        <f t="shared" si="20"/>
        <v>8115.8571428571431</v>
      </c>
      <c r="AD69" s="42">
        <f t="shared" si="22"/>
        <v>870.14285714285688</v>
      </c>
      <c r="AE69" s="42">
        <f t="shared" si="23"/>
        <v>757148.59183673421</v>
      </c>
      <c r="AF69" s="42">
        <f t="shared" si="21"/>
        <v>870.14285714285688</v>
      </c>
      <c r="AG69" s="43"/>
      <c r="AH69" s="42">
        <f t="shared" si="24"/>
        <v>7893.75</v>
      </c>
      <c r="AI69" s="42">
        <f t="shared" si="27"/>
        <v>1092.25</v>
      </c>
      <c r="AJ69" s="42">
        <f t="shared" si="25"/>
        <v>1193010.0625</v>
      </c>
      <c r="AK69" s="42">
        <f t="shared" si="26"/>
        <v>1092.25</v>
      </c>
      <c r="AL69" s="43"/>
      <c r="AM69" s="42">
        <f t="shared" si="28"/>
        <v>7620.8888888888887</v>
      </c>
      <c r="AN69" s="42">
        <f t="shared" si="31"/>
        <v>1365.1111111111113</v>
      </c>
      <c r="AO69" s="42">
        <f t="shared" si="29"/>
        <v>1863528.3456790128</v>
      </c>
      <c r="AP69" s="42">
        <f t="shared" si="30"/>
        <v>1365.1111111111113</v>
      </c>
      <c r="AQ69" s="43"/>
      <c r="AR69" s="42">
        <f t="shared" si="32"/>
        <v>7638.8</v>
      </c>
      <c r="AS69" s="42">
        <f t="shared" si="34"/>
        <v>1347.1999999999998</v>
      </c>
      <c r="AT69" s="42">
        <f t="shared" si="35"/>
        <v>1814947.8399999996</v>
      </c>
      <c r="AU69" s="42">
        <f t="shared" si="45"/>
        <v>1347.1999999999998</v>
      </c>
      <c r="AV69" s="43"/>
      <c r="AW69" s="42">
        <f t="shared" si="36"/>
        <v>7520.727272727273</v>
      </c>
      <c r="AX69" s="42">
        <f t="shared" si="39"/>
        <v>1465.272727272727</v>
      </c>
      <c r="AY69" s="42">
        <f t="shared" si="37"/>
        <v>2147024.1652892553</v>
      </c>
      <c r="AZ69" s="42">
        <f t="shared" si="38"/>
        <v>1465.272727272727</v>
      </c>
      <c r="BA69" s="43"/>
      <c r="BB69" s="44">
        <f t="shared" si="46"/>
        <v>7574.916666666667</v>
      </c>
      <c r="BC69" s="42">
        <f t="shared" si="43"/>
        <v>1411.083333333333</v>
      </c>
      <c r="BD69" s="42">
        <f t="shared" si="40"/>
        <v>1991156.1736111103</v>
      </c>
      <c r="BE69" s="42">
        <f t="shared" si="41"/>
        <v>1411.083333333333</v>
      </c>
    </row>
    <row r="70" spans="1:57" ht="18" x14ac:dyDescent="0.2">
      <c r="A70" s="7">
        <v>40360</v>
      </c>
      <c r="B70" s="17">
        <v>9570</v>
      </c>
      <c r="D70" s="42">
        <f t="shared" si="47"/>
        <v>9410</v>
      </c>
      <c r="E70" s="42">
        <f t="shared" si="44"/>
        <v>160</v>
      </c>
      <c r="F70" s="42">
        <f t="shared" si="0"/>
        <v>25600</v>
      </c>
      <c r="G70" s="42">
        <f t="shared" si="1"/>
        <v>160</v>
      </c>
      <c r="H70" s="43"/>
      <c r="I70" s="42">
        <f t="shared" si="2"/>
        <v>9380.6666666666661</v>
      </c>
      <c r="J70" s="42">
        <f t="shared" si="4"/>
        <v>189.33333333333394</v>
      </c>
      <c r="K70" s="42">
        <f t="shared" si="5"/>
        <v>35847.111111111342</v>
      </c>
      <c r="L70" s="42">
        <f t="shared" si="6"/>
        <v>189.33333333333394</v>
      </c>
      <c r="M70" s="43"/>
      <c r="N70" s="42">
        <f t="shared" si="7"/>
        <v>9643.5</v>
      </c>
      <c r="O70" s="42">
        <f t="shared" si="9"/>
        <v>-73.5</v>
      </c>
      <c r="P70" s="42">
        <f t="shared" si="10"/>
        <v>5402.25</v>
      </c>
      <c r="Q70" s="42">
        <f t="shared" si="8"/>
        <v>73.5</v>
      </c>
      <c r="R70" s="43"/>
      <c r="S70" s="42">
        <f t="shared" si="11"/>
        <v>9049.2000000000007</v>
      </c>
      <c r="T70" s="42">
        <f t="shared" si="13"/>
        <v>520.79999999999927</v>
      </c>
      <c r="U70" s="42">
        <f t="shared" si="14"/>
        <v>271232.63999999926</v>
      </c>
      <c r="V70" s="42">
        <f t="shared" si="12"/>
        <v>520.79999999999927</v>
      </c>
      <c r="W70" s="43"/>
      <c r="X70" s="42">
        <f t="shared" si="15"/>
        <v>8351.8333333333339</v>
      </c>
      <c r="Y70" s="42">
        <f t="shared" si="18"/>
        <v>1218.1666666666661</v>
      </c>
      <c r="Z70" s="42">
        <f t="shared" si="19"/>
        <v>1483930.0277777764</v>
      </c>
      <c r="AA70" s="42">
        <f t="shared" si="16"/>
        <v>1218.1666666666661</v>
      </c>
      <c r="AB70" s="43"/>
      <c r="AC70" s="42">
        <f t="shared" si="20"/>
        <v>8470.7142857142862</v>
      </c>
      <c r="AD70" s="42">
        <f t="shared" si="22"/>
        <v>1099.2857142857138</v>
      </c>
      <c r="AE70" s="42">
        <f t="shared" si="23"/>
        <v>1208429.0816326519</v>
      </c>
      <c r="AF70" s="42">
        <f t="shared" si="21"/>
        <v>1099.2857142857138</v>
      </c>
      <c r="AG70" s="43"/>
      <c r="AH70" s="42">
        <f t="shared" si="24"/>
        <v>8224.625</v>
      </c>
      <c r="AI70" s="42">
        <f t="shared" si="27"/>
        <v>1345.375</v>
      </c>
      <c r="AJ70" s="42">
        <f t="shared" si="25"/>
        <v>1810033.890625</v>
      </c>
      <c r="AK70" s="42">
        <f t="shared" si="26"/>
        <v>1345.375</v>
      </c>
      <c r="AL70" s="43"/>
      <c r="AM70" s="42">
        <f t="shared" si="28"/>
        <v>8015.1111111111113</v>
      </c>
      <c r="AN70" s="42">
        <f t="shared" si="31"/>
        <v>1554.8888888888887</v>
      </c>
      <c r="AO70" s="42">
        <f t="shared" si="29"/>
        <v>2417679.4567901227</v>
      </c>
      <c r="AP70" s="42">
        <f t="shared" si="30"/>
        <v>1554.8888888888887</v>
      </c>
      <c r="AQ70" s="43"/>
      <c r="AR70" s="42">
        <f t="shared" si="32"/>
        <v>7757.4</v>
      </c>
      <c r="AS70" s="42">
        <f t="shared" si="34"/>
        <v>1812.6000000000004</v>
      </c>
      <c r="AT70" s="42">
        <f t="shared" si="35"/>
        <v>3285518.7600000012</v>
      </c>
      <c r="AU70" s="42">
        <f t="shared" si="45"/>
        <v>1812.6000000000004</v>
      </c>
      <c r="AV70" s="43"/>
      <c r="AW70" s="42">
        <f t="shared" si="36"/>
        <v>7761.272727272727</v>
      </c>
      <c r="AX70" s="42">
        <f t="shared" si="39"/>
        <v>1808.727272727273</v>
      </c>
      <c r="AY70" s="42">
        <f t="shared" si="37"/>
        <v>3271494.3471074388</v>
      </c>
      <c r="AZ70" s="42">
        <f t="shared" si="38"/>
        <v>1808.727272727273</v>
      </c>
      <c r="BA70" s="43"/>
      <c r="BB70" s="44">
        <f t="shared" si="46"/>
        <v>7642.833333333333</v>
      </c>
      <c r="BC70" s="42">
        <f t="shared" si="43"/>
        <v>1927.166666666667</v>
      </c>
      <c r="BD70" s="42">
        <f t="shared" si="40"/>
        <v>3713971.3611111124</v>
      </c>
      <c r="BE70" s="42">
        <f t="shared" si="41"/>
        <v>1927.166666666667</v>
      </c>
    </row>
    <row r="71" spans="1:57" ht="18" x14ac:dyDescent="0.2">
      <c r="A71" s="7">
        <v>40391</v>
      </c>
      <c r="B71" s="17">
        <v>8484</v>
      </c>
      <c r="D71" s="42">
        <f t="shared" si="47"/>
        <v>9278</v>
      </c>
      <c r="E71" s="42">
        <f t="shared" si="44"/>
        <v>-794</v>
      </c>
      <c r="F71" s="42">
        <f t="shared" si="0"/>
        <v>630436</v>
      </c>
      <c r="G71" s="42">
        <f t="shared" si="1"/>
        <v>794</v>
      </c>
      <c r="H71" s="43"/>
      <c r="I71" s="42">
        <f t="shared" si="2"/>
        <v>9463.3333333333339</v>
      </c>
      <c r="J71" s="42">
        <f t="shared" si="4"/>
        <v>-979.33333333333394</v>
      </c>
      <c r="K71" s="42">
        <f t="shared" si="5"/>
        <v>959093.77777777892</v>
      </c>
      <c r="L71" s="42">
        <f t="shared" si="6"/>
        <v>979.33333333333394</v>
      </c>
      <c r="M71" s="43"/>
      <c r="N71" s="42">
        <f t="shared" si="7"/>
        <v>9428</v>
      </c>
      <c r="O71" s="42">
        <f t="shared" si="9"/>
        <v>-944</v>
      </c>
      <c r="P71" s="42">
        <f t="shared" si="10"/>
        <v>891136</v>
      </c>
      <c r="Q71" s="42">
        <f t="shared" si="8"/>
        <v>944</v>
      </c>
      <c r="R71" s="43"/>
      <c r="S71" s="42">
        <f t="shared" si="11"/>
        <v>9628.7999999999993</v>
      </c>
      <c r="T71" s="42">
        <f t="shared" si="13"/>
        <v>-1144.7999999999993</v>
      </c>
      <c r="U71" s="42">
        <f t="shared" si="14"/>
        <v>1310567.0399999984</v>
      </c>
      <c r="V71" s="42">
        <f t="shared" si="12"/>
        <v>1144.7999999999993</v>
      </c>
      <c r="W71" s="43"/>
      <c r="X71" s="42">
        <f t="shared" si="15"/>
        <v>9136</v>
      </c>
      <c r="Y71" s="42">
        <f t="shared" si="18"/>
        <v>-652</v>
      </c>
      <c r="Z71" s="42">
        <f t="shared" si="19"/>
        <v>425104</v>
      </c>
      <c r="AA71" s="42">
        <f t="shared" si="16"/>
        <v>652</v>
      </c>
      <c r="AB71" s="43"/>
      <c r="AC71" s="42">
        <f t="shared" si="20"/>
        <v>8525.8571428571431</v>
      </c>
      <c r="AD71" s="42">
        <f t="shared" si="22"/>
        <v>-41.857142857143117</v>
      </c>
      <c r="AE71" s="42">
        <f t="shared" si="23"/>
        <v>1752.0204081632871</v>
      </c>
      <c r="AF71" s="42">
        <f t="shared" si="21"/>
        <v>41.857142857143117</v>
      </c>
      <c r="AG71" s="43"/>
      <c r="AH71" s="42">
        <f t="shared" si="24"/>
        <v>8608.125</v>
      </c>
      <c r="AI71" s="42">
        <f t="shared" si="27"/>
        <v>-124.125</v>
      </c>
      <c r="AJ71" s="42">
        <f t="shared" si="25"/>
        <v>15407.015625</v>
      </c>
      <c r="AK71" s="42">
        <f t="shared" si="26"/>
        <v>124.125</v>
      </c>
      <c r="AL71" s="43"/>
      <c r="AM71" s="42">
        <f t="shared" si="28"/>
        <v>8374.1111111111113</v>
      </c>
      <c r="AN71" s="42">
        <f t="shared" si="31"/>
        <v>109.88888888888869</v>
      </c>
      <c r="AO71" s="42">
        <f t="shared" si="29"/>
        <v>12075.567901234523</v>
      </c>
      <c r="AP71" s="42">
        <f t="shared" si="30"/>
        <v>109.88888888888869</v>
      </c>
      <c r="AQ71" s="43"/>
      <c r="AR71" s="42">
        <f t="shared" si="32"/>
        <v>8170.6</v>
      </c>
      <c r="AS71" s="42">
        <f t="shared" si="34"/>
        <v>313.39999999999964</v>
      </c>
      <c r="AT71" s="42">
        <f t="shared" si="35"/>
        <v>98219.559999999765</v>
      </c>
      <c r="AU71" s="42">
        <f t="shared" si="45"/>
        <v>313.39999999999964</v>
      </c>
      <c r="AV71" s="43"/>
      <c r="AW71" s="42">
        <f t="shared" si="36"/>
        <v>7922.181818181818</v>
      </c>
      <c r="AX71" s="42">
        <f t="shared" si="39"/>
        <v>561.81818181818198</v>
      </c>
      <c r="AY71" s="42">
        <f t="shared" si="37"/>
        <v>315639.66942148778</v>
      </c>
      <c r="AZ71" s="42">
        <f t="shared" si="38"/>
        <v>561.81818181818198</v>
      </c>
      <c r="BA71" s="43"/>
      <c r="BB71" s="44">
        <f t="shared" si="46"/>
        <v>7912</v>
      </c>
      <c r="BC71" s="42">
        <f t="shared" si="43"/>
        <v>572</v>
      </c>
      <c r="BD71" s="42">
        <f t="shared" si="40"/>
        <v>327184</v>
      </c>
      <c r="BE71" s="42">
        <f t="shared" si="41"/>
        <v>572</v>
      </c>
    </row>
    <row r="72" spans="1:57" ht="18" x14ac:dyDescent="0.2">
      <c r="A72" s="7">
        <v>40422</v>
      </c>
      <c r="B72" s="17">
        <v>8059</v>
      </c>
      <c r="D72" s="42">
        <f t="shared" si="47"/>
        <v>9027</v>
      </c>
      <c r="E72" s="42">
        <f t="shared" si="44"/>
        <v>-968</v>
      </c>
      <c r="F72" s="42">
        <f t="shared" ref="F72:F135" si="48">E72^2</f>
        <v>937024</v>
      </c>
      <c r="G72" s="42">
        <f t="shared" ref="G72:G135" si="49">ABS(E72)</f>
        <v>968</v>
      </c>
      <c r="H72" s="43"/>
      <c r="I72" s="42">
        <f t="shared" ref="I72:I135" si="50">AVERAGE(B69:B71)</f>
        <v>9013.3333333333339</v>
      </c>
      <c r="J72" s="42">
        <f t="shared" si="4"/>
        <v>-954.33333333333394</v>
      </c>
      <c r="K72" s="42">
        <f t="shared" si="5"/>
        <v>910752.11111111229</v>
      </c>
      <c r="L72" s="42">
        <f t="shared" si="6"/>
        <v>954.33333333333394</v>
      </c>
      <c r="M72" s="43"/>
      <c r="N72" s="42">
        <f t="shared" si="7"/>
        <v>9218.5</v>
      </c>
      <c r="O72" s="42">
        <f t="shared" si="9"/>
        <v>-1159.5</v>
      </c>
      <c r="P72" s="42">
        <f t="shared" si="10"/>
        <v>1344440.25</v>
      </c>
      <c r="Q72" s="42">
        <f t="shared" si="8"/>
        <v>1159.5</v>
      </c>
      <c r="R72" s="43"/>
      <c r="S72" s="42">
        <f t="shared" si="11"/>
        <v>9239.2000000000007</v>
      </c>
      <c r="T72" s="42">
        <f t="shared" si="13"/>
        <v>-1180.2000000000007</v>
      </c>
      <c r="U72" s="42">
        <f t="shared" si="14"/>
        <v>1392872.0400000017</v>
      </c>
      <c r="V72" s="42">
        <f t="shared" si="12"/>
        <v>1180.2000000000007</v>
      </c>
      <c r="W72" s="43"/>
      <c r="X72" s="42">
        <f t="shared" si="15"/>
        <v>9438</v>
      </c>
      <c r="Y72" s="42">
        <f t="shared" si="18"/>
        <v>-1379</v>
      </c>
      <c r="Z72" s="42">
        <f t="shared" si="19"/>
        <v>1901641</v>
      </c>
      <c r="AA72" s="42">
        <f t="shared" si="16"/>
        <v>1379</v>
      </c>
      <c r="AB72" s="43"/>
      <c r="AC72" s="42">
        <f t="shared" si="20"/>
        <v>9042.8571428571431</v>
      </c>
      <c r="AD72" s="42">
        <f t="shared" si="22"/>
        <v>-983.85714285714312</v>
      </c>
      <c r="AE72" s="42">
        <f t="shared" si="23"/>
        <v>967974.87755102094</v>
      </c>
      <c r="AF72" s="42">
        <f t="shared" si="21"/>
        <v>983.85714285714312</v>
      </c>
      <c r="AG72" s="43"/>
      <c r="AH72" s="42">
        <f t="shared" si="24"/>
        <v>8520.625</v>
      </c>
      <c r="AI72" s="42">
        <f t="shared" si="27"/>
        <v>-461.625</v>
      </c>
      <c r="AJ72" s="42">
        <f t="shared" si="25"/>
        <v>213097.640625</v>
      </c>
      <c r="AK72" s="42">
        <f t="shared" si="26"/>
        <v>461.625</v>
      </c>
      <c r="AL72" s="43"/>
      <c r="AM72" s="42">
        <f t="shared" si="28"/>
        <v>8594.3333333333339</v>
      </c>
      <c r="AN72" s="42">
        <f t="shared" si="31"/>
        <v>-535.33333333333394</v>
      </c>
      <c r="AO72" s="42">
        <f t="shared" si="29"/>
        <v>286581.77777777845</v>
      </c>
      <c r="AP72" s="42">
        <f t="shared" si="30"/>
        <v>535.33333333333394</v>
      </c>
      <c r="AQ72" s="43"/>
      <c r="AR72" s="42">
        <f t="shared" si="32"/>
        <v>8385.1</v>
      </c>
      <c r="AS72" s="42">
        <f t="shared" si="34"/>
        <v>-326.10000000000036</v>
      </c>
      <c r="AT72" s="42">
        <f t="shared" si="35"/>
        <v>106341.21000000024</v>
      </c>
      <c r="AU72" s="42">
        <f t="shared" si="45"/>
        <v>326.10000000000036</v>
      </c>
      <c r="AV72" s="43"/>
      <c r="AW72" s="42">
        <f t="shared" si="36"/>
        <v>8199.0909090909099</v>
      </c>
      <c r="AX72" s="42">
        <f t="shared" si="39"/>
        <v>-140.09090909090992</v>
      </c>
      <c r="AY72" s="42">
        <f t="shared" si="37"/>
        <v>19625.462809917586</v>
      </c>
      <c r="AZ72" s="42">
        <f t="shared" si="38"/>
        <v>140.09090909090992</v>
      </c>
      <c r="BA72" s="43"/>
      <c r="BB72" s="44">
        <f t="shared" si="46"/>
        <v>7969</v>
      </c>
      <c r="BC72" s="42">
        <f t="shared" si="43"/>
        <v>90</v>
      </c>
      <c r="BD72" s="42">
        <f t="shared" si="40"/>
        <v>8100</v>
      </c>
      <c r="BE72" s="42">
        <f t="shared" si="41"/>
        <v>90</v>
      </c>
    </row>
    <row r="73" spans="1:57" ht="18" x14ac:dyDescent="0.2">
      <c r="A73" s="7">
        <v>40452</v>
      </c>
      <c r="B73" s="17">
        <v>8169</v>
      </c>
      <c r="D73" s="42">
        <f t="shared" si="47"/>
        <v>8271.5</v>
      </c>
      <c r="E73" s="42">
        <f t="shared" si="44"/>
        <v>-102.5</v>
      </c>
      <c r="F73" s="42">
        <f t="shared" si="48"/>
        <v>10506.25</v>
      </c>
      <c r="G73" s="42">
        <f t="shared" si="49"/>
        <v>102.5</v>
      </c>
      <c r="H73" s="43"/>
      <c r="I73" s="42">
        <f t="shared" si="50"/>
        <v>8704.3333333333339</v>
      </c>
      <c r="J73" s="42">
        <f t="shared" ref="J73:J136" si="51">$B73-I73</f>
        <v>-535.33333333333394</v>
      </c>
      <c r="K73" s="42">
        <f t="shared" ref="K73:K136" si="52">J73^2</f>
        <v>286581.77777777845</v>
      </c>
      <c r="L73" s="42">
        <f t="shared" ref="L73:L136" si="53">ABS(J73)</f>
        <v>535.33333333333394</v>
      </c>
      <c r="M73" s="43"/>
      <c r="N73" s="42">
        <f t="shared" ref="N73:N136" si="54">AVERAGE(B69:B72)</f>
        <v>8774.75</v>
      </c>
      <c r="O73" s="42">
        <f t="shared" si="9"/>
        <v>-605.75</v>
      </c>
      <c r="P73" s="42">
        <f t="shared" si="10"/>
        <v>366933.0625</v>
      </c>
      <c r="Q73" s="42">
        <f t="shared" ref="Q73:Q136" si="55">ABS(O73)</f>
        <v>605.75</v>
      </c>
      <c r="R73" s="43"/>
      <c r="S73" s="42">
        <f t="shared" si="11"/>
        <v>8986.6</v>
      </c>
      <c r="T73" s="42">
        <f t="shared" si="13"/>
        <v>-817.60000000000036</v>
      </c>
      <c r="U73" s="42">
        <f t="shared" si="14"/>
        <v>668469.76000000059</v>
      </c>
      <c r="V73" s="42">
        <f t="shared" si="12"/>
        <v>817.60000000000036</v>
      </c>
      <c r="W73" s="43"/>
      <c r="X73" s="42">
        <f t="shared" si="15"/>
        <v>9042.5</v>
      </c>
      <c r="Y73" s="42">
        <f t="shared" si="18"/>
        <v>-873.5</v>
      </c>
      <c r="Z73" s="42">
        <f t="shared" si="19"/>
        <v>763002.25</v>
      </c>
      <c r="AA73" s="42">
        <f t="shared" si="16"/>
        <v>873.5</v>
      </c>
      <c r="AB73" s="43"/>
      <c r="AC73" s="42">
        <f t="shared" si="20"/>
        <v>9241</v>
      </c>
      <c r="AD73" s="42">
        <f t="shared" si="22"/>
        <v>-1072</v>
      </c>
      <c r="AE73" s="42">
        <f t="shared" si="23"/>
        <v>1149184</v>
      </c>
      <c r="AF73" s="42">
        <f t="shared" si="21"/>
        <v>1072</v>
      </c>
      <c r="AG73" s="43"/>
      <c r="AH73" s="42">
        <f t="shared" si="24"/>
        <v>8919.875</v>
      </c>
      <c r="AI73" s="42">
        <f t="shared" si="27"/>
        <v>-750.875</v>
      </c>
      <c r="AJ73" s="42">
        <f t="shared" si="25"/>
        <v>563813.265625</v>
      </c>
      <c r="AK73" s="42">
        <f t="shared" si="26"/>
        <v>750.875</v>
      </c>
      <c r="AL73" s="43"/>
      <c r="AM73" s="42">
        <f t="shared" si="28"/>
        <v>8469.3333333333339</v>
      </c>
      <c r="AN73" s="42">
        <f t="shared" si="31"/>
        <v>-300.33333333333394</v>
      </c>
      <c r="AO73" s="42">
        <f t="shared" si="29"/>
        <v>90200.111111111473</v>
      </c>
      <c r="AP73" s="42">
        <f t="shared" si="30"/>
        <v>300.33333333333394</v>
      </c>
      <c r="AQ73" s="43"/>
      <c r="AR73" s="42">
        <f t="shared" si="32"/>
        <v>8540.7999999999993</v>
      </c>
      <c r="AS73" s="42">
        <f t="shared" si="34"/>
        <v>-371.79999999999927</v>
      </c>
      <c r="AT73" s="42">
        <f t="shared" si="35"/>
        <v>138235.23999999947</v>
      </c>
      <c r="AU73" s="42">
        <f t="shared" si="45"/>
        <v>371.79999999999927</v>
      </c>
      <c r="AV73" s="43"/>
      <c r="AW73" s="42">
        <f t="shared" si="36"/>
        <v>8355.454545454546</v>
      </c>
      <c r="AX73" s="42">
        <f t="shared" si="39"/>
        <v>-186.45454545454595</v>
      </c>
      <c r="AY73" s="42">
        <f t="shared" si="37"/>
        <v>34765.297520661341</v>
      </c>
      <c r="AZ73" s="42">
        <f t="shared" si="38"/>
        <v>186.45454545454595</v>
      </c>
      <c r="BA73" s="43"/>
      <c r="BB73" s="44">
        <f t="shared" si="46"/>
        <v>8187.416666666667</v>
      </c>
      <c r="BC73" s="42">
        <f t="shared" si="43"/>
        <v>-18.41666666666697</v>
      </c>
      <c r="BD73" s="42">
        <f t="shared" si="40"/>
        <v>339.17361111112228</v>
      </c>
      <c r="BE73" s="42">
        <f t="shared" si="41"/>
        <v>18.41666666666697</v>
      </c>
    </row>
    <row r="74" spans="1:57" ht="18" x14ac:dyDescent="0.2">
      <c r="A74" s="7">
        <v>40483</v>
      </c>
      <c r="B74" s="17">
        <v>7593</v>
      </c>
      <c r="D74" s="42">
        <f t="shared" si="47"/>
        <v>8114</v>
      </c>
      <c r="E74" s="42">
        <f t="shared" si="44"/>
        <v>-521</v>
      </c>
      <c r="F74" s="42">
        <f t="shared" si="48"/>
        <v>271441</v>
      </c>
      <c r="G74" s="42">
        <f t="shared" si="49"/>
        <v>521</v>
      </c>
      <c r="H74" s="43"/>
      <c r="I74" s="42">
        <f t="shared" si="50"/>
        <v>8237.3333333333339</v>
      </c>
      <c r="J74" s="42">
        <f t="shared" si="51"/>
        <v>-644.33333333333394</v>
      </c>
      <c r="K74" s="42">
        <f t="shared" si="52"/>
        <v>415165.44444444525</v>
      </c>
      <c r="L74" s="42">
        <f t="shared" si="53"/>
        <v>644.33333333333394</v>
      </c>
      <c r="M74" s="43"/>
      <c r="N74" s="42">
        <f t="shared" si="54"/>
        <v>8570.5</v>
      </c>
      <c r="O74" s="42">
        <f t="shared" ref="O74:O137" si="56">$B74-N74</f>
        <v>-977.5</v>
      </c>
      <c r="P74" s="42">
        <f t="shared" ref="P74:P137" si="57">O74^2</f>
        <v>955506.25</v>
      </c>
      <c r="Q74" s="42">
        <f t="shared" si="55"/>
        <v>977.5</v>
      </c>
      <c r="R74" s="43"/>
      <c r="S74" s="42">
        <f t="shared" ref="S74:S137" si="58">AVERAGE(B69:B73)</f>
        <v>8653.6</v>
      </c>
      <c r="T74" s="42">
        <f t="shared" si="13"/>
        <v>-1060.6000000000004</v>
      </c>
      <c r="U74" s="42">
        <f t="shared" si="14"/>
        <v>1124872.3600000008</v>
      </c>
      <c r="V74" s="42">
        <f t="shared" ref="V74:V137" si="59">ABS(T74)</f>
        <v>1060.6000000000004</v>
      </c>
      <c r="W74" s="43"/>
      <c r="X74" s="42">
        <f t="shared" si="15"/>
        <v>8850.3333333333339</v>
      </c>
      <c r="Y74" s="42">
        <f t="shared" si="18"/>
        <v>-1257.3333333333339</v>
      </c>
      <c r="Z74" s="42">
        <f t="shared" si="19"/>
        <v>1580887.1111111126</v>
      </c>
      <c r="AA74" s="42">
        <f t="shared" si="16"/>
        <v>1257.3333333333339</v>
      </c>
      <c r="AB74" s="43"/>
      <c r="AC74" s="42">
        <f t="shared" si="20"/>
        <v>8917.7142857142862</v>
      </c>
      <c r="AD74" s="42">
        <f t="shared" si="22"/>
        <v>-1324.7142857142862</v>
      </c>
      <c r="AE74" s="42">
        <f t="shared" si="23"/>
        <v>1754867.9387755117</v>
      </c>
      <c r="AF74" s="42">
        <f t="shared" si="21"/>
        <v>1324.7142857142862</v>
      </c>
      <c r="AG74" s="43"/>
      <c r="AH74" s="42">
        <f t="shared" si="24"/>
        <v>9107</v>
      </c>
      <c r="AI74" s="42">
        <f t="shared" si="27"/>
        <v>-1514</v>
      </c>
      <c r="AJ74" s="42">
        <f t="shared" si="25"/>
        <v>2292196</v>
      </c>
      <c r="AK74" s="42">
        <f t="shared" si="26"/>
        <v>1514</v>
      </c>
      <c r="AL74" s="43"/>
      <c r="AM74" s="42">
        <f t="shared" si="28"/>
        <v>8836.4444444444453</v>
      </c>
      <c r="AN74" s="42">
        <f t="shared" si="31"/>
        <v>-1243.4444444444453</v>
      </c>
      <c r="AO74" s="42">
        <f t="shared" si="29"/>
        <v>1546154.0864197551</v>
      </c>
      <c r="AP74" s="42">
        <f t="shared" si="30"/>
        <v>1243.4444444444453</v>
      </c>
      <c r="AQ74" s="43"/>
      <c r="AR74" s="42">
        <f t="shared" si="32"/>
        <v>8439.2999999999993</v>
      </c>
      <c r="AS74" s="42">
        <f t="shared" si="34"/>
        <v>-846.29999999999927</v>
      </c>
      <c r="AT74" s="42">
        <f t="shared" si="35"/>
        <v>716223.68999999878</v>
      </c>
      <c r="AU74" s="42">
        <f t="shared" si="45"/>
        <v>846.29999999999927</v>
      </c>
      <c r="AV74" s="43"/>
      <c r="AW74" s="42">
        <f t="shared" si="36"/>
        <v>8507</v>
      </c>
      <c r="AX74" s="42">
        <f t="shared" si="39"/>
        <v>-914</v>
      </c>
      <c r="AY74" s="42">
        <f t="shared" si="37"/>
        <v>835396</v>
      </c>
      <c r="AZ74" s="42">
        <f t="shared" si="38"/>
        <v>914</v>
      </c>
      <c r="BA74" s="43"/>
      <c r="BB74" s="44">
        <f t="shared" si="46"/>
        <v>8339.9166666666661</v>
      </c>
      <c r="BC74" s="42">
        <f t="shared" si="43"/>
        <v>-746.91666666666606</v>
      </c>
      <c r="BD74" s="42">
        <f t="shared" si="40"/>
        <v>557884.50694444356</v>
      </c>
      <c r="BE74" s="42">
        <f t="shared" si="41"/>
        <v>746.91666666666606</v>
      </c>
    </row>
    <row r="75" spans="1:57" ht="18" x14ac:dyDescent="0.2">
      <c r="A75" s="7">
        <v>40513</v>
      </c>
      <c r="B75" s="17">
        <v>10337</v>
      </c>
      <c r="D75" s="42">
        <f t="shared" si="47"/>
        <v>7881</v>
      </c>
      <c r="E75" s="42">
        <f t="shared" si="44"/>
        <v>2456</v>
      </c>
      <c r="F75" s="42">
        <f t="shared" si="48"/>
        <v>6031936</v>
      </c>
      <c r="G75" s="42">
        <f t="shared" si="49"/>
        <v>2456</v>
      </c>
      <c r="H75" s="43"/>
      <c r="I75" s="42">
        <f t="shared" si="50"/>
        <v>7940.333333333333</v>
      </c>
      <c r="J75" s="42">
        <f t="shared" si="51"/>
        <v>2396.666666666667</v>
      </c>
      <c r="K75" s="42">
        <f t="shared" si="52"/>
        <v>5744011.1111111129</v>
      </c>
      <c r="L75" s="42">
        <f t="shared" si="53"/>
        <v>2396.666666666667</v>
      </c>
      <c r="M75" s="43"/>
      <c r="N75" s="42">
        <f t="shared" si="54"/>
        <v>8076.25</v>
      </c>
      <c r="O75" s="42">
        <f t="shared" si="56"/>
        <v>2260.75</v>
      </c>
      <c r="P75" s="42">
        <f t="shared" si="57"/>
        <v>5110990.5625</v>
      </c>
      <c r="Q75" s="42">
        <f t="shared" si="55"/>
        <v>2260.75</v>
      </c>
      <c r="R75" s="43"/>
      <c r="S75" s="42">
        <f t="shared" si="58"/>
        <v>8375</v>
      </c>
      <c r="T75" s="42">
        <f t="shared" ref="T75:T138" si="60">$B75-S75</f>
        <v>1962</v>
      </c>
      <c r="U75" s="42">
        <f t="shared" ref="U75:U138" si="61">T75^2</f>
        <v>3849444</v>
      </c>
      <c r="V75" s="42">
        <f t="shared" si="59"/>
        <v>1962</v>
      </c>
      <c r="W75" s="43"/>
      <c r="X75" s="42">
        <f t="shared" ref="X75:X138" si="62">AVERAGE(B69:B74)</f>
        <v>8476.8333333333339</v>
      </c>
      <c r="Y75" s="42">
        <f t="shared" si="18"/>
        <v>1860.1666666666661</v>
      </c>
      <c r="Z75" s="42">
        <f t="shared" si="19"/>
        <v>3460220.0277777757</v>
      </c>
      <c r="AA75" s="42">
        <f t="shared" ref="AA75:AA138" si="63">ABS(Y75)</f>
        <v>1860.1666666666661</v>
      </c>
      <c r="AB75" s="43"/>
      <c r="AC75" s="42">
        <f t="shared" si="20"/>
        <v>8670.7142857142862</v>
      </c>
      <c r="AD75" s="42">
        <f t="shared" si="22"/>
        <v>1666.2857142857138</v>
      </c>
      <c r="AE75" s="42">
        <f t="shared" si="23"/>
        <v>2776508.0816326514</v>
      </c>
      <c r="AF75" s="42">
        <f t="shared" si="21"/>
        <v>1666.2857142857138</v>
      </c>
      <c r="AG75" s="43"/>
      <c r="AH75" s="42">
        <f t="shared" si="24"/>
        <v>8752.125</v>
      </c>
      <c r="AI75" s="42">
        <f t="shared" si="27"/>
        <v>1584.875</v>
      </c>
      <c r="AJ75" s="42">
        <f t="shared" si="25"/>
        <v>2511828.765625</v>
      </c>
      <c r="AK75" s="42">
        <f t="shared" si="26"/>
        <v>1584.875</v>
      </c>
      <c r="AL75" s="43"/>
      <c r="AM75" s="42">
        <f t="shared" si="28"/>
        <v>8938.7777777777774</v>
      </c>
      <c r="AN75" s="42">
        <f t="shared" si="31"/>
        <v>1398.2222222222226</v>
      </c>
      <c r="AO75" s="42">
        <f t="shared" si="29"/>
        <v>1955025.3827160506</v>
      </c>
      <c r="AP75" s="42">
        <f t="shared" si="30"/>
        <v>1398.2222222222226</v>
      </c>
      <c r="AQ75" s="43"/>
      <c r="AR75" s="42">
        <f t="shared" si="32"/>
        <v>8712.1</v>
      </c>
      <c r="AS75" s="42">
        <f t="shared" si="34"/>
        <v>1624.8999999999996</v>
      </c>
      <c r="AT75" s="42">
        <f t="shared" si="35"/>
        <v>2640300.0099999988</v>
      </c>
      <c r="AU75" s="42">
        <f t="shared" si="45"/>
        <v>1624.8999999999996</v>
      </c>
      <c r="AV75" s="43"/>
      <c r="AW75" s="42">
        <f t="shared" si="36"/>
        <v>8362.363636363636</v>
      </c>
      <c r="AX75" s="42">
        <f t="shared" si="39"/>
        <v>1974.636363636364</v>
      </c>
      <c r="AY75" s="42">
        <f t="shared" si="37"/>
        <v>3899188.7685950426</v>
      </c>
      <c r="AZ75" s="42">
        <f t="shared" si="38"/>
        <v>1974.636363636364</v>
      </c>
      <c r="BA75" s="43"/>
      <c r="BB75" s="44">
        <f t="shared" si="46"/>
        <v>8430.8333333333339</v>
      </c>
      <c r="BC75" s="42">
        <f t="shared" si="43"/>
        <v>1906.1666666666661</v>
      </c>
      <c r="BD75" s="42">
        <f t="shared" si="40"/>
        <v>3633471.3611111087</v>
      </c>
      <c r="BE75" s="42">
        <f t="shared" si="41"/>
        <v>1906.1666666666661</v>
      </c>
    </row>
    <row r="76" spans="1:57" ht="18" x14ac:dyDescent="0.2">
      <c r="A76" s="7">
        <v>40544</v>
      </c>
      <c r="B76" s="17">
        <v>6703</v>
      </c>
      <c r="D76" s="42">
        <f t="shared" si="47"/>
        <v>8965</v>
      </c>
      <c r="E76" s="42">
        <f t="shared" si="44"/>
        <v>-2262</v>
      </c>
      <c r="F76" s="42">
        <f t="shared" si="48"/>
        <v>5116644</v>
      </c>
      <c r="G76" s="42">
        <f t="shared" si="49"/>
        <v>2262</v>
      </c>
      <c r="H76" s="43"/>
      <c r="I76" s="42">
        <f t="shared" si="50"/>
        <v>8699.6666666666661</v>
      </c>
      <c r="J76" s="42">
        <f t="shared" si="51"/>
        <v>-1996.6666666666661</v>
      </c>
      <c r="K76" s="42">
        <f t="shared" si="52"/>
        <v>3986677.7777777752</v>
      </c>
      <c r="L76" s="42">
        <f t="shared" si="53"/>
        <v>1996.6666666666661</v>
      </c>
      <c r="M76" s="43"/>
      <c r="N76" s="42">
        <f t="shared" si="54"/>
        <v>8539.5</v>
      </c>
      <c r="O76" s="42">
        <f t="shared" si="56"/>
        <v>-1836.5</v>
      </c>
      <c r="P76" s="42">
        <f t="shared" si="57"/>
        <v>3372732.25</v>
      </c>
      <c r="Q76" s="42">
        <f t="shared" si="55"/>
        <v>1836.5</v>
      </c>
      <c r="R76" s="43"/>
      <c r="S76" s="42">
        <f t="shared" si="58"/>
        <v>8528.4</v>
      </c>
      <c r="T76" s="42">
        <f t="shared" si="60"/>
        <v>-1825.3999999999996</v>
      </c>
      <c r="U76" s="42">
        <f t="shared" si="61"/>
        <v>3332085.1599999988</v>
      </c>
      <c r="V76" s="42">
        <f t="shared" si="59"/>
        <v>1825.3999999999996</v>
      </c>
      <c r="W76" s="43"/>
      <c r="X76" s="42">
        <f t="shared" si="62"/>
        <v>8702</v>
      </c>
      <c r="Y76" s="42">
        <f t="shared" ref="Y76:Y139" si="64">$B76-X76</f>
        <v>-1999</v>
      </c>
      <c r="Z76" s="42">
        <f t="shared" ref="Z76:Z139" si="65">Y76^2</f>
        <v>3996001</v>
      </c>
      <c r="AA76" s="42">
        <f t="shared" si="63"/>
        <v>1999</v>
      </c>
      <c r="AB76" s="43"/>
      <c r="AC76" s="42">
        <f t="shared" ref="AC76:AC139" si="66">AVERAGE(B69:B75)</f>
        <v>8742.5714285714294</v>
      </c>
      <c r="AD76" s="42">
        <f t="shared" si="22"/>
        <v>-2039.5714285714294</v>
      </c>
      <c r="AE76" s="42">
        <f t="shared" si="23"/>
        <v>4159851.6122449012</v>
      </c>
      <c r="AF76" s="42">
        <f t="shared" ref="AF76:AF139" si="67">ABS(AD76)</f>
        <v>2039.5714285714294</v>
      </c>
      <c r="AG76" s="43"/>
      <c r="AH76" s="42">
        <f t="shared" si="24"/>
        <v>8879</v>
      </c>
      <c r="AI76" s="42">
        <f t="shared" si="27"/>
        <v>-2176</v>
      </c>
      <c r="AJ76" s="42">
        <f t="shared" si="25"/>
        <v>4734976</v>
      </c>
      <c r="AK76" s="42">
        <f t="shared" si="26"/>
        <v>2176</v>
      </c>
      <c r="AL76" s="43"/>
      <c r="AM76" s="42">
        <f t="shared" si="28"/>
        <v>8928.2222222222226</v>
      </c>
      <c r="AN76" s="42">
        <f t="shared" si="31"/>
        <v>-2225.2222222222226</v>
      </c>
      <c r="AO76" s="42">
        <f t="shared" si="29"/>
        <v>4951613.9382716063</v>
      </c>
      <c r="AP76" s="42">
        <f t="shared" si="30"/>
        <v>2225.2222222222226</v>
      </c>
      <c r="AQ76" s="43"/>
      <c r="AR76" s="42">
        <f t="shared" si="32"/>
        <v>9078.6</v>
      </c>
      <c r="AS76" s="42">
        <f t="shared" si="34"/>
        <v>-2375.6000000000004</v>
      </c>
      <c r="AT76" s="42">
        <f t="shared" si="35"/>
        <v>5643475.3600000013</v>
      </c>
      <c r="AU76" s="42">
        <f t="shared" si="45"/>
        <v>2375.6000000000004</v>
      </c>
      <c r="AV76" s="43"/>
      <c r="AW76" s="42">
        <f t="shared" si="36"/>
        <v>8859.818181818182</v>
      </c>
      <c r="AX76" s="42">
        <f t="shared" si="39"/>
        <v>-2156.818181818182</v>
      </c>
      <c r="AY76" s="42">
        <f t="shared" si="37"/>
        <v>4651864.6694214884</v>
      </c>
      <c r="AZ76" s="42">
        <f t="shared" si="38"/>
        <v>2156.818181818182</v>
      </c>
      <c r="BA76" s="43"/>
      <c r="BB76" s="44">
        <f t="shared" si="46"/>
        <v>8526.9166666666661</v>
      </c>
      <c r="BC76" s="42">
        <f t="shared" si="43"/>
        <v>-1823.9166666666661</v>
      </c>
      <c r="BD76" s="42">
        <f t="shared" si="40"/>
        <v>3326672.0069444422</v>
      </c>
      <c r="BE76" s="42">
        <f t="shared" si="41"/>
        <v>1823.9166666666661</v>
      </c>
    </row>
    <row r="77" spans="1:57" ht="18" x14ac:dyDescent="0.2">
      <c r="A77" s="7">
        <v>40575</v>
      </c>
      <c r="B77" s="17">
        <v>8224</v>
      </c>
      <c r="D77" s="42">
        <f t="shared" si="47"/>
        <v>8520</v>
      </c>
      <c r="E77" s="42">
        <f t="shared" si="44"/>
        <v>-296</v>
      </c>
      <c r="F77" s="42">
        <f t="shared" si="48"/>
        <v>87616</v>
      </c>
      <c r="G77" s="42">
        <f t="shared" si="49"/>
        <v>296</v>
      </c>
      <c r="H77" s="43"/>
      <c r="I77" s="42">
        <f t="shared" si="50"/>
        <v>8211</v>
      </c>
      <c r="J77" s="42">
        <f t="shared" si="51"/>
        <v>13</v>
      </c>
      <c r="K77" s="42">
        <f t="shared" si="52"/>
        <v>169</v>
      </c>
      <c r="L77" s="42">
        <f t="shared" si="53"/>
        <v>13</v>
      </c>
      <c r="M77" s="43"/>
      <c r="N77" s="42">
        <f t="shared" si="54"/>
        <v>8200.5</v>
      </c>
      <c r="O77" s="42">
        <f t="shared" si="56"/>
        <v>23.5</v>
      </c>
      <c r="P77" s="42">
        <f t="shared" si="57"/>
        <v>552.25</v>
      </c>
      <c r="Q77" s="42">
        <f t="shared" si="55"/>
        <v>23.5</v>
      </c>
      <c r="R77" s="43"/>
      <c r="S77" s="42">
        <f t="shared" si="58"/>
        <v>8172.2</v>
      </c>
      <c r="T77" s="42">
        <f t="shared" si="60"/>
        <v>51.800000000000182</v>
      </c>
      <c r="U77" s="42">
        <f t="shared" si="61"/>
        <v>2683.2400000000189</v>
      </c>
      <c r="V77" s="42">
        <f t="shared" si="59"/>
        <v>51.800000000000182</v>
      </c>
      <c r="W77" s="43"/>
      <c r="X77" s="42">
        <f t="shared" si="62"/>
        <v>8224.1666666666661</v>
      </c>
      <c r="Y77" s="42">
        <f t="shared" si="64"/>
        <v>-0.16666666666606034</v>
      </c>
      <c r="Z77" s="42">
        <f t="shared" si="65"/>
        <v>2.7777777777575667E-2</v>
      </c>
      <c r="AA77" s="42">
        <f t="shared" si="63"/>
        <v>0.16666666666606034</v>
      </c>
      <c r="AB77" s="43"/>
      <c r="AC77" s="42">
        <f t="shared" si="66"/>
        <v>8416.4285714285706</v>
      </c>
      <c r="AD77" s="42">
        <f t="shared" ref="AD77:AD140" si="68">$B77-AC77</f>
        <v>-192.42857142857065</v>
      </c>
      <c r="AE77" s="42">
        <f t="shared" ref="AE77:AE140" si="69">AD77^2</f>
        <v>37028.755102040515</v>
      </c>
      <c r="AF77" s="42">
        <f t="shared" si="67"/>
        <v>192.42857142857065</v>
      </c>
      <c r="AG77" s="43"/>
      <c r="AH77" s="42">
        <f t="shared" ref="AH77:AH140" si="70">AVERAGE(B69:B76)</f>
        <v>8487.625</v>
      </c>
      <c r="AI77" s="42">
        <f t="shared" si="27"/>
        <v>-263.625</v>
      </c>
      <c r="AJ77" s="42">
        <f t="shared" ref="AJ77:AJ140" si="71">AI77^2</f>
        <v>69498.140625</v>
      </c>
      <c r="AK77" s="42">
        <f t="shared" ref="AK77:AK140" si="72">ABS(AI77)</f>
        <v>263.625</v>
      </c>
      <c r="AL77" s="43"/>
      <c r="AM77" s="42">
        <f t="shared" si="28"/>
        <v>8637.2222222222226</v>
      </c>
      <c r="AN77" s="42">
        <f t="shared" si="31"/>
        <v>-413.22222222222263</v>
      </c>
      <c r="AO77" s="42">
        <f t="shared" si="29"/>
        <v>170752.60493827195</v>
      </c>
      <c r="AP77" s="42">
        <f t="shared" si="30"/>
        <v>413.22222222222263</v>
      </c>
      <c r="AQ77" s="43"/>
      <c r="AR77" s="42">
        <f t="shared" si="32"/>
        <v>8705.7000000000007</v>
      </c>
      <c r="AS77" s="42">
        <f t="shared" si="34"/>
        <v>-481.70000000000073</v>
      </c>
      <c r="AT77" s="42">
        <f t="shared" si="35"/>
        <v>232034.89000000071</v>
      </c>
      <c r="AU77" s="42">
        <f t="shared" si="45"/>
        <v>481.70000000000073</v>
      </c>
      <c r="AV77" s="43"/>
      <c r="AW77" s="42">
        <f t="shared" si="36"/>
        <v>8862.636363636364</v>
      </c>
      <c r="AX77" s="42">
        <f t="shared" si="39"/>
        <v>-638.63636363636397</v>
      </c>
      <c r="AY77" s="42">
        <f t="shared" si="37"/>
        <v>407856.40495867812</v>
      </c>
      <c r="AZ77" s="42">
        <f t="shared" si="38"/>
        <v>638.63636363636397</v>
      </c>
      <c r="BA77" s="43"/>
      <c r="BB77" s="44">
        <f t="shared" si="46"/>
        <v>8680.0833333333339</v>
      </c>
      <c r="BC77" s="42">
        <f t="shared" si="43"/>
        <v>-456.08333333333394</v>
      </c>
      <c r="BD77" s="42">
        <f t="shared" si="40"/>
        <v>208012.00694444499</v>
      </c>
      <c r="BE77" s="42">
        <f t="shared" si="41"/>
        <v>456.08333333333394</v>
      </c>
    </row>
    <row r="78" spans="1:57" ht="18" x14ac:dyDescent="0.2">
      <c r="A78" s="7">
        <v>40603</v>
      </c>
      <c r="B78" s="17">
        <v>9608</v>
      </c>
      <c r="D78" s="42">
        <f t="shared" si="47"/>
        <v>7463.5</v>
      </c>
      <c r="E78" s="42">
        <f t="shared" si="44"/>
        <v>2144.5</v>
      </c>
      <c r="F78" s="42">
        <f t="shared" si="48"/>
        <v>4598880.25</v>
      </c>
      <c r="G78" s="42">
        <f t="shared" si="49"/>
        <v>2144.5</v>
      </c>
      <c r="H78" s="43"/>
      <c r="I78" s="42">
        <f t="shared" si="50"/>
        <v>8421.3333333333339</v>
      </c>
      <c r="J78" s="42">
        <f t="shared" si="51"/>
        <v>1186.6666666666661</v>
      </c>
      <c r="K78" s="42">
        <f t="shared" si="52"/>
        <v>1408177.7777777764</v>
      </c>
      <c r="L78" s="42">
        <f t="shared" si="53"/>
        <v>1186.6666666666661</v>
      </c>
      <c r="M78" s="43"/>
      <c r="N78" s="42">
        <f t="shared" si="54"/>
        <v>8214.25</v>
      </c>
      <c r="O78" s="42">
        <f t="shared" si="56"/>
        <v>1393.75</v>
      </c>
      <c r="P78" s="42">
        <f t="shared" si="57"/>
        <v>1942539.0625</v>
      </c>
      <c r="Q78" s="42">
        <f t="shared" si="55"/>
        <v>1393.75</v>
      </c>
      <c r="R78" s="43"/>
      <c r="S78" s="42">
        <f t="shared" si="58"/>
        <v>8205.2000000000007</v>
      </c>
      <c r="T78" s="42">
        <f t="shared" si="60"/>
        <v>1402.7999999999993</v>
      </c>
      <c r="U78" s="42">
        <f t="shared" si="61"/>
        <v>1967847.839999998</v>
      </c>
      <c r="V78" s="42">
        <f t="shared" si="59"/>
        <v>1402.7999999999993</v>
      </c>
      <c r="W78" s="43"/>
      <c r="X78" s="42">
        <f t="shared" si="62"/>
        <v>8180.833333333333</v>
      </c>
      <c r="Y78" s="42">
        <f t="shared" si="64"/>
        <v>1427.166666666667</v>
      </c>
      <c r="Z78" s="42">
        <f t="shared" si="65"/>
        <v>2036804.6944444452</v>
      </c>
      <c r="AA78" s="42">
        <f t="shared" si="63"/>
        <v>1427.166666666667</v>
      </c>
      <c r="AB78" s="43"/>
      <c r="AC78" s="42">
        <f t="shared" si="66"/>
        <v>8224.1428571428569</v>
      </c>
      <c r="AD78" s="42">
        <f t="shared" si="68"/>
        <v>1383.8571428571431</v>
      </c>
      <c r="AE78" s="42">
        <f t="shared" si="69"/>
        <v>1915060.5918367354</v>
      </c>
      <c r="AF78" s="42">
        <f t="shared" si="67"/>
        <v>1383.8571428571431</v>
      </c>
      <c r="AG78" s="43"/>
      <c r="AH78" s="42">
        <f t="shared" si="70"/>
        <v>8392.375</v>
      </c>
      <c r="AI78" s="42">
        <f t="shared" ref="AI78:AI141" si="73">$B78-AH78</f>
        <v>1215.625</v>
      </c>
      <c r="AJ78" s="42">
        <f t="shared" si="71"/>
        <v>1477744.140625</v>
      </c>
      <c r="AK78" s="42">
        <f t="shared" si="72"/>
        <v>1215.625</v>
      </c>
      <c r="AL78" s="43"/>
      <c r="AM78" s="42">
        <f t="shared" ref="AM78:AM141" si="74">AVERAGE(B69:B77)</f>
        <v>8458.3333333333339</v>
      </c>
      <c r="AN78" s="42">
        <f t="shared" si="31"/>
        <v>1149.6666666666661</v>
      </c>
      <c r="AO78" s="42">
        <f t="shared" ref="AO78:AO141" si="75">AN78^2</f>
        <v>1321733.4444444431</v>
      </c>
      <c r="AP78" s="42">
        <f t="shared" ref="AP78:AP141" si="76">ABS(AN78)</f>
        <v>1149.6666666666661</v>
      </c>
      <c r="AQ78" s="43"/>
      <c r="AR78" s="42">
        <f t="shared" si="32"/>
        <v>8595.9</v>
      </c>
      <c r="AS78" s="42">
        <f t="shared" si="34"/>
        <v>1012.1000000000004</v>
      </c>
      <c r="AT78" s="42">
        <f t="shared" si="35"/>
        <v>1024346.4100000007</v>
      </c>
      <c r="AU78" s="42">
        <f t="shared" si="45"/>
        <v>1012.1000000000004</v>
      </c>
      <c r="AV78" s="43"/>
      <c r="AW78" s="42">
        <f t="shared" si="36"/>
        <v>8661.9090909090901</v>
      </c>
      <c r="AX78" s="42">
        <f t="shared" si="39"/>
        <v>946.09090909090992</v>
      </c>
      <c r="AY78" s="42">
        <f t="shared" si="37"/>
        <v>895088.00826446433</v>
      </c>
      <c r="AZ78" s="42">
        <f t="shared" si="38"/>
        <v>946.09090909090992</v>
      </c>
      <c r="BA78" s="43"/>
      <c r="BB78" s="44">
        <f t="shared" si="46"/>
        <v>8809.4166666666661</v>
      </c>
      <c r="BC78" s="42">
        <f t="shared" si="43"/>
        <v>798.58333333333394</v>
      </c>
      <c r="BD78" s="42">
        <f t="shared" si="40"/>
        <v>637735.3402777788</v>
      </c>
      <c r="BE78" s="42">
        <f t="shared" si="41"/>
        <v>798.58333333333394</v>
      </c>
    </row>
    <row r="79" spans="1:57" ht="18" x14ac:dyDescent="0.2">
      <c r="A79" s="7">
        <v>40634</v>
      </c>
      <c r="B79" s="17">
        <v>9488</v>
      </c>
      <c r="D79" s="42">
        <f t="shared" si="47"/>
        <v>8916</v>
      </c>
      <c r="E79" s="42">
        <f t="shared" si="44"/>
        <v>572</v>
      </c>
      <c r="F79" s="42">
        <f t="shared" si="48"/>
        <v>327184</v>
      </c>
      <c r="G79" s="42">
        <f t="shared" si="49"/>
        <v>572</v>
      </c>
      <c r="H79" s="43"/>
      <c r="I79" s="42">
        <f t="shared" si="50"/>
        <v>8178.333333333333</v>
      </c>
      <c r="J79" s="42">
        <f t="shared" si="51"/>
        <v>1309.666666666667</v>
      </c>
      <c r="K79" s="42">
        <f t="shared" si="52"/>
        <v>1715226.7777777787</v>
      </c>
      <c r="L79" s="42">
        <f t="shared" si="53"/>
        <v>1309.666666666667</v>
      </c>
      <c r="M79" s="43"/>
      <c r="N79" s="42">
        <f t="shared" si="54"/>
        <v>8718</v>
      </c>
      <c r="O79" s="42">
        <f t="shared" si="56"/>
        <v>770</v>
      </c>
      <c r="P79" s="42">
        <f t="shared" si="57"/>
        <v>592900</v>
      </c>
      <c r="Q79" s="42">
        <f t="shared" si="55"/>
        <v>770</v>
      </c>
      <c r="R79" s="43"/>
      <c r="S79" s="42">
        <f t="shared" si="58"/>
        <v>8493</v>
      </c>
      <c r="T79" s="42">
        <f t="shared" si="60"/>
        <v>995</v>
      </c>
      <c r="U79" s="42">
        <f t="shared" si="61"/>
        <v>990025</v>
      </c>
      <c r="V79" s="42">
        <f t="shared" si="59"/>
        <v>995</v>
      </c>
      <c r="W79" s="43"/>
      <c r="X79" s="42">
        <f t="shared" si="62"/>
        <v>8439</v>
      </c>
      <c r="Y79" s="42">
        <f t="shared" si="64"/>
        <v>1049</v>
      </c>
      <c r="Z79" s="42">
        <f t="shared" si="65"/>
        <v>1100401</v>
      </c>
      <c r="AA79" s="42">
        <f t="shared" si="63"/>
        <v>1049</v>
      </c>
      <c r="AB79" s="43"/>
      <c r="AC79" s="42">
        <f t="shared" si="66"/>
        <v>8384.7142857142862</v>
      </c>
      <c r="AD79" s="42">
        <f t="shared" si="68"/>
        <v>1103.2857142857138</v>
      </c>
      <c r="AE79" s="42">
        <f t="shared" si="69"/>
        <v>1217239.3673469375</v>
      </c>
      <c r="AF79" s="42">
        <f t="shared" si="67"/>
        <v>1103.2857142857138</v>
      </c>
      <c r="AG79" s="43"/>
      <c r="AH79" s="42">
        <f t="shared" si="70"/>
        <v>8397.125</v>
      </c>
      <c r="AI79" s="42">
        <f t="shared" si="73"/>
        <v>1090.875</v>
      </c>
      <c r="AJ79" s="42">
        <f t="shared" si="71"/>
        <v>1190008.265625</v>
      </c>
      <c r="AK79" s="42">
        <f t="shared" si="72"/>
        <v>1090.875</v>
      </c>
      <c r="AL79" s="43"/>
      <c r="AM79" s="42">
        <f t="shared" si="74"/>
        <v>8527.4444444444453</v>
      </c>
      <c r="AN79" s="42">
        <f t="shared" ref="AN79:AN142" si="77">$B79-AM79</f>
        <v>960.55555555555475</v>
      </c>
      <c r="AO79" s="42">
        <f t="shared" si="75"/>
        <v>922666.97530864039</v>
      </c>
      <c r="AP79" s="42">
        <f t="shared" si="76"/>
        <v>960.55555555555475</v>
      </c>
      <c r="AQ79" s="43"/>
      <c r="AR79" s="42">
        <f t="shared" ref="AR79:AR142" si="78">AVERAGE(B69:B78)</f>
        <v>8573.2999999999993</v>
      </c>
      <c r="AS79" s="42">
        <f t="shared" si="34"/>
        <v>914.70000000000073</v>
      </c>
      <c r="AT79" s="42">
        <f t="shared" si="35"/>
        <v>836676.09000000136</v>
      </c>
      <c r="AU79" s="42">
        <f t="shared" si="45"/>
        <v>914.70000000000073</v>
      </c>
      <c r="AV79" s="43"/>
      <c r="AW79" s="42">
        <f t="shared" si="36"/>
        <v>8687.9090909090901</v>
      </c>
      <c r="AX79" s="42">
        <f t="shared" si="39"/>
        <v>800.09090909090992</v>
      </c>
      <c r="AY79" s="42">
        <f t="shared" si="37"/>
        <v>640145.46280991868</v>
      </c>
      <c r="AZ79" s="42">
        <f t="shared" si="38"/>
        <v>800.09090909090992</v>
      </c>
      <c r="BA79" s="43"/>
      <c r="BB79" s="44">
        <f t="shared" si="46"/>
        <v>8740.75</v>
      </c>
      <c r="BC79" s="42">
        <f t="shared" si="43"/>
        <v>747.25</v>
      </c>
      <c r="BD79" s="42">
        <f t="shared" si="40"/>
        <v>558382.5625</v>
      </c>
      <c r="BE79" s="42">
        <f t="shared" si="41"/>
        <v>747.25</v>
      </c>
    </row>
    <row r="80" spans="1:57" ht="18" x14ac:dyDescent="0.2">
      <c r="A80" s="7">
        <v>40664</v>
      </c>
      <c r="B80" s="17">
        <v>8560</v>
      </c>
      <c r="D80" s="42">
        <f t="shared" si="47"/>
        <v>9548</v>
      </c>
      <c r="E80" s="42">
        <f t="shared" si="44"/>
        <v>-988</v>
      </c>
      <c r="F80" s="42">
        <f t="shared" si="48"/>
        <v>976144</v>
      </c>
      <c r="G80" s="42">
        <f t="shared" si="49"/>
        <v>988</v>
      </c>
      <c r="H80" s="43"/>
      <c r="I80" s="42">
        <f t="shared" si="50"/>
        <v>9106.6666666666661</v>
      </c>
      <c r="J80" s="42">
        <f t="shared" si="51"/>
        <v>-546.66666666666606</v>
      </c>
      <c r="K80" s="42">
        <f t="shared" si="52"/>
        <v>298844.4444444438</v>
      </c>
      <c r="L80" s="42">
        <f t="shared" si="53"/>
        <v>546.66666666666606</v>
      </c>
      <c r="M80" s="43"/>
      <c r="N80" s="42">
        <f t="shared" si="54"/>
        <v>8505.75</v>
      </c>
      <c r="O80" s="42">
        <f t="shared" si="56"/>
        <v>54.25</v>
      </c>
      <c r="P80" s="42">
        <f t="shared" si="57"/>
        <v>2943.0625</v>
      </c>
      <c r="Q80" s="42">
        <f t="shared" si="55"/>
        <v>54.25</v>
      </c>
      <c r="R80" s="43"/>
      <c r="S80" s="42">
        <f t="shared" si="58"/>
        <v>8872</v>
      </c>
      <c r="T80" s="42">
        <f t="shared" si="60"/>
        <v>-312</v>
      </c>
      <c r="U80" s="42">
        <f t="shared" si="61"/>
        <v>97344</v>
      </c>
      <c r="V80" s="42">
        <f t="shared" si="59"/>
        <v>312</v>
      </c>
      <c r="W80" s="43"/>
      <c r="X80" s="42">
        <f t="shared" si="62"/>
        <v>8658.8333333333339</v>
      </c>
      <c r="Y80" s="42">
        <f t="shared" si="64"/>
        <v>-98.83333333333394</v>
      </c>
      <c r="Z80" s="42">
        <f t="shared" si="65"/>
        <v>9768.0277777778974</v>
      </c>
      <c r="AA80" s="42">
        <f t="shared" si="63"/>
        <v>98.83333333333394</v>
      </c>
      <c r="AB80" s="43"/>
      <c r="AC80" s="42">
        <f t="shared" si="66"/>
        <v>8588.8571428571431</v>
      </c>
      <c r="AD80" s="42">
        <f t="shared" si="68"/>
        <v>-28.857142857143117</v>
      </c>
      <c r="AE80" s="42">
        <f t="shared" si="69"/>
        <v>832.73469387756597</v>
      </c>
      <c r="AF80" s="42">
        <f t="shared" si="67"/>
        <v>28.857142857143117</v>
      </c>
      <c r="AG80" s="43"/>
      <c r="AH80" s="42">
        <f t="shared" si="70"/>
        <v>8522.625</v>
      </c>
      <c r="AI80" s="42">
        <f t="shared" si="73"/>
        <v>37.375</v>
      </c>
      <c r="AJ80" s="42">
        <f t="shared" si="71"/>
        <v>1396.890625</v>
      </c>
      <c r="AK80" s="42">
        <f t="shared" si="72"/>
        <v>37.375</v>
      </c>
      <c r="AL80" s="43"/>
      <c r="AM80" s="42">
        <f t="shared" si="74"/>
        <v>8518.3333333333339</v>
      </c>
      <c r="AN80" s="42">
        <f t="shared" si="77"/>
        <v>41.66666666666606</v>
      </c>
      <c r="AO80" s="42">
        <f t="shared" si="75"/>
        <v>1736.1111111110606</v>
      </c>
      <c r="AP80" s="42">
        <f t="shared" si="76"/>
        <v>41.66666666666606</v>
      </c>
      <c r="AQ80" s="43"/>
      <c r="AR80" s="42">
        <f t="shared" si="78"/>
        <v>8623.5</v>
      </c>
      <c r="AS80" s="42">
        <f t="shared" ref="AS80:AS143" si="79">$B80-AR80</f>
        <v>-63.5</v>
      </c>
      <c r="AT80" s="42">
        <f t="shared" ref="AT80:AT143" si="80">AS80^2</f>
        <v>4032.25</v>
      </c>
      <c r="AU80" s="42">
        <f t="shared" si="45"/>
        <v>63.5</v>
      </c>
      <c r="AV80" s="43"/>
      <c r="AW80" s="42">
        <f t="shared" ref="AW80:AW143" si="81">AVERAGE(B69:B79)</f>
        <v>8656.454545454546</v>
      </c>
      <c r="AX80" s="42">
        <f t="shared" si="39"/>
        <v>-96.454545454545951</v>
      </c>
      <c r="AY80" s="42">
        <f t="shared" ref="AY80:AY143" si="82">AX80^2</f>
        <v>9303.4793388430717</v>
      </c>
      <c r="AZ80" s="42">
        <f t="shared" ref="AZ80:AZ143" si="83">ABS(AX80)</f>
        <v>96.454545454545951</v>
      </c>
      <c r="BA80" s="43"/>
      <c r="BB80" s="44">
        <f t="shared" si="46"/>
        <v>8754.5833333333339</v>
      </c>
      <c r="BC80" s="42">
        <f t="shared" si="43"/>
        <v>-194.58333333333394</v>
      </c>
      <c r="BD80" s="42">
        <f t="shared" si="40"/>
        <v>37862.67361111135</v>
      </c>
      <c r="BE80" s="42">
        <f t="shared" si="41"/>
        <v>194.58333333333394</v>
      </c>
    </row>
    <row r="81" spans="1:57" ht="18" x14ac:dyDescent="0.2">
      <c r="A81" s="7">
        <v>40695</v>
      </c>
      <c r="B81" s="17">
        <v>9035</v>
      </c>
      <c r="D81" s="42">
        <f t="shared" si="47"/>
        <v>9024</v>
      </c>
      <c r="E81" s="42">
        <f t="shared" si="44"/>
        <v>11</v>
      </c>
      <c r="F81" s="42">
        <f t="shared" si="48"/>
        <v>121</v>
      </c>
      <c r="G81" s="42">
        <f t="shared" si="49"/>
        <v>11</v>
      </c>
      <c r="H81" s="43"/>
      <c r="I81" s="42">
        <f t="shared" si="50"/>
        <v>9218.6666666666661</v>
      </c>
      <c r="J81" s="42">
        <f t="shared" si="51"/>
        <v>-183.66666666666606</v>
      </c>
      <c r="K81" s="42">
        <f t="shared" si="52"/>
        <v>33733.44444444422</v>
      </c>
      <c r="L81" s="42">
        <f t="shared" si="53"/>
        <v>183.66666666666606</v>
      </c>
      <c r="M81" s="43"/>
      <c r="N81" s="42">
        <f t="shared" si="54"/>
        <v>8970</v>
      </c>
      <c r="O81" s="42">
        <f t="shared" si="56"/>
        <v>65</v>
      </c>
      <c r="P81" s="42">
        <f t="shared" si="57"/>
        <v>4225</v>
      </c>
      <c r="Q81" s="42">
        <f t="shared" si="55"/>
        <v>65</v>
      </c>
      <c r="R81" s="43"/>
      <c r="S81" s="42">
        <f t="shared" si="58"/>
        <v>8516.6</v>
      </c>
      <c r="T81" s="42">
        <f t="shared" si="60"/>
        <v>518.39999999999964</v>
      </c>
      <c r="U81" s="42">
        <f t="shared" si="61"/>
        <v>268738.55999999965</v>
      </c>
      <c r="V81" s="42">
        <f t="shared" si="59"/>
        <v>518.39999999999964</v>
      </c>
      <c r="W81" s="43"/>
      <c r="X81" s="42">
        <f t="shared" si="62"/>
        <v>8820</v>
      </c>
      <c r="Y81" s="42">
        <f t="shared" si="64"/>
        <v>215</v>
      </c>
      <c r="Z81" s="42">
        <f t="shared" si="65"/>
        <v>46225</v>
      </c>
      <c r="AA81" s="42">
        <f t="shared" si="63"/>
        <v>215</v>
      </c>
      <c r="AB81" s="43"/>
      <c r="AC81" s="42">
        <f t="shared" si="66"/>
        <v>8644.7142857142862</v>
      </c>
      <c r="AD81" s="42">
        <f t="shared" si="68"/>
        <v>390.28571428571377</v>
      </c>
      <c r="AE81" s="42">
        <f t="shared" si="69"/>
        <v>152322.9387755098</v>
      </c>
      <c r="AF81" s="42">
        <f t="shared" si="67"/>
        <v>390.28571428571377</v>
      </c>
      <c r="AG81" s="43"/>
      <c r="AH81" s="42">
        <f t="shared" si="70"/>
        <v>8585.25</v>
      </c>
      <c r="AI81" s="42">
        <f t="shared" si="73"/>
        <v>449.75</v>
      </c>
      <c r="AJ81" s="42">
        <f t="shared" si="71"/>
        <v>202275.0625</v>
      </c>
      <c r="AK81" s="42">
        <f t="shared" si="72"/>
        <v>449.75</v>
      </c>
      <c r="AL81" s="43"/>
      <c r="AM81" s="42">
        <f t="shared" si="74"/>
        <v>8526.7777777777774</v>
      </c>
      <c r="AN81" s="42">
        <f t="shared" si="77"/>
        <v>508.22222222222263</v>
      </c>
      <c r="AO81" s="42">
        <f t="shared" si="75"/>
        <v>258289.82716049423</v>
      </c>
      <c r="AP81" s="42">
        <f t="shared" si="76"/>
        <v>508.22222222222263</v>
      </c>
      <c r="AQ81" s="43"/>
      <c r="AR81" s="42">
        <f t="shared" si="78"/>
        <v>8522.5</v>
      </c>
      <c r="AS81" s="42">
        <f t="shared" si="79"/>
        <v>512.5</v>
      </c>
      <c r="AT81" s="42">
        <f t="shared" si="80"/>
        <v>262656.25</v>
      </c>
      <c r="AU81" s="42">
        <f t="shared" si="45"/>
        <v>512.5</v>
      </c>
      <c r="AV81" s="43"/>
      <c r="AW81" s="42">
        <f t="shared" si="81"/>
        <v>8617.7272727272721</v>
      </c>
      <c r="AX81" s="42">
        <f t="shared" ref="AX81:AX144" si="84">$B81-AW81</f>
        <v>417.27272727272793</v>
      </c>
      <c r="AY81" s="42">
        <f t="shared" si="82"/>
        <v>174116.5289256204</v>
      </c>
      <c r="AZ81" s="42">
        <f t="shared" si="83"/>
        <v>417.27272727272793</v>
      </c>
      <c r="BA81" s="43"/>
      <c r="BB81" s="44">
        <f t="shared" si="46"/>
        <v>8648.4166666666661</v>
      </c>
      <c r="BC81" s="42">
        <f t="shared" si="43"/>
        <v>386.58333333333394</v>
      </c>
      <c r="BD81" s="42">
        <f t="shared" ref="BD81:BD144" si="85">BC81^2</f>
        <v>149446.67361111159</v>
      </c>
      <c r="BE81" s="42">
        <f t="shared" ref="BE81:BE144" si="86">ABS(BC81)</f>
        <v>386.58333333333394</v>
      </c>
    </row>
    <row r="82" spans="1:57" ht="18" x14ac:dyDescent="0.2">
      <c r="A82" s="7">
        <v>40725</v>
      </c>
      <c r="B82" s="17">
        <v>9954</v>
      </c>
      <c r="D82" s="42">
        <f t="shared" si="47"/>
        <v>8797.5</v>
      </c>
      <c r="E82" s="42">
        <f t="shared" si="44"/>
        <v>1156.5</v>
      </c>
      <c r="F82" s="42">
        <f t="shared" si="48"/>
        <v>1337492.25</v>
      </c>
      <c r="G82" s="42">
        <f t="shared" si="49"/>
        <v>1156.5</v>
      </c>
      <c r="H82" s="43"/>
      <c r="I82" s="42">
        <f t="shared" si="50"/>
        <v>9027.6666666666661</v>
      </c>
      <c r="J82" s="42">
        <f t="shared" si="51"/>
        <v>926.33333333333394</v>
      </c>
      <c r="K82" s="42">
        <f t="shared" si="52"/>
        <v>858093.44444444554</v>
      </c>
      <c r="L82" s="42">
        <f t="shared" si="53"/>
        <v>926.33333333333394</v>
      </c>
      <c r="M82" s="43"/>
      <c r="N82" s="42">
        <f t="shared" si="54"/>
        <v>9172.75</v>
      </c>
      <c r="O82" s="42">
        <f t="shared" si="56"/>
        <v>781.25</v>
      </c>
      <c r="P82" s="42">
        <f t="shared" si="57"/>
        <v>610351.5625</v>
      </c>
      <c r="Q82" s="42">
        <f t="shared" si="55"/>
        <v>781.25</v>
      </c>
      <c r="R82" s="43"/>
      <c r="S82" s="42">
        <f t="shared" si="58"/>
        <v>8983</v>
      </c>
      <c r="T82" s="42">
        <f t="shared" si="60"/>
        <v>971</v>
      </c>
      <c r="U82" s="42">
        <f t="shared" si="61"/>
        <v>942841</v>
      </c>
      <c r="V82" s="42">
        <f t="shared" si="59"/>
        <v>971</v>
      </c>
      <c r="W82" s="43"/>
      <c r="X82" s="42">
        <f t="shared" si="62"/>
        <v>8603</v>
      </c>
      <c r="Y82" s="42">
        <f t="shared" si="64"/>
        <v>1351</v>
      </c>
      <c r="Z82" s="42">
        <f t="shared" si="65"/>
        <v>1825201</v>
      </c>
      <c r="AA82" s="42">
        <f t="shared" si="63"/>
        <v>1351</v>
      </c>
      <c r="AB82" s="43"/>
      <c r="AC82" s="42">
        <f t="shared" si="66"/>
        <v>8850.7142857142862</v>
      </c>
      <c r="AD82" s="42">
        <f t="shared" si="68"/>
        <v>1103.2857142857138</v>
      </c>
      <c r="AE82" s="42">
        <f t="shared" si="69"/>
        <v>1217239.3673469375</v>
      </c>
      <c r="AF82" s="42">
        <f t="shared" si="67"/>
        <v>1103.2857142857138</v>
      </c>
      <c r="AG82" s="43"/>
      <c r="AH82" s="42">
        <f t="shared" si="70"/>
        <v>8693.5</v>
      </c>
      <c r="AI82" s="42">
        <f t="shared" si="73"/>
        <v>1260.5</v>
      </c>
      <c r="AJ82" s="42">
        <f t="shared" si="71"/>
        <v>1588860.25</v>
      </c>
      <c r="AK82" s="42">
        <f t="shared" si="72"/>
        <v>1260.5</v>
      </c>
      <c r="AL82" s="43"/>
      <c r="AM82" s="42">
        <f t="shared" si="74"/>
        <v>8635.2222222222226</v>
      </c>
      <c r="AN82" s="42">
        <f t="shared" si="77"/>
        <v>1318.7777777777774</v>
      </c>
      <c r="AO82" s="42">
        <f t="shared" si="75"/>
        <v>1739174.8271604928</v>
      </c>
      <c r="AP82" s="42">
        <f t="shared" si="76"/>
        <v>1318.7777777777774</v>
      </c>
      <c r="AQ82" s="43"/>
      <c r="AR82" s="42">
        <f t="shared" si="78"/>
        <v>8577.6</v>
      </c>
      <c r="AS82" s="42">
        <f t="shared" si="79"/>
        <v>1376.3999999999996</v>
      </c>
      <c r="AT82" s="42">
        <f t="shared" si="80"/>
        <v>1894476.959999999</v>
      </c>
      <c r="AU82" s="42">
        <f t="shared" si="45"/>
        <v>1376.3999999999996</v>
      </c>
      <c r="AV82" s="43"/>
      <c r="AW82" s="42">
        <f t="shared" si="81"/>
        <v>8569.0909090909099</v>
      </c>
      <c r="AX82" s="42">
        <f t="shared" si="84"/>
        <v>1384.9090909090901</v>
      </c>
      <c r="AY82" s="42">
        <f t="shared" si="82"/>
        <v>1917973.1900826422</v>
      </c>
      <c r="AZ82" s="42">
        <f t="shared" si="83"/>
        <v>1384.9090909090901</v>
      </c>
      <c r="BA82" s="43"/>
      <c r="BB82" s="44">
        <f t="shared" si="46"/>
        <v>8652.5</v>
      </c>
      <c r="BC82" s="42">
        <f t="shared" ref="BC82:BC145" si="87">$B82-BB82</f>
        <v>1301.5</v>
      </c>
      <c r="BD82" s="42">
        <f t="shared" si="85"/>
        <v>1693902.25</v>
      </c>
      <c r="BE82" s="42">
        <f t="shared" si="86"/>
        <v>1301.5</v>
      </c>
    </row>
    <row r="83" spans="1:57" ht="18" x14ac:dyDescent="0.2">
      <c r="A83" s="7">
        <v>40756</v>
      </c>
      <c r="B83" s="17">
        <v>9825</v>
      </c>
      <c r="D83" s="42">
        <f t="shared" si="47"/>
        <v>9494.5</v>
      </c>
      <c r="E83" s="42">
        <f t="shared" si="44"/>
        <v>330.5</v>
      </c>
      <c r="F83" s="42">
        <f t="shared" si="48"/>
        <v>109230.25</v>
      </c>
      <c r="G83" s="42">
        <f t="shared" si="49"/>
        <v>330.5</v>
      </c>
      <c r="H83" s="43"/>
      <c r="I83" s="42">
        <f t="shared" si="50"/>
        <v>9183</v>
      </c>
      <c r="J83" s="42">
        <f t="shared" si="51"/>
        <v>642</v>
      </c>
      <c r="K83" s="42">
        <f t="shared" si="52"/>
        <v>412164</v>
      </c>
      <c r="L83" s="42">
        <f t="shared" si="53"/>
        <v>642</v>
      </c>
      <c r="M83" s="43"/>
      <c r="N83" s="42">
        <f t="shared" si="54"/>
        <v>9259.25</v>
      </c>
      <c r="O83" s="42">
        <f t="shared" si="56"/>
        <v>565.75</v>
      </c>
      <c r="P83" s="42">
        <f t="shared" si="57"/>
        <v>320073.0625</v>
      </c>
      <c r="Q83" s="42">
        <f t="shared" si="55"/>
        <v>565.75</v>
      </c>
      <c r="R83" s="43"/>
      <c r="S83" s="42">
        <f t="shared" si="58"/>
        <v>9329</v>
      </c>
      <c r="T83" s="42">
        <f t="shared" si="60"/>
        <v>496</v>
      </c>
      <c r="U83" s="42">
        <f t="shared" si="61"/>
        <v>246016</v>
      </c>
      <c r="V83" s="42">
        <f t="shared" si="59"/>
        <v>496</v>
      </c>
      <c r="W83" s="43"/>
      <c r="X83" s="42">
        <f t="shared" si="62"/>
        <v>9144.8333333333339</v>
      </c>
      <c r="Y83" s="42">
        <f t="shared" si="64"/>
        <v>680.16666666666606</v>
      </c>
      <c r="Z83" s="42">
        <f t="shared" si="65"/>
        <v>462626.69444444362</v>
      </c>
      <c r="AA83" s="42">
        <f t="shared" si="63"/>
        <v>680.16666666666606</v>
      </c>
      <c r="AB83" s="43"/>
      <c r="AC83" s="42">
        <f t="shared" si="66"/>
        <v>8796</v>
      </c>
      <c r="AD83" s="42">
        <f t="shared" si="68"/>
        <v>1029</v>
      </c>
      <c r="AE83" s="42">
        <f t="shared" si="69"/>
        <v>1058841</v>
      </c>
      <c r="AF83" s="42">
        <f t="shared" si="67"/>
        <v>1029</v>
      </c>
      <c r="AG83" s="43"/>
      <c r="AH83" s="42">
        <f t="shared" si="70"/>
        <v>8988.625</v>
      </c>
      <c r="AI83" s="42">
        <f t="shared" si="73"/>
        <v>836.375</v>
      </c>
      <c r="AJ83" s="42">
        <f t="shared" si="71"/>
        <v>699523.140625</v>
      </c>
      <c r="AK83" s="42">
        <f t="shared" si="72"/>
        <v>836.375</v>
      </c>
      <c r="AL83" s="43"/>
      <c r="AM83" s="42">
        <f t="shared" si="74"/>
        <v>8833.5555555555547</v>
      </c>
      <c r="AN83" s="42">
        <f t="shared" si="77"/>
        <v>991.44444444444525</v>
      </c>
      <c r="AO83" s="42">
        <f t="shared" si="75"/>
        <v>982962.08641975466</v>
      </c>
      <c r="AP83" s="42">
        <f t="shared" si="76"/>
        <v>991.44444444444525</v>
      </c>
      <c r="AQ83" s="43"/>
      <c r="AR83" s="42">
        <f t="shared" si="78"/>
        <v>8767.1</v>
      </c>
      <c r="AS83" s="42">
        <f t="shared" si="79"/>
        <v>1057.8999999999996</v>
      </c>
      <c r="AT83" s="42">
        <f t="shared" si="80"/>
        <v>1119152.4099999992</v>
      </c>
      <c r="AU83" s="42">
        <f t="shared" si="45"/>
        <v>1057.8999999999996</v>
      </c>
      <c r="AV83" s="43"/>
      <c r="AW83" s="42">
        <f t="shared" si="81"/>
        <v>8702.7272727272721</v>
      </c>
      <c r="AX83" s="42">
        <f t="shared" si="84"/>
        <v>1122.2727272727279</v>
      </c>
      <c r="AY83" s="42">
        <f t="shared" si="82"/>
        <v>1259496.0743801668</v>
      </c>
      <c r="AZ83" s="42">
        <f t="shared" si="83"/>
        <v>1122.2727272727279</v>
      </c>
      <c r="BA83" s="43"/>
      <c r="BB83" s="44">
        <f t="shared" si="46"/>
        <v>8684.5</v>
      </c>
      <c r="BC83" s="42">
        <f t="shared" si="87"/>
        <v>1140.5</v>
      </c>
      <c r="BD83" s="42">
        <f t="shared" si="85"/>
        <v>1300740.25</v>
      </c>
      <c r="BE83" s="42">
        <f t="shared" si="86"/>
        <v>1140.5</v>
      </c>
    </row>
    <row r="84" spans="1:57" ht="18" x14ac:dyDescent="0.2">
      <c r="A84" s="7">
        <v>40787</v>
      </c>
      <c r="B84" s="17">
        <v>10306</v>
      </c>
      <c r="D84" s="42">
        <f t="shared" si="47"/>
        <v>9889.5</v>
      </c>
      <c r="E84" s="42">
        <f t="shared" si="44"/>
        <v>416.5</v>
      </c>
      <c r="F84" s="42">
        <f t="shared" si="48"/>
        <v>173472.25</v>
      </c>
      <c r="G84" s="42">
        <f t="shared" si="49"/>
        <v>416.5</v>
      </c>
      <c r="H84" s="43"/>
      <c r="I84" s="42">
        <f t="shared" si="50"/>
        <v>9604.6666666666661</v>
      </c>
      <c r="J84" s="42">
        <f t="shared" si="51"/>
        <v>701.33333333333394</v>
      </c>
      <c r="K84" s="42">
        <f t="shared" si="52"/>
        <v>491868.44444444531</v>
      </c>
      <c r="L84" s="42">
        <f t="shared" si="53"/>
        <v>701.33333333333394</v>
      </c>
      <c r="M84" s="43"/>
      <c r="N84" s="42">
        <f t="shared" si="54"/>
        <v>9343.5</v>
      </c>
      <c r="O84" s="42">
        <f t="shared" si="56"/>
        <v>962.5</v>
      </c>
      <c r="P84" s="42">
        <f t="shared" si="57"/>
        <v>926406.25</v>
      </c>
      <c r="Q84" s="42">
        <f t="shared" si="55"/>
        <v>962.5</v>
      </c>
      <c r="R84" s="43"/>
      <c r="S84" s="42">
        <f t="shared" si="58"/>
        <v>9372.4</v>
      </c>
      <c r="T84" s="42">
        <f t="shared" si="60"/>
        <v>933.60000000000036</v>
      </c>
      <c r="U84" s="42">
        <f t="shared" si="61"/>
        <v>871608.96000000066</v>
      </c>
      <c r="V84" s="42">
        <f t="shared" si="59"/>
        <v>933.60000000000036</v>
      </c>
      <c r="W84" s="43"/>
      <c r="X84" s="42">
        <f t="shared" si="62"/>
        <v>9411.6666666666661</v>
      </c>
      <c r="Y84" s="42">
        <f t="shared" si="64"/>
        <v>894.33333333333394</v>
      </c>
      <c r="Z84" s="42">
        <f t="shared" si="65"/>
        <v>799832.11111111217</v>
      </c>
      <c r="AA84" s="42">
        <f t="shared" si="63"/>
        <v>894.33333333333394</v>
      </c>
      <c r="AB84" s="43"/>
      <c r="AC84" s="42">
        <f t="shared" si="66"/>
        <v>9242</v>
      </c>
      <c r="AD84" s="42">
        <f t="shared" si="68"/>
        <v>1064</v>
      </c>
      <c r="AE84" s="42">
        <f t="shared" si="69"/>
        <v>1132096</v>
      </c>
      <c r="AF84" s="42">
        <f t="shared" si="67"/>
        <v>1064</v>
      </c>
      <c r="AG84" s="43"/>
      <c r="AH84" s="42">
        <f t="shared" si="70"/>
        <v>8924.625</v>
      </c>
      <c r="AI84" s="42">
        <f t="shared" si="73"/>
        <v>1381.375</v>
      </c>
      <c r="AJ84" s="42">
        <f t="shared" si="71"/>
        <v>1908196.890625</v>
      </c>
      <c r="AK84" s="42">
        <f t="shared" si="72"/>
        <v>1381.375</v>
      </c>
      <c r="AL84" s="43"/>
      <c r="AM84" s="42">
        <f t="shared" si="74"/>
        <v>9081.5555555555547</v>
      </c>
      <c r="AN84" s="42">
        <f t="shared" si="77"/>
        <v>1224.4444444444453</v>
      </c>
      <c r="AO84" s="42">
        <f t="shared" si="75"/>
        <v>1499264.1975308661</v>
      </c>
      <c r="AP84" s="42">
        <f t="shared" si="76"/>
        <v>1224.4444444444453</v>
      </c>
      <c r="AQ84" s="43"/>
      <c r="AR84" s="42">
        <f t="shared" si="78"/>
        <v>8932.7000000000007</v>
      </c>
      <c r="AS84" s="42">
        <f t="shared" si="79"/>
        <v>1373.2999999999993</v>
      </c>
      <c r="AT84" s="42">
        <f t="shared" si="80"/>
        <v>1885952.889999998</v>
      </c>
      <c r="AU84" s="42">
        <f t="shared" si="45"/>
        <v>1373.2999999999993</v>
      </c>
      <c r="AV84" s="43"/>
      <c r="AW84" s="42">
        <f t="shared" si="81"/>
        <v>8863.2727272727279</v>
      </c>
      <c r="AX84" s="42">
        <f t="shared" si="84"/>
        <v>1442.7272727272721</v>
      </c>
      <c r="AY84" s="42">
        <f t="shared" si="82"/>
        <v>2081461.9834710725</v>
      </c>
      <c r="AZ84" s="42">
        <f t="shared" si="83"/>
        <v>1442.7272727272721</v>
      </c>
      <c r="BA84" s="43"/>
      <c r="BB84" s="44">
        <f t="shared" si="46"/>
        <v>8796.25</v>
      </c>
      <c r="BC84" s="42">
        <f t="shared" si="87"/>
        <v>1509.75</v>
      </c>
      <c r="BD84" s="42">
        <f t="shared" si="85"/>
        <v>2279345.0625</v>
      </c>
      <c r="BE84" s="42">
        <f t="shared" si="86"/>
        <v>1509.75</v>
      </c>
    </row>
    <row r="85" spans="1:57" ht="18" x14ac:dyDescent="0.2">
      <c r="A85" s="7">
        <v>40817</v>
      </c>
      <c r="B85" s="17">
        <v>12466</v>
      </c>
      <c r="D85" s="42">
        <f t="shared" si="47"/>
        <v>10065.5</v>
      </c>
      <c r="E85" s="42">
        <f t="shared" si="44"/>
        <v>2400.5</v>
      </c>
      <c r="F85" s="42">
        <f t="shared" si="48"/>
        <v>5762400.25</v>
      </c>
      <c r="G85" s="42">
        <f t="shared" si="49"/>
        <v>2400.5</v>
      </c>
      <c r="H85" s="43"/>
      <c r="I85" s="42">
        <f t="shared" si="50"/>
        <v>10028.333333333334</v>
      </c>
      <c r="J85" s="42">
        <f t="shared" si="51"/>
        <v>2437.6666666666661</v>
      </c>
      <c r="K85" s="42">
        <f t="shared" si="52"/>
        <v>5942218.7777777752</v>
      </c>
      <c r="L85" s="42">
        <f t="shared" si="53"/>
        <v>2437.6666666666661</v>
      </c>
      <c r="M85" s="43"/>
      <c r="N85" s="42">
        <f t="shared" si="54"/>
        <v>9780</v>
      </c>
      <c r="O85" s="42">
        <f t="shared" si="56"/>
        <v>2686</v>
      </c>
      <c r="P85" s="42">
        <f t="shared" si="57"/>
        <v>7214596</v>
      </c>
      <c r="Q85" s="42">
        <f t="shared" si="55"/>
        <v>2686</v>
      </c>
      <c r="R85" s="43"/>
      <c r="S85" s="42">
        <f t="shared" si="58"/>
        <v>9536</v>
      </c>
      <c r="T85" s="42">
        <f t="shared" si="60"/>
        <v>2930</v>
      </c>
      <c r="U85" s="42">
        <f t="shared" si="61"/>
        <v>8584900</v>
      </c>
      <c r="V85" s="42">
        <f t="shared" si="59"/>
        <v>2930</v>
      </c>
      <c r="W85" s="43"/>
      <c r="X85" s="42">
        <f t="shared" si="62"/>
        <v>9528</v>
      </c>
      <c r="Y85" s="42">
        <f t="shared" si="64"/>
        <v>2938</v>
      </c>
      <c r="Z85" s="42">
        <f t="shared" si="65"/>
        <v>8631844</v>
      </c>
      <c r="AA85" s="42">
        <f t="shared" si="63"/>
        <v>2938</v>
      </c>
      <c r="AB85" s="43"/>
      <c r="AC85" s="42">
        <f t="shared" si="66"/>
        <v>9539.4285714285706</v>
      </c>
      <c r="AD85" s="42">
        <f t="shared" si="68"/>
        <v>2926.5714285714294</v>
      </c>
      <c r="AE85" s="42">
        <f t="shared" si="69"/>
        <v>8564820.3265306167</v>
      </c>
      <c r="AF85" s="42">
        <f t="shared" si="67"/>
        <v>2926.5714285714294</v>
      </c>
      <c r="AG85" s="43"/>
      <c r="AH85" s="42">
        <f t="shared" si="70"/>
        <v>9375</v>
      </c>
      <c r="AI85" s="42">
        <f t="shared" si="73"/>
        <v>3091</v>
      </c>
      <c r="AJ85" s="42">
        <f t="shared" si="71"/>
        <v>9554281</v>
      </c>
      <c r="AK85" s="42">
        <f t="shared" si="72"/>
        <v>3091</v>
      </c>
      <c r="AL85" s="43"/>
      <c r="AM85" s="42">
        <f t="shared" si="74"/>
        <v>9078.1111111111113</v>
      </c>
      <c r="AN85" s="42">
        <f t="shared" si="77"/>
        <v>3387.8888888888887</v>
      </c>
      <c r="AO85" s="42">
        <f t="shared" si="75"/>
        <v>11477791.123456789</v>
      </c>
      <c r="AP85" s="42">
        <f t="shared" si="76"/>
        <v>3387.8888888888887</v>
      </c>
      <c r="AQ85" s="43"/>
      <c r="AR85" s="42">
        <f t="shared" si="78"/>
        <v>9204</v>
      </c>
      <c r="AS85" s="42">
        <f t="shared" si="79"/>
        <v>3262</v>
      </c>
      <c r="AT85" s="42">
        <f t="shared" si="80"/>
        <v>10640644</v>
      </c>
      <c r="AU85" s="42">
        <f t="shared" si="45"/>
        <v>3262</v>
      </c>
      <c r="AV85" s="43"/>
      <c r="AW85" s="42">
        <f t="shared" si="81"/>
        <v>9057.545454545454</v>
      </c>
      <c r="AX85" s="42">
        <f t="shared" si="84"/>
        <v>3408.454545454546</v>
      </c>
      <c r="AY85" s="42">
        <f t="shared" si="82"/>
        <v>11617562.388429755</v>
      </c>
      <c r="AZ85" s="42">
        <f t="shared" si="83"/>
        <v>3408.454545454546</v>
      </c>
      <c r="BA85" s="43"/>
      <c r="BB85" s="44">
        <f t="shared" si="46"/>
        <v>8983.5</v>
      </c>
      <c r="BC85" s="42">
        <f t="shared" si="87"/>
        <v>3482.5</v>
      </c>
      <c r="BD85" s="42">
        <f t="shared" si="85"/>
        <v>12127806.25</v>
      </c>
      <c r="BE85" s="42">
        <f t="shared" si="86"/>
        <v>3482.5</v>
      </c>
    </row>
    <row r="86" spans="1:57" ht="18" x14ac:dyDescent="0.2">
      <c r="A86" s="7">
        <v>40848</v>
      </c>
      <c r="B86" s="17">
        <v>10487</v>
      </c>
      <c r="D86" s="42">
        <f t="shared" si="47"/>
        <v>11386</v>
      </c>
      <c r="E86" s="42">
        <f t="shared" si="44"/>
        <v>-899</v>
      </c>
      <c r="F86" s="42">
        <f t="shared" si="48"/>
        <v>808201</v>
      </c>
      <c r="G86" s="42">
        <f t="shared" si="49"/>
        <v>899</v>
      </c>
      <c r="H86" s="43"/>
      <c r="I86" s="42">
        <f t="shared" si="50"/>
        <v>10865.666666666666</v>
      </c>
      <c r="J86" s="42">
        <f t="shared" si="51"/>
        <v>-378.66666666666606</v>
      </c>
      <c r="K86" s="42">
        <f t="shared" si="52"/>
        <v>143388.44444444397</v>
      </c>
      <c r="L86" s="42">
        <f t="shared" si="53"/>
        <v>378.66666666666606</v>
      </c>
      <c r="M86" s="43"/>
      <c r="N86" s="42">
        <f t="shared" si="54"/>
        <v>10637.75</v>
      </c>
      <c r="O86" s="42">
        <f t="shared" si="56"/>
        <v>-150.75</v>
      </c>
      <c r="P86" s="42">
        <f t="shared" si="57"/>
        <v>22725.5625</v>
      </c>
      <c r="Q86" s="42">
        <f t="shared" si="55"/>
        <v>150.75</v>
      </c>
      <c r="R86" s="43"/>
      <c r="S86" s="42">
        <f t="shared" si="58"/>
        <v>10317.200000000001</v>
      </c>
      <c r="T86" s="42">
        <f t="shared" si="60"/>
        <v>169.79999999999927</v>
      </c>
      <c r="U86" s="42">
        <f t="shared" si="61"/>
        <v>28832.039999999753</v>
      </c>
      <c r="V86" s="42">
        <f t="shared" si="59"/>
        <v>169.79999999999927</v>
      </c>
      <c r="W86" s="43"/>
      <c r="X86" s="42">
        <f t="shared" si="62"/>
        <v>10024.333333333334</v>
      </c>
      <c r="Y86" s="42">
        <f t="shared" si="64"/>
        <v>462.66666666666606</v>
      </c>
      <c r="Z86" s="42">
        <f t="shared" si="65"/>
        <v>214060.44444444389</v>
      </c>
      <c r="AA86" s="42">
        <f t="shared" si="63"/>
        <v>462.66666666666606</v>
      </c>
      <c r="AB86" s="43"/>
      <c r="AC86" s="42">
        <f t="shared" si="66"/>
        <v>9947.7142857142862</v>
      </c>
      <c r="AD86" s="42">
        <f t="shared" si="68"/>
        <v>539.28571428571377</v>
      </c>
      <c r="AE86" s="42">
        <f t="shared" si="69"/>
        <v>290829.08163265249</v>
      </c>
      <c r="AF86" s="42">
        <f t="shared" si="67"/>
        <v>539.28571428571377</v>
      </c>
      <c r="AG86" s="43"/>
      <c r="AH86" s="42">
        <f t="shared" si="70"/>
        <v>9905.25</v>
      </c>
      <c r="AI86" s="42">
        <f t="shared" si="73"/>
        <v>581.75</v>
      </c>
      <c r="AJ86" s="42">
        <f t="shared" si="71"/>
        <v>338433.0625</v>
      </c>
      <c r="AK86" s="42">
        <f t="shared" si="72"/>
        <v>581.75</v>
      </c>
      <c r="AL86" s="43"/>
      <c r="AM86" s="42">
        <f t="shared" si="74"/>
        <v>9718.4444444444453</v>
      </c>
      <c r="AN86" s="42">
        <f t="shared" si="77"/>
        <v>768.55555555555475</v>
      </c>
      <c r="AO86" s="42">
        <f t="shared" si="75"/>
        <v>590677.64197530737</v>
      </c>
      <c r="AP86" s="42">
        <f t="shared" si="76"/>
        <v>768.55555555555475</v>
      </c>
      <c r="AQ86" s="43"/>
      <c r="AR86" s="42">
        <f t="shared" si="78"/>
        <v>9416.9</v>
      </c>
      <c r="AS86" s="42">
        <f t="shared" si="79"/>
        <v>1070.1000000000004</v>
      </c>
      <c r="AT86" s="42">
        <f t="shared" si="80"/>
        <v>1145114.0100000007</v>
      </c>
      <c r="AU86" s="42">
        <f t="shared" si="45"/>
        <v>1070.1000000000004</v>
      </c>
      <c r="AV86" s="43"/>
      <c r="AW86" s="42">
        <f t="shared" si="81"/>
        <v>9500.545454545454</v>
      </c>
      <c r="AX86" s="42">
        <f t="shared" si="84"/>
        <v>986.45454545454595</v>
      </c>
      <c r="AY86" s="42">
        <f t="shared" si="82"/>
        <v>973092.5702479349</v>
      </c>
      <c r="AZ86" s="42">
        <f t="shared" si="83"/>
        <v>986.45454545454595</v>
      </c>
      <c r="BA86" s="43"/>
      <c r="BB86" s="44">
        <f t="shared" si="46"/>
        <v>9341.5833333333339</v>
      </c>
      <c r="BC86" s="42">
        <f t="shared" si="87"/>
        <v>1145.4166666666661</v>
      </c>
      <c r="BD86" s="42">
        <f t="shared" si="85"/>
        <v>1311979.3402777764</v>
      </c>
      <c r="BE86" s="42">
        <f t="shared" si="86"/>
        <v>1145.4166666666661</v>
      </c>
    </row>
    <row r="87" spans="1:57" ht="18" x14ac:dyDescent="0.2">
      <c r="A87" s="7">
        <v>40878</v>
      </c>
      <c r="B87" s="17">
        <v>11641</v>
      </c>
      <c r="D87" s="42">
        <f t="shared" si="47"/>
        <v>11476.5</v>
      </c>
      <c r="E87" s="42">
        <f t="shared" si="44"/>
        <v>164.5</v>
      </c>
      <c r="F87" s="42">
        <f t="shared" si="48"/>
        <v>27060.25</v>
      </c>
      <c r="G87" s="42">
        <f t="shared" si="49"/>
        <v>164.5</v>
      </c>
      <c r="H87" s="43"/>
      <c r="I87" s="42">
        <f t="shared" si="50"/>
        <v>11086.333333333334</v>
      </c>
      <c r="J87" s="42">
        <f t="shared" si="51"/>
        <v>554.66666666666606</v>
      </c>
      <c r="K87" s="42">
        <f t="shared" si="52"/>
        <v>307655.11111111043</v>
      </c>
      <c r="L87" s="42">
        <f t="shared" si="53"/>
        <v>554.66666666666606</v>
      </c>
      <c r="M87" s="43"/>
      <c r="N87" s="42">
        <f t="shared" si="54"/>
        <v>10771</v>
      </c>
      <c r="O87" s="42">
        <f t="shared" si="56"/>
        <v>870</v>
      </c>
      <c r="P87" s="42">
        <f t="shared" si="57"/>
        <v>756900</v>
      </c>
      <c r="Q87" s="42">
        <f t="shared" si="55"/>
        <v>870</v>
      </c>
      <c r="R87" s="43"/>
      <c r="S87" s="42">
        <f t="shared" si="58"/>
        <v>10607.6</v>
      </c>
      <c r="T87" s="42">
        <f t="shared" si="60"/>
        <v>1033.3999999999996</v>
      </c>
      <c r="U87" s="42">
        <f t="shared" si="61"/>
        <v>1067915.5599999994</v>
      </c>
      <c r="V87" s="42">
        <f t="shared" si="59"/>
        <v>1033.3999999999996</v>
      </c>
      <c r="W87" s="43"/>
      <c r="X87" s="42">
        <f t="shared" si="62"/>
        <v>10345.5</v>
      </c>
      <c r="Y87" s="42">
        <f t="shared" si="64"/>
        <v>1295.5</v>
      </c>
      <c r="Z87" s="42">
        <f t="shared" si="65"/>
        <v>1678320.25</v>
      </c>
      <c r="AA87" s="42">
        <f t="shared" si="63"/>
        <v>1295.5</v>
      </c>
      <c r="AB87" s="43"/>
      <c r="AC87" s="42">
        <f t="shared" si="66"/>
        <v>10090.428571428571</v>
      </c>
      <c r="AD87" s="42">
        <f t="shared" si="68"/>
        <v>1550.5714285714294</v>
      </c>
      <c r="AE87" s="42">
        <f t="shared" si="69"/>
        <v>2404271.755102043</v>
      </c>
      <c r="AF87" s="42">
        <f t="shared" si="67"/>
        <v>1550.5714285714294</v>
      </c>
      <c r="AG87" s="43"/>
      <c r="AH87" s="42">
        <f t="shared" si="70"/>
        <v>10015.125</v>
      </c>
      <c r="AI87" s="42">
        <f t="shared" si="73"/>
        <v>1625.875</v>
      </c>
      <c r="AJ87" s="42">
        <f t="shared" si="71"/>
        <v>2643469.515625</v>
      </c>
      <c r="AK87" s="42">
        <f t="shared" si="72"/>
        <v>1625.875</v>
      </c>
      <c r="AL87" s="43"/>
      <c r="AM87" s="42">
        <f t="shared" si="74"/>
        <v>9969.8888888888887</v>
      </c>
      <c r="AN87" s="42">
        <f t="shared" si="77"/>
        <v>1671.1111111111113</v>
      </c>
      <c r="AO87" s="42">
        <f t="shared" si="75"/>
        <v>2792612.3456790131</v>
      </c>
      <c r="AP87" s="42">
        <f t="shared" si="76"/>
        <v>1671.1111111111113</v>
      </c>
      <c r="AQ87" s="43"/>
      <c r="AR87" s="42">
        <f t="shared" si="78"/>
        <v>9795.2999999999993</v>
      </c>
      <c r="AS87" s="42">
        <f t="shared" si="79"/>
        <v>1845.7000000000007</v>
      </c>
      <c r="AT87" s="42">
        <f t="shared" si="80"/>
        <v>3406608.4900000026</v>
      </c>
      <c r="AU87" s="42">
        <f t="shared" si="45"/>
        <v>1845.7000000000007</v>
      </c>
      <c r="AV87" s="43"/>
      <c r="AW87" s="42">
        <f t="shared" si="81"/>
        <v>9514.181818181818</v>
      </c>
      <c r="AX87" s="42">
        <f t="shared" si="84"/>
        <v>2126.818181818182</v>
      </c>
      <c r="AY87" s="42">
        <f t="shared" si="82"/>
        <v>4523355.5785123976</v>
      </c>
      <c r="AZ87" s="42">
        <f t="shared" si="83"/>
        <v>2126.818181818182</v>
      </c>
      <c r="BA87" s="43"/>
      <c r="BB87" s="44">
        <f t="shared" si="46"/>
        <v>9582.75</v>
      </c>
      <c r="BC87" s="42">
        <f t="shared" si="87"/>
        <v>2058.25</v>
      </c>
      <c r="BD87" s="42">
        <f t="shared" si="85"/>
        <v>4236393.0625</v>
      </c>
      <c r="BE87" s="42">
        <f t="shared" si="86"/>
        <v>2058.25</v>
      </c>
    </row>
    <row r="88" spans="1:57" ht="18" x14ac:dyDescent="0.2">
      <c r="A88" s="7">
        <v>40909</v>
      </c>
      <c r="B88" s="17">
        <v>6365</v>
      </c>
      <c r="D88" s="42">
        <f t="shared" si="47"/>
        <v>11064</v>
      </c>
      <c r="E88" s="42">
        <f t="shared" si="44"/>
        <v>-4699</v>
      </c>
      <c r="F88" s="42">
        <f t="shared" si="48"/>
        <v>22080601</v>
      </c>
      <c r="G88" s="42">
        <f t="shared" si="49"/>
        <v>4699</v>
      </c>
      <c r="H88" s="43"/>
      <c r="I88" s="42">
        <f t="shared" si="50"/>
        <v>11531.333333333334</v>
      </c>
      <c r="J88" s="42">
        <f t="shared" si="51"/>
        <v>-5166.3333333333339</v>
      </c>
      <c r="K88" s="42">
        <f t="shared" si="52"/>
        <v>26691000.111111116</v>
      </c>
      <c r="L88" s="42">
        <f t="shared" si="53"/>
        <v>5166.3333333333339</v>
      </c>
      <c r="M88" s="43"/>
      <c r="N88" s="42">
        <f t="shared" si="54"/>
        <v>11225</v>
      </c>
      <c r="O88" s="42">
        <f t="shared" si="56"/>
        <v>-4860</v>
      </c>
      <c r="P88" s="42">
        <f t="shared" si="57"/>
        <v>23619600</v>
      </c>
      <c r="Q88" s="42">
        <f t="shared" si="55"/>
        <v>4860</v>
      </c>
      <c r="R88" s="43"/>
      <c r="S88" s="42">
        <f t="shared" si="58"/>
        <v>10945</v>
      </c>
      <c r="T88" s="42">
        <f t="shared" si="60"/>
        <v>-4580</v>
      </c>
      <c r="U88" s="42">
        <f t="shared" si="61"/>
        <v>20976400</v>
      </c>
      <c r="V88" s="42">
        <f t="shared" si="59"/>
        <v>4580</v>
      </c>
      <c r="W88" s="43"/>
      <c r="X88" s="42">
        <f t="shared" si="62"/>
        <v>10779.833333333334</v>
      </c>
      <c r="Y88" s="42">
        <f t="shared" si="64"/>
        <v>-4414.8333333333339</v>
      </c>
      <c r="Z88" s="42">
        <f t="shared" si="65"/>
        <v>19490753.361111116</v>
      </c>
      <c r="AA88" s="42">
        <f t="shared" si="63"/>
        <v>4414.8333333333339</v>
      </c>
      <c r="AB88" s="43"/>
      <c r="AC88" s="42">
        <f t="shared" si="66"/>
        <v>10530.571428571429</v>
      </c>
      <c r="AD88" s="42">
        <f t="shared" si="68"/>
        <v>-4165.5714285714294</v>
      </c>
      <c r="AE88" s="42">
        <f t="shared" si="69"/>
        <v>17351985.32653062</v>
      </c>
      <c r="AF88" s="42">
        <f t="shared" si="67"/>
        <v>4165.5714285714294</v>
      </c>
      <c r="AG88" s="43"/>
      <c r="AH88" s="42">
        <f t="shared" si="70"/>
        <v>10284.25</v>
      </c>
      <c r="AI88" s="42">
        <f t="shared" si="73"/>
        <v>-3919.25</v>
      </c>
      <c r="AJ88" s="42">
        <f t="shared" si="71"/>
        <v>15360520.5625</v>
      </c>
      <c r="AK88" s="42">
        <f t="shared" si="72"/>
        <v>3919.25</v>
      </c>
      <c r="AL88" s="43"/>
      <c r="AM88" s="42">
        <f t="shared" si="74"/>
        <v>10195.777777777777</v>
      </c>
      <c r="AN88" s="42">
        <f t="shared" si="77"/>
        <v>-3830.7777777777774</v>
      </c>
      <c r="AO88" s="42">
        <f t="shared" si="75"/>
        <v>14674858.382716047</v>
      </c>
      <c r="AP88" s="42">
        <f t="shared" si="76"/>
        <v>3830.7777777777774</v>
      </c>
      <c r="AQ88" s="43"/>
      <c r="AR88" s="42">
        <f t="shared" si="78"/>
        <v>10137</v>
      </c>
      <c r="AS88" s="42">
        <f t="shared" si="79"/>
        <v>-3772</v>
      </c>
      <c r="AT88" s="42">
        <f t="shared" si="80"/>
        <v>14227984</v>
      </c>
      <c r="AU88" s="42">
        <f t="shared" si="45"/>
        <v>3772</v>
      </c>
      <c r="AV88" s="43"/>
      <c r="AW88" s="42">
        <f t="shared" si="81"/>
        <v>9963.0909090909099</v>
      </c>
      <c r="AX88" s="42">
        <f t="shared" si="84"/>
        <v>-3598.0909090909099</v>
      </c>
      <c r="AY88" s="42">
        <f t="shared" si="82"/>
        <v>12946258.190082651</v>
      </c>
      <c r="AZ88" s="42">
        <f t="shared" si="83"/>
        <v>3598.0909090909099</v>
      </c>
      <c r="BA88" s="43"/>
      <c r="BB88" s="44">
        <f t="shared" si="46"/>
        <v>9691.4166666666661</v>
      </c>
      <c r="BC88" s="42">
        <f t="shared" si="87"/>
        <v>-3326.4166666666661</v>
      </c>
      <c r="BD88" s="42">
        <f t="shared" si="85"/>
        <v>11065047.840277774</v>
      </c>
      <c r="BE88" s="42">
        <f t="shared" si="86"/>
        <v>3326.4166666666661</v>
      </c>
    </row>
    <row r="89" spans="1:57" ht="18" x14ac:dyDescent="0.2">
      <c r="A89" s="7">
        <v>40940</v>
      </c>
      <c r="B89" s="17">
        <v>17758</v>
      </c>
      <c r="D89" s="42">
        <f t="shared" si="47"/>
        <v>9003</v>
      </c>
      <c r="E89" s="42">
        <f t="shared" si="44"/>
        <v>8755</v>
      </c>
      <c r="F89" s="42">
        <f t="shared" si="48"/>
        <v>76650025</v>
      </c>
      <c r="G89" s="42">
        <f t="shared" si="49"/>
        <v>8755</v>
      </c>
      <c r="H89" s="43"/>
      <c r="I89" s="42">
        <f t="shared" si="50"/>
        <v>9497.6666666666661</v>
      </c>
      <c r="J89" s="42">
        <f t="shared" si="51"/>
        <v>8260.3333333333339</v>
      </c>
      <c r="K89" s="42">
        <f t="shared" si="52"/>
        <v>68233106.777777791</v>
      </c>
      <c r="L89" s="42">
        <f t="shared" si="53"/>
        <v>8260.3333333333339</v>
      </c>
      <c r="M89" s="43"/>
      <c r="N89" s="42">
        <f t="shared" si="54"/>
        <v>10239.75</v>
      </c>
      <c r="O89" s="42">
        <f t="shared" si="56"/>
        <v>7518.25</v>
      </c>
      <c r="P89" s="42">
        <f t="shared" si="57"/>
        <v>56524083.0625</v>
      </c>
      <c r="Q89" s="42">
        <f t="shared" si="55"/>
        <v>7518.25</v>
      </c>
      <c r="R89" s="43"/>
      <c r="S89" s="42">
        <f t="shared" si="58"/>
        <v>10253</v>
      </c>
      <c r="T89" s="42">
        <f t="shared" si="60"/>
        <v>7505</v>
      </c>
      <c r="U89" s="42">
        <f t="shared" si="61"/>
        <v>56325025</v>
      </c>
      <c r="V89" s="42">
        <f t="shared" si="59"/>
        <v>7505</v>
      </c>
      <c r="W89" s="43"/>
      <c r="X89" s="42">
        <f t="shared" si="62"/>
        <v>10181.666666666666</v>
      </c>
      <c r="Y89" s="42">
        <f t="shared" si="64"/>
        <v>7576.3333333333339</v>
      </c>
      <c r="Z89" s="42">
        <f t="shared" si="65"/>
        <v>57400826.777777784</v>
      </c>
      <c r="AA89" s="42">
        <f t="shared" si="63"/>
        <v>7576.3333333333339</v>
      </c>
      <c r="AB89" s="43"/>
      <c r="AC89" s="42">
        <f t="shared" si="66"/>
        <v>10149.142857142857</v>
      </c>
      <c r="AD89" s="42">
        <f t="shared" si="68"/>
        <v>7608.8571428571431</v>
      </c>
      <c r="AE89" s="42">
        <f t="shared" si="69"/>
        <v>57894707.020408168</v>
      </c>
      <c r="AF89" s="42">
        <f t="shared" si="67"/>
        <v>7608.8571428571431</v>
      </c>
      <c r="AG89" s="43"/>
      <c r="AH89" s="42">
        <f t="shared" si="70"/>
        <v>10009.875</v>
      </c>
      <c r="AI89" s="42">
        <f t="shared" si="73"/>
        <v>7748.125</v>
      </c>
      <c r="AJ89" s="42">
        <f t="shared" si="71"/>
        <v>60033441.015625</v>
      </c>
      <c r="AK89" s="42">
        <f t="shared" si="72"/>
        <v>7748.125</v>
      </c>
      <c r="AL89" s="43"/>
      <c r="AM89" s="42">
        <f t="shared" si="74"/>
        <v>9848.7777777777774</v>
      </c>
      <c r="AN89" s="42">
        <f t="shared" si="77"/>
        <v>7909.2222222222226</v>
      </c>
      <c r="AO89" s="42">
        <f t="shared" si="75"/>
        <v>62555796.160493836</v>
      </c>
      <c r="AP89" s="42">
        <f t="shared" si="76"/>
        <v>7909.2222222222226</v>
      </c>
      <c r="AQ89" s="43"/>
      <c r="AR89" s="42">
        <f t="shared" si="78"/>
        <v>9812.7000000000007</v>
      </c>
      <c r="AS89" s="42">
        <f t="shared" si="79"/>
        <v>7945.2999999999993</v>
      </c>
      <c r="AT89" s="42">
        <f t="shared" si="80"/>
        <v>63127792.089999989</v>
      </c>
      <c r="AU89" s="42">
        <f t="shared" si="45"/>
        <v>7945.2999999999993</v>
      </c>
      <c r="AV89" s="43"/>
      <c r="AW89" s="42">
        <f t="shared" si="81"/>
        <v>9794.0909090909099</v>
      </c>
      <c r="AX89" s="42">
        <f t="shared" si="84"/>
        <v>7963.9090909090901</v>
      </c>
      <c r="AY89" s="42">
        <f t="shared" si="82"/>
        <v>63423848.008264452</v>
      </c>
      <c r="AZ89" s="42">
        <f t="shared" si="83"/>
        <v>7963.9090909090901</v>
      </c>
      <c r="BA89" s="43"/>
      <c r="BB89" s="44">
        <f t="shared" si="46"/>
        <v>9663.25</v>
      </c>
      <c r="BC89" s="42">
        <f t="shared" si="87"/>
        <v>8094.75</v>
      </c>
      <c r="BD89" s="42">
        <f t="shared" si="85"/>
        <v>65524977.5625</v>
      </c>
      <c r="BE89" s="42">
        <f t="shared" si="86"/>
        <v>8094.75</v>
      </c>
    </row>
    <row r="90" spans="1:57" ht="18" x14ac:dyDescent="0.2">
      <c r="A90" s="7">
        <v>40969</v>
      </c>
      <c r="B90" s="17">
        <v>10097</v>
      </c>
      <c r="D90" s="42">
        <f t="shared" si="47"/>
        <v>12061.5</v>
      </c>
      <c r="E90" s="42">
        <f t="shared" si="44"/>
        <v>-1964.5</v>
      </c>
      <c r="F90" s="42">
        <f t="shared" si="48"/>
        <v>3859260.25</v>
      </c>
      <c r="G90" s="42">
        <f t="shared" si="49"/>
        <v>1964.5</v>
      </c>
      <c r="H90" s="43"/>
      <c r="I90" s="42">
        <f t="shared" si="50"/>
        <v>11921.333333333334</v>
      </c>
      <c r="J90" s="42">
        <f t="shared" si="51"/>
        <v>-1824.3333333333339</v>
      </c>
      <c r="K90" s="42">
        <f t="shared" si="52"/>
        <v>3328192.1111111133</v>
      </c>
      <c r="L90" s="42">
        <f t="shared" si="53"/>
        <v>1824.3333333333339</v>
      </c>
      <c r="M90" s="43"/>
      <c r="N90" s="42">
        <f t="shared" si="54"/>
        <v>11562.75</v>
      </c>
      <c r="O90" s="42">
        <f t="shared" si="56"/>
        <v>-1465.75</v>
      </c>
      <c r="P90" s="42">
        <f t="shared" si="57"/>
        <v>2148423.0625</v>
      </c>
      <c r="Q90" s="42">
        <f t="shared" si="55"/>
        <v>1465.75</v>
      </c>
      <c r="R90" s="43"/>
      <c r="S90" s="42">
        <f t="shared" si="58"/>
        <v>11743.4</v>
      </c>
      <c r="T90" s="42">
        <f t="shared" si="60"/>
        <v>-1646.3999999999996</v>
      </c>
      <c r="U90" s="42">
        <f t="shared" si="61"/>
        <v>2710632.959999999</v>
      </c>
      <c r="V90" s="42">
        <f t="shared" si="59"/>
        <v>1646.3999999999996</v>
      </c>
      <c r="W90" s="43"/>
      <c r="X90" s="42">
        <f t="shared" si="62"/>
        <v>11503.833333333334</v>
      </c>
      <c r="Y90" s="42">
        <f t="shared" si="64"/>
        <v>-1406.8333333333339</v>
      </c>
      <c r="Z90" s="42">
        <f t="shared" si="65"/>
        <v>1979180.0277777794</v>
      </c>
      <c r="AA90" s="42">
        <f t="shared" si="63"/>
        <v>1406.8333333333339</v>
      </c>
      <c r="AB90" s="43"/>
      <c r="AC90" s="42">
        <f t="shared" si="66"/>
        <v>11264</v>
      </c>
      <c r="AD90" s="42">
        <f t="shared" si="68"/>
        <v>-1167</v>
      </c>
      <c r="AE90" s="42">
        <f t="shared" si="69"/>
        <v>1361889</v>
      </c>
      <c r="AF90" s="42">
        <f t="shared" si="67"/>
        <v>1167</v>
      </c>
      <c r="AG90" s="43"/>
      <c r="AH90" s="42">
        <f t="shared" si="70"/>
        <v>11100.25</v>
      </c>
      <c r="AI90" s="42">
        <f t="shared" si="73"/>
        <v>-1003.25</v>
      </c>
      <c r="AJ90" s="42">
        <f t="shared" si="71"/>
        <v>1006510.5625</v>
      </c>
      <c r="AK90" s="42">
        <f t="shared" si="72"/>
        <v>1003.25</v>
      </c>
      <c r="AL90" s="43"/>
      <c r="AM90" s="42">
        <f t="shared" si="74"/>
        <v>10870.777777777777</v>
      </c>
      <c r="AN90" s="42">
        <f t="shared" si="77"/>
        <v>-773.77777777777737</v>
      </c>
      <c r="AO90" s="42">
        <f t="shared" si="75"/>
        <v>598732.04938271537</v>
      </c>
      <c r="AP90" s="42">
        <f t="shared" si="76"/>
        <v>773.77777777777737</v>
      </c>
      <c r="AQ90" s="43"/>
      <c r="AR90" s="42">
        <f t="shared" si="78"/>
        <v>10639.7</v>
      </c>
      <c r="AS90" s="42">
        <f t="shared" si="79"/>
        <v>-542.70000000000073</v>
      </c>
      <c r="AT90" s="42">
        <f t="shared" si="80"/>
        <v>294523.29000000079</v>
      </c>
      <c r="AU90" s="42">
        <f t="shared" si="45"/>
        <v>542.70000000000073</v>
      </c>
      <c r="AV90" s="43"/>
      <c r="AW90" s="42">
        <f t="shared" si="81"/>
        <v>10535</v>
      </c>
      <c r="AX90" s="42">
        <f t="shared" si="84"/>
        <v>-438</v>
      </c>
      <c r="AY90" s="42">
        <f t="shared" si="82"/>
        <v>191844</v>
      </c>
      <c r="AZ90" s="42">
        <f t="shared" si="83"/>
        <v>438</v>
      </c>
      <c r="BA90" s="43"/>
      <c r="BB90" s="44">
        <f t="shared" si="46"/>
        <v>10457.75</v>
      </c>
      <c r="BC90" s="42">
        <f t="shared" si="87"/>
        <v>-360.75</v>
      </c>
      <c r="BD90" s="42">
        <f t="shared" si="85"/>
        <v>130140.5625</v>
      </c>
      <c r="BE90" s="42">
        <f t="shared" si="86"/>
        <v>360.75</v>
      </c>
    </row>
    <row r="91" spans="1:57" ht="18" x14ac:dyDescent="0.2">
      <c r="A91" s="7">
        <v>41000</v>
      </c>
      <c r="B91" s="17">
        <v>8827</v>
      </c>
      <c r="D91" s="42">
        <f t="shared" si="47"/>
        <v>13927.5</v>
      </c>
      <c r="E91" s="42">
        <f t="shared" si="44"/>
        <v>-5100.5</v>
      </c>
      <c r="F91" s="42">
        <f t="shared" si="48"/>
        <v>26015100.25</v>
      </c>
      <c r="G91" s="42">
        <f t="shared" si="49"/>
        <v>5100.5</v>
      </c>
      <c r="H91" s="43"/>
      <c r="I91" s="42">
        <f t="shared" si="50"/>
        <v>11406.666666666666</v>
      </c>
      <c r="J91" s="42">
        <f t="shared" si="51"/>
        <v>-2579.6666666666661</v>
      </c>
      <c r="K91" s="42">
        <f t="shared" si="52"/>
        <v>6654680.1111111082</v>
      </c>
      <c r="L91" s="42">
        <f t="shared" si="53"/>
        <v>2579.6666666666661</v>
      </c>
      <c r="M91" s="43"/>
      <c r="N91" s="42">
        <f t="shared" si="54"/>
        <v>11465.25</v>
      </c>
      <c r="O91" s="42">
        <f t="shared" si="56"/>
        <v>-2638.25</v>
      </c>
      <c r="P91" s="42">
        <f t="shared" si="57"/>
        <v>6960363.0625</v>
      </c>
      <c r="Q91" s="42">
        <f t="shared" si="55"/>
        <v>2638.25</v>
      </c>
      <c r="R91" s="43"/>
      <c r="S91" s="42">
        <f t="shared" si="58"/>
        <v>11269.6</v>
      </c>
      <c r="T91" s="42">
        <f t="shared" si="60"/>
        <v>-2442.6000000000004</v>
      </c>
      <c r="U91" s="42">
        <f t="shared" si="61"/>
        <v>5966294.7600000016</v>
      </c>
      <c r="V91" s="42">
        <f t="shared" si="59"/>
        <v>2442.6000000000004</v>
      </c>
      <c r="W91" s="43"/>
      <c r="X91" s="42">
        <f t="shared" si="62"/>
        <v>11469</v>
      </c>
      <c r="Y91" s="42">
        <f t="shared" si="64"/>
        <v>-2642</v>
      </c>
      <c r="Z91" s="42">
        <f t="shared" si="65"/>
        <v>6980164</v>
      </c>
      <c r="AA91" s="42">
        <f t="shared" si="63"/>
        <v>2642</v>
      </c>
      <c r="AB91" s="43"/>
      <c r="AC91" s="42">
        <f t="shared" si="66"/>
        <v>11302.857142857143</v>
      </c>
      <c r="AD91" s="42">
        <f t="shared" si="68"/>
        <v>-2475.8571428571431</v>
      </c>
      <c r="AE91" s="42">
        <f t="shared" si="69"/>
        <v>6129868.5918367356</v>
      </c>
      <c r="AF91" s="42">
        <f t="shared" si="67"/>
        <v>2475.8571428571431</v>
      </c>
      <c r="AG91" s="43"/>
      <c r="AH91" s="42">
        <f t="shared" si="70"/>
        <v>11118.125</v>
      </c>
      <c r="AI91" s="42">
        <f t="shared" si="73"/>
        <v>-2291.125</v>
      </c>
      <c r="AJ91" s="42">
        <f t="shared" si="71"/>
        <v>5249253.765625</v>
      </c>
      <c r="AK91" s="42">
        <f t="shared" si="72"/>
        <v>2291.125</v>
      </c>
      <c r="AL91" s="43"/>
      <c r="AM91" s="42">
        <f t="shared" si="74"/>
        <v>10988.777777777777</v>
      </c>
      <c r="AN91" s="42">
        <f t="shared" si="77"/>
        <v>-2161.7777777777774</v>
      </c>
      <c r="AO91" s="42">
        <f t="shared" si="75"/>
        <v>4673283.1604938256</v>
      </c>
      <c r="AP91" s="42">
        <f t="shared" si="76"/>
        <v>2161.7777777777774</v>
      </c>
      <c r="AQ91" s="43"/>
      <c r="AR91" s="42">
        <f t="shared" si="78"/>
        <v>10793.4</v>
      </c>
      <c r="AS91" s="42">
        <f t="shared" si="79"/>
        <v>-1966.3999999999996</v>
      </c>
      <c r="AT91" s="42">
        <f t="shared" si="80"/>
        <v>3866728.9599999986</v>
      </c>
      <c r="AU91" s="42">
        <f t="shared" si="45"/>
        <v>1966.3999999999996</v>
      </c>
      <c r="AV91" s="43"/>
      <c r="AW91" s="42">
        <f t="shared" si="81"/>
        <v>10590.363636363636</v>
      </c>
      <c r="AX91" s="42">
        <f t="shared" si="84"/>
        <v>-1763.363636363636</v>
      </c>
      <c r="AY91" s="42">
        <f t="shared" si="82"/>
        <v>3109451.3140495857</v>
      </c>
      <c r="AZ91" s="42">
        <f t="shared" si="83"/>
        <v>1763.363636363636</v>
      </c>
      <c r="BA91" s="43"/>
      <c r="BB91" s="44">
        <f t="shared" si="46"/>
        <v>10498.5</v>
      </c>
      <c r="BC91" s="42">
        <f t="shared" si="87"/>
        <v>-1671.5</v>
      </c>
      <c r="BD91" s="42">
        <f t="shared" si="85"/>
        <v>2793912.25</v>
      </c>
      <c r="BE91" s="42">
        <f t="shared" si="86"/>
        <v>1671.5</v>
      </c>
    </row>
    <row r="92" spans="1:57" ht="18" x14ac:dyDescent="0.2">
      <c r="A92" s="7">
        <v>41030</v>
      </c>
      <c r="B92" s="17">
        <v>10749</v>
      </c>
      <c r="D92" s="42">
        <f t="shared" si="47"/>
        <v>9462</v>
      </c>
      <c r="E92" s="42">
        <f t="shared" si="44"/>
        <v>1287</v>
      </c>
      <c r="F92" s="42">
        <f t="shared" si="48"/>
        <v>1656369</v>
      </c>
      <c r="G92" s="42">
        <f t="shared" si="49"/>
        <v>1287</v>
      </c>
      <c r="H92" s="43"/>
      <c r="I92" s="42">
        <f t="shared" si="50"/>
        <v>12227.333333333334</v>
      </c>
      <c r="J92" s="42">
        <f t="shared" si="51"/>
        <v>-1478.3333333333339</v>
      </c>
      <c r="K92" s="42">
        <f t="shared" si="52"/>
        <v>2185469.4444444464</v>
      </c>
      <c r="L92" s="42">
        <f t="shared" si="53"/>
        <v>1478.3333333333339</v>
      </c>
      <c r="M92" s="43"/>
      <c r="N92" s="42">
        <f t="shared" si="54"/>
        <v>10761.75</v>
      </c>
      <c r="O92" s="42">
        <f t="shared" si="56"/>
        <v>-12.75</v>
      </c>
      <c r="P92" s="42">
        <f t="shared" si="57"/>
        <v>162.5625</v>
      </c>
      <c r="Q92" s="42">
        <f t="shared" si="55"/>
        <v>12.75</v>
      </c>
      <c r="R92" s="43"/>
      <c r="S92" s="42">
        <f t="shared" si="58"/>
        <v>10937.6</v>
      </c>
      <c r="T92" s="42">
        <f t="shared" si="60"/>
        <v>-188.60000000000036</v>
      </c>
      <c r="U92" s="42">
        <f t="shared" si="61"/>
        <v>35569.960000000137</v>
      </c>
      <c r="V92" s="42">
        <f t="shared" si="59"/>
        <v>188.60000000000036</v>
      </c>
      <c r="W92" s="43"/>
      <c r="X92" s="42">
        <f t="shared" si="62"/>
        <v>10862.5</v>
      </c>
      <c r="Y92" s="42">
        <f t="shared" si="64"/>
        <v>-113.5</v>
      </c>
      <c r="Z92" s="42">
        <f t="shared" si="65"/>
        <v>12882.25</v>
      </c>
      <c r="AA92" s="42">
        <f t="shared" si="63"/>
        <v>113.5</v>
      </c>
      <c r="AB92" s="43"/>
      <c r="AC92" s="42">
        <f t="shared" si="66"/>
        <v>11091.571428571429</v>
      </c>
      <c r="AD92" s="42">
        <f t="shared" si="68"/>
        <v>-342.57142857142935</v>
      </c>
      <c r="AE92" s="42">
        <f t="shared" si="69"/>
        <v>117355.18367346992</v>
      </c>
      <c r="AF92" s="42">
        <f t="shared" si="67"/>
        <v>342.57142857142935</v>
      </c>
      <c r="AG92" s="43"/>
      <c r="AH92" s="42">
        <f t="shared" si="70"/>
        <v>10993.375</v>
      </c>
      <c r="AI92" s="42">
        <f t="shared" si="73"/>
        <v>-244.375</v>
      </c>
      <c r="AJ92" s="42">
        <f t="shared" si="71"/>
        <v>59719.140625</v>
      </c>
      <c r="AK92" s="42">
        <f t="shared" si="72"/>
        <v>244.375</v>
      </c>
      <c r="AL92" s="43"/>
      <c r="AM92" s="42">
        <f t="shared" si="74"/>
        <v>10863.555555555555</v>
      </c>
      <c r="AN92" s="42">
        <f t="shared" si="77"/>
        <v>-114.55555555555475</v>
      </c>
      <c r="AO92" s="42">
        <f t="shared" si="75"/>
        <v>13122.97530864179</v>
      </c>
      <c r="AP92" s="42">
        <f t="shared" si="76"/>
        <v>114.55555555555475</v>
      </c>
      <c r="AQ92" s="43"/>
      <c r="AR92" s="42">
        <f t="shared" si="78"/>
        <v>10772.6</v>
      </c>
      <c r="AS92" s="42">
        <f t="shared" si="79"/>
        <v>-23.600000000000364</v>
      </c>
      <c r="AT92" s="42">
        <f t="shared" si="80"/>
        <v>556.9600000000172</v>
      </c>
      <c r="AU92" s="42">
        <f t="shared" si="45"/>
        <v>23.600000000000364</v>
      </c>
      <c r="AV92" s="43"/>
      <c r="AW92" s="42">
        <f t="shared" si="81"/>
        <v>10614.636363636364</v>
      </c>
      <c r="AX92" s="42">
        <f t="shared" si="84"/>
        <v>134.36363636363603</v>
      </c>
      <c r="AY92" s="42">
        <f t="shared" si="82"/>
        <v>18053.586776859414</v>
      </c>
      <c r="AZ92" s="42">
        <f t="shared" si="83"/>
        <v>134.36363636363603</v>
      </c>
      <c r="BA92" s="43"/>
      <c r="BB92" s="44">
        <f t="shared" si="46"/>
        <v>10443.416666666666</v>
      </c>
      <c r="BC92" s="42">
        <f t="shared" si="87"/>
        <v>305.58333333333394</v>
      </c>
      <c r="BD92" s="42">
        <f t="shared" si="85"/>
        <v>93381.173611111488</v>
      </c>
      <c r="BE92" s="42">
        <f t="shared" si="86"/>
        <v>305.58333333333394</v>
      </c>
    </row>
    <row r="93" spans="1:57" ht="18" x14ac:dyDescent="0.2">
      <c r="A93" s="7">
        <v>41061</v>
      </c>
      <c r="B93" s="17">
        <v>9959</v>
      </c>
      <c r="D93" s="42">
        <f t="shared" si="47"/>
        <v>9788</v>
      </c>
      <c r="E93" s="42">
        <f t="shared" si="44"/>
        <v>171</v>
      </c>
      <c r="F93" s="42">
        <f t="shared" si="48"/>
        <v>29241</v>
      </c>
      <c r="G93" s="42">
        <f t="shared" si="49"/>
        <v>171</v>
      </c>
      <c r="H93" s="43"/>
      <c r="I93" s="42">
        <f t="shared" si="50"/>
        <v>9891</v>
      </c>
      <c r="J93" s="42">
        <f t="shared" si="51"/>
        <v>68</v>
      </c>
      <c r="K93" s="42">
        <f t="shared" si="52"/>
        <v>4624</v>
      </c>
      <c r="L93" s="42">
        <f t="shared" si="53"/>
        <v>68</v>
      </c>
      <c r="M93" s="43"/>
      <c r="N93" s="42">
        <f t="shared" si="54"/>
        <v>11857.75</v>
      </c>
      <c r="O93" s="42">
        <f t="shared" si="56"/>
        <v>-1898.75</v>
      </c>
      <c r="P93" s="42">
        <f t="shared" si="57"/>
        <v>3605251.5625</v>
      </c>
      <c r="Q93" s="42">
        <f t="shared" si="55"/>
        <v>1898.75</v>
      </c>
      <c r="R93" s="43"/>
      <c r="S93" s="42">
        <f t="shared" si="58"/>
        <v>10759.2</v>
      </c>
      <c r="T93" s="42">
        <f t="shared" si="60"/>
        <v>-800.20000000000073</v>
      </c>
      <c r="U93" s="42">
        <f t="shared" si="61"/>
        <v>640320.0400000012</v>
      </c>
      <c r="V93" s="42">
        <f t="shared" si="59"/>
        <v>800.20000000000073</v>
      </c>
      <c r="W93" s="43"/>
      <c r="X93" s="42">
        <f t="shared" si="62"/>
        <v>10906.166666666666</v>
      </c>
      <c r="Y93" s="42">
        <f t="shared" si="64"/>
        <v>-947.16666666666606</v>
      </c>
      <c r="Z93" s="42">
        <f t="shared" si="65"/>
        <v>897124.69444444333</v>
      </c>
      <c r="AA93" s="42">
        <f t="shared" si="63"/>
        <v>947.16666666666606</v>
      </c>
      <c r="AB93" s="43"/>
      <c r="AC93" s="42">
        <f t="shared" si="66"/>
        <v>10846.285714285714</v>
      </c>
      <c r="AD93" s="42">
        <f t="shared" si="68"/>
        <v>-887.28571428571377</v>
      </c>
      <c r="AE93" s="42">
        <f t="shared" si="69"/>
        <v>787275.93877550925</v>
      </c>
      <c r="AF93" s="42">
        <f t="shared" si="67"/>
        <v>887.28571428571377</v>
      </c>
      <c r="AG93" s="43"/>
      <c r="AH93" s="42">
        <f t="shared" si="70"/>
        <v>11048.75</v>
      </c>
      <c r="AI93" s="42">
        <f t="shared" si="73"/>
        <v>-1089.75</v>
      </c>
      <c r="AJ93" s="42">
        <f t="shared" si="71"/>
        <v>1187555.0625</v>
      </c>
      <c r="AK93" s="42">
        <f t="shared" si="72"/>
        <v>1089.75</v>
      </c>
      <c r="AL93" s="43"/>
      <c r="AM93" s="42">
        <f t="shared" si="74"/>
        <v>10966.222222222223</v>
      </c>
      <c r="AN93" s="42">
        <f t="shared" si="77"/>
        <v>-1007.2222222222226</v>
      </c>
      <c r="AO93" s="42">
        <f t="shared" si="75"/>
        <v>1014496.6049382724</v>
      </c>
      <c r="AP93" s="42">
        <f t="shared" si="76"/>
        <v>1007.2222222222226</v>
      </c>
      <c r="AQ93" s="43"/>
      <c r="AR93" s="42">
        <f t="shared" si="78"/>
        <v>10852.1</v>
      </c>
      <c r="AS93" s="42">
        <f t="shared" si="79"/>
        <v>-893.10000000000036</v>
      </c>
      <c r="AT93" s="42">
        <f t="shared" si="80"/>
        <v>797627.61000000068</v>
      </c>
      <c r="AU93" s="42">
        <f t="shared" si="45"/>
        <v>893.10000000000036</v>
      </c>
      <c r="AV93" s="43"/>
      <c r="AW93" s="42">
        <f t="shared" si="81"/>
        <v>10770.454545454546</v>
      </c>
      <c r="AX93" s="42">
        <f t="shared" si="84"/>
        <v>-811.45454545454595</v>
      </c>
      <c r="AY93" s="42">
        <f t="shared" si="82"/>
        <v>658458.47933884372</v>
      </c>
      <c r="AZ93" s="42">
        <f t="shared" si="83"/>
        <v>811.45454545454595</v>
      </c>
      <c r="BA93" s="43"/>
      <c r="BB93" s="44">
        <f t="shared" si="46"/>
        <v>10625.833333333334</v>
      </c>
      <c r="BC93" s="42">
        <f t="shared" si="87"/>
        <v>-666.83333333333394</v>
      </c>
      <c r="BD93" s="42">
        <f t="shared" si="85"/>
        <v>444666.69444444525</v>
      </c>
      <c r="BE93" s="42">
        <f t="shared" si="86"/>
        <v>666.83333333333394</v>
      </c>
    </row>
    <row r="94" spans="1:57" ht="18" x14ac:dyDescent="0.2">
      <c r="A94" s="7">
        <v>41091</v>
      </c>
      <c r="B94" s="17">
        <v>9757</v>
      </c>
      <c r="D94" s="42">
        <f t="shared" si="47"/>
        <v>10354</v>
      </c>
      <c r="E94" s="42">
        <f t="shared" si="44"/>
        <v>-597</v>
      </c>
      <c r="F94" s="42">
        <f t="shared" si="48"/>
        <v>356409</v>
      </c>
      <c r="G94" s="42">
        <f t="shared" si="49"/>
        <v>597</v>
      </c>
      <c r="H94" s="43"/>
      <c r="I94" s="42">
        <f t="shared" si="50"/>
        <v>9845</v>
      </c>
      <c r="J94" s="42">
        <f t="shared" si="51"/>
        <v>-88</v>
      </c>
      <c r="K94" s="42">
        <f t="shared" si="52"/>
        <v>7744</v>
      </c>
      <c r="L94" s="42">
        <f t="shared" si="53"/>
        <v>88</v>
      </c>
      <c r="M94" s="43"/>
      <c r="N94" s="42">
        <f t="shared" si="54"/>
        <v>9908</v>
      </c>
      <c r="O94" s="42">
        <f t="shared" si="56"/>
        <v>-151</v>
      </c>
      <c r="P94" s="42">
        <f t="shared" si="57"/>
        <v>22801</v>
      </c>
      <c r="Q94" s="42">
        <f t="shared" si="55"/>
        <v>151</v>
      </c>
      <c r="R94" s="43"/>
      <c r="S94" s="42">
        <f t="shared" si="58"/>
        <v>11478</v>
      </c>
      <c r="T94" s="42">
        <f t="shared" si="60"/>
        <v>-1721</v>
      </c>
      <c r="U94" s="42">
        <f t="shared" si="61"/>
        <v>2961841</v>
      </c>
      <c r="V94" s="42">
        <f t="shared" si="59"/>
        <v>1721</v>
      </c>
      <c r="W94" s="43"/>
      <c r="X94" s="42">
        <f t="shared" si="62"/>
        <v>10625.833333333334</v>
      </c>
      <c r="Y94" s="42">
        <f t="shared" si="64"/>
        <v>-868.83333333333394</v>
      </c>
      <c r="Z94" s="42">
        <f t="shared" si="65"/>
        <v>754871.36111111217</v>
      </c>
      <c r="AA94" s="42">
        <f t="shared" si="63"/>
        <v>868.83333333333394</v>
      </c>
      <c r="AB94" s="43"/>
      <c r="AC94" s="42">
        <f t="shared" si="66"/>
        <v>10770.857142857143</v>
      </c>
      <c r="AD94" s="42">
        <f t="shared" si="68"/>
        <v>-1013.8571428571431</v>
      </c>
      <c r="AE94" s="42">
        <f t="shared" si="69"/>
        <v>1027906.3061224495</v>
      </c>
      <c r="AF94" s="42">
        <f t="shared" si="67"/>
        <v>1013.8571428571431</v>
      </c>
      <c r="AG94" s="43"/>
      <c r="AH94" s="42">
        <f t="shared" si="70"/>
        <v>10735.375</v>
      </c>
      <c r="AI94" s="42">
        <f t="shared" si="73"/>
        <v>-978.375</v>
      </c>
      <c r="AJ94" s="42">
        <f t="shared" si="71"/>
        <v>957217.640625</v>
      </c>
      <c r="AK94" s="42">
        <f t="shared" si="72"/>
        <v>978.375</v>
      </c>
      <c r="AL94" s="43"/>
      <c r="AM94" s="42">
        <f t="shared" si="74"/>
        <v>10927.666666666666</v>
      </c>
      <c r="AN94" s="42">
        <f t="shared" si="77"/>
        <v>-1170.6666666666661</v>
      </c>
      <c r="AO94" s="42">
        <f t="shared" si="75"/>
        <v>1370460.4444444431</v>
      </c>
      <c r="AP94" s="42">
        <f t="shared" si="76"/>
        <v>1170.6666666666661</v>
      </c>
      <c r="AQ94" s="43"/>
      <c r="AR94" s="42">
        <f t="shared" si="78"/>
        <v>10865.5</v>
      </c>
      <c r="AS94" s="42">
        <f t="shared" si="79"/>
        <v>-1108.5</v>
      </c>
      <c r="AT94" s="42">
        <f t="shared" si="80"/>
        <v>1228772.25</v>
      </c>
      <c r="AU94" s="42">
        <f t="shared" si="45"/>
        <v>1108.5</v>
      </c>
      <c r="AV94" s="43"/>
      <c r="AW94" s="42">
        <f t="shared" si="81"/>
        <v>10770.90909090909</v>
      </c>
      <c r="AX94" s="42">
        <f t="shared" si="84"/>
        <v>-1013.9090909090901</v>
      </c>
      <c r="AY94" s="42">
        <f t="shared" si="82"/>
        <v>1028011.6446280975</v>
      </c>
      <c r="AZ94" s="42">
        <f t="shared" si="83"/>
        <v>1013.9090909090901</v>
      </c>
      <c r="BA94" s="43"/>
      <c r="BB94" s="44">
        <f t="shared" si="46"/>
        <v>10702.833333333334</v>
      </c>
      <c r="BC94" s="42">
        <f t="shared" si="87"/>
        <v>-945.83333333333394</v>
      </c>
      <c r="BD94" s="42">
        <f t="shared" si="85"/>
        <v>894600.69444444554</v>
      </c>
      <c r="BE94" s="42">
        <f t="shared" si="86"/>
        <v>945.83333333333394</v>
      </c>
    </row>
    <row r="95" spans="1:57" ht="18" x14ac:dyDescent="0.2">
      <c r="A95" s="7">
        <v>41122</v>
      </c>
      <c r="B95" s="17">
        <v>10610</v>
      </c>
      <c r="D95" s="42">
        <f t="shared" si="47"/>
        <v>9858</v>
      </c>
      <c r="E95" s="42">
        <f t="shared" si="44"/>
        <v>752</v>
      </c>
      <c r="F95" s="42">
        <f t="shared" si="48"/>
        <v>565504</v>
      </c>
      <c r="G95" s="42">
        <f t="shared" si="49"/>
        <v>752</v>
      </c>
      <c r="H95" s="43"/>
      <c r="I95" s="42">
        <f t="shared" si="50"/>
        <v>10155</v>
      </c>
      <c r="J95" s="42">
        <f t="shared" si="51"/>
        <v>455</v>
      </c>
      <c r="K95" s="42">
        <f t="shared" si="52"/>
        <v>207025</v>
      </c>
      <c r="L95" s="42">
        <f t="shared" si="53"/>
        <v>455</v>
      </c>
      <c r="M95" s="43"/>
      <c r="N95" s="42">
        <f t="shared" si="54"/>
        <v>9823</v>
      </c>
      <c r="O95" s="42">
        <f t="shared" si="56"/>
        <v>787</v>
      </c>
      <c r="P95" s="42">
        <f t="shared" si="57"/>
        <v>619369</v>
      </c>
      <c r="Q95" s="42">
        <f t="shared" si="55"/>
        <v>787</v>
      </c>
      <c r="R95" s="43"/>
      <c r="S95" s="42">
        <f t="shared" si="58"/>
        <v>9877.7999999999993</v>
      </c>
      <c r="T95" s="42">
        <f t="shared" si="60"/>
        <v>732.20000000000073</v>
      </c>
      <c r="U95" s="42">
        <f t="shared" si="61"/>
        <v>536116.84000000102</v>
      </c>
      <c r="V95" s="42">
        <f t="shared" si="59"/>
        <v>732.20000000000073</v>
      </c>
      <c r="W95" s="43"/>
      <c r="X95" s="42">
        <f t="shared" si="62"/>
        <v>11191.166666666666</v>
      </c>
      <c r="Y95" s="42">
        <f t="shared" si="64"/>
        <v>-581.16666666666606</v>
      </c>
      <c r="Z95" s="42">
        <f t="shared" si="65"/>
        <v>337754.69444444374</v>
      </c>
      <c r="AA95" s="42">
        <f t="shared" si="63"/>
        <v>581.16666666666606</v>
      </c>
      <c r="AB95" s="43"/>
      <c r="AC95" s="42">
        <f t="shared" si="66"/>
        <v>10501.714285714286</v>
      </c>
      <c r="AD95" s="42">
        <f t="shared" si="68"/>
        <v>108.28571428571377</v>
      </c>
      <c r="AE95" s="42">
        <f t="shared" si="69"/>
        <v>11725.795918367234</v>
      </c>
      <c r="AF95" s="42">
        <f t="shared" si="67"/>
        <v>108.28571428571377</v>
      </c>
      <c r="AG95" s="43"/>
      <c r="AH95" s="42">
        <f t="shared" si="70"/>
        <v>10644.125</v>
      </c>
      <c r="AI95" s="42">
        <f t="shared" si="73"/>
        <v>-34.125</v>
      </c>
      <c r="AJ95" s="42">
        <f t="shared" si="71"/>
        <v>1164.515625</v>
      </c>
      <c r="AK95" s="42">
        <f t="shared" si="72"/>
        <v>34.125</v>
      </c>
      <c r="AL95" s="43"/>
      <c r="AM95" s="42">
        <f t="shared" si="74"/>
        <v>10626.666666666666</v>
      </c>
      <c r="AN95" s="42">
        <f t="shared" si="77"/>
        <v>-16.66666666666606</v>
      </c>
      <c r="AO95" s="42">
        <f t="shared" si="75"/>
        <v>277.77777777775759</v>
      </c>
      <c r="AP95" s="42">
        <f t="shared" si="76"/>
        <v>16.66666666666606</v>
      </c>
      <c r="AQ95" s="43"/>
      <c r="AR95" s="42">
        <f t="shared" si="78"/>
        <v>10810.6</v>
      </c>
      <c r="AS95" s="42">
        <f t="shared" si="79"/>
        <v>-200.60000000000036</v>
      </c>
      <c r="AT95" s="42">
        <f t="shared" si="80"/>
        <v>40240.360000000146</v>
      </c>
      <c r="AU95" s="42">
        <f t="shared" si="45"/>
        <v>200.60000000000036</v>
      </c>
      <c r="AV95" s="43"/>
      <c r="AW95" s="42">
        <f t="shared" si="81"/>
        <v>10764.727272727272</v>
      </c>
      <c r="AX95" s="42">
        <f t="shared" si="84"/>
        <v>-154.72727272727207</v>
      </c>
      <c r="AY95" s="42">
        <f t="shared" si="82"/>
        <v>23940.52892561963</v>
      </c>
      <c r="AZ95" s="42">
        <f t="shared" si="83"/>
        <v>154.72727272727207</v>
      </c>
      <c r="BA95" s="43"/>
      <c r="BB95" s="44">
        <f t="shared" si="46"/>
        <v>10686.416666666666</v>
      </c>
      <c r="BC95" s="42">
        <f t="shared" si="87"/>
        <v>-76.41666666666606</v>
      </c>
      <c r="BD95" s="42">
        <f t="shared" si="85"/>
        <v>5839.5069444443516</v>
      </c>
      <c r="BE95" s="42">
        <f t="shared" si="86"/>
        <v>76.41666666666606</v>
      </c>
    </row>
    <row r="96" spans="1:57" ht="18" x14ac:dyDescent="0.2">
      <c r="A96" s="7">
        <v>41153</v>
      </c>
      <c r="B96" s="17">
        <v>10045</v>
      </c>
      <c r="D96" s="42">
        <f t="shared" si="47"/>
        <v>10183.5</v>
      </c>
      <c r="E96" s="42">
        <f t="shared" si="44"/>
        <v>-138.5</v>
      </c>
      <c r="F96" s="42">
        <f t="shared" si="48"/>
        <v>19182.25</v>
      </c>
      <c r="G96" s="42">
        <f t="shared" si="49"/>
        <v>138.5</v>
      </c>
      <c r="H96" s="43"/>
      <c r="I96" s="42">
        <f t="shared" si="50"/>
        <v>10108.666666666666</v>
      </c>
      <c r="J96" s="42">
        <f t="shared" si="51"/>
        <v>-63.66666666666606</v>
      </c>
      <c r="K96" s="42">
        <f t="shared" si="52"/>
        <v>4053.444444444367</v>
      </c>
      <c r="L96" s="42">
        <f t="shared" si="53"/>
        <v>63.66666666666606</v>
      </c>
      <c r="M96" s="43"/>
      <c r="N96" s="42">
        <f t="shared" si="54"/>
        <v>10268.75</v>
      </c>
      <c r="O96" s="42">
        <f t="shared" si="56"/>
        <v>-223.75</v>
      </c>
      <c r="P96" s="42">
        <f t="shared" si="57"/>
        <v>50064.0625</v>
      </c>
      <c r="Q96" s="42">
        <f t="shared" si="55"/>
        <v>223.75</v>
      </c>
      <c r="R96" s="43"/>
      <c r="S96" s="42">
        <f t="shared" si="58"/>
        <v>9980.4</v>
      </c>
      <c r="T96" s="42">
        <f t="shared" si="60"/>
        <v>64.600000000000364</v>
      </c>
      <c r="U96" s="42">
        <f t="shared" si="61"/>
        <v>4173.1600000000471</v>
      </c>
      <c r="V96" s="42">
        <f t="shared" si="59"/>
        <v>64.600000000000364</v>
      </c>
      <c r="W96" s="43"/>
      <c r="X96" s="42">
        <f t="shared" si="62"/>
        <v>9999.8333333333339</v>
      </c>
      <c r="Y96" s="42">
        <f t="shared" si="64"/>
        <v>45.16666666666606</v>
      </c>
      <c r="Z96" s="42">
        <f t="shared" si="65"/>
        <v>2040.027777777723</v>
      </c>
      <c r="AA96" s="42">
        <f t="shared" si="63"/>
        <v>45.16666666666606</v>
      </c>
      <c r="AB96" s="43"/>
      <c r="AC96" s="42">
        <f t="shared" si="66"/>
        <v>11108.142857142857</v>
      </c>
      <c r="AD96" s="42">
        <f t="shared" si="68"/>
        <v>-1063.1428571428569</v>
      </c>
      <c r="AE96" s="42">
        <f t="shared" si="69"/>
        <v>1130272.7346938769</v>
      </c>
      <c r="AF96" s="42">
        <f t="shared" si="67"/>
        <v>1063.1428571428569</v>
      </c>
      <c r="AG96" s="43"/>
      <c r="AH96" s="42">
        <f t="shared" si="70"/>
        <v>10515.25</v>
      </c>
      <c r="AI96" s="42">
        <f t="shared" si="73"/>
        <v>-470.25</v>
      </c>
      <c r="AJ96" s="42">
        <f t="shared" si="71"/>
        <v>221135.0625</v>
      </c>
      <c r="AK96" s="42">
        <f t="shared" si="72"/>
        <v>470.25</v>
      </c>
      <c r="AL96" s="43"/>
      <c r="AM96" s="42">
        <f t="shared" si="74"/>
        <v>10640.333333333334</v>
      </c>
      <c r="AN96" s="42">
        <f t="shared" si="77"/>
        <v>-595.33333333333394</v>
      </c>
      <c r="AO96" s="42">
        <f t="shared" si="75"/>
        <v>354421.77777777851</v>
      </c>
      <c r="AP96" s="42">
        <f t="shared" si="76"/>
        <v>595.33333333333394</v>
      </c>
      <c r="AQ96" s="43"/>
      <c r="AR96" s="42">
        <f t="shared" si="78"/>
        <v>10625</v>
      </c>
      <c r="AS96" s="42">
        <f t="shared" si="79"/>
        <v>-580</v>
      </c>
      <c r="AT96" s="42">
        <f t="shared" si="80"/>
        <v>336400</v>
      </c>
      <c r="AU96" s="42">
        <f t="shared" si="45"/>
        <v>580</v>
      </c>
      <c r="AV96" s="43"/>
      <c r="AW96" s="42">
        <f t="shared" si="81"/>
        <v>10792.363636363636</v>
      </c>
      <c r="AX96" s="42">
        <f t="shared" si="84"/>
        <v>-747.36363636363603</v>
      </c>
      <c r="AY96" s="42">
        <f t="shared" si="82"/>
        <v>558552.40495867725</v>
      </c>
      <c r="AZ96" s="42">
        <f t="shared" si="83"/>
        <v>747.36363636363603</v>
      </c>
      <c r="BA96" s="43"/>
      <c r="BB96" s="44">
        <f t="shared" si="46"/>
        <v>10751.833333333334</v>
      </c>
      <c r="BC96" s="42">
        <f t="shared" si="87"/>
        <v>-706.83333333333394</v>
      </c>
      <c r="BD96" s="42">
        <f t="shared" si="85"/>
        <v>499613.361111112</v>
      </c>
      <c r="BE96" s="42">
        <f t="shared" si="86"/>
        <v>706.83333333333394</v>
      </c>
    </row>
    <row r="97" spans="1:57" ht="18" x14ac:dyDescent="0.2">
      <c r="A97" s="7">
        <v>41183</v>
      </c>
      <c r="B97" s="17">
        <v>8828</v>
      </c>
      <c r="D97" s="42">
        <f t="shared" si="47"/>
        <v>10327.5</v>
      </c>
      <c r="E97" s="42">
        <f t="shared" si="44"/>
        <v>-1499.5</v>
      </c>
      <c r="F97" s="42">
        <f t="shared" si="48"/>
        <v>2248500.25</v>
      </c>
      <c r="G97" s="42">
        <f t="shared" si="49"/>
        <v>1499.5</v>
      </c>
      <c r="H97" s="43"/>
      <c r="I97" s="42">
        <f t="shared" si="50"/>
        <v>10137.333333333334</v>
      </c>
      <c r="J97" s="42">
        <f t="shared" si="51"/>
        <v>-1309.3333333333339</v>
      </c>
      <c r="K97" s="42">
        <f t="shared" si="52"/>
        <v>1714353.7777777794</v>
      </c>
      <c r="L97" s="42">
        <f t="shared" si="53"/>
        <v>1309.3333333333339</v>
      </c>
      <c r="M97" s="43"/>
      <c r="N97" s="42">
        <f t="shared" si="54"/>
        <v>10092.75</v>
      </c>
      <c r="O97" s="42">
        <f t="shared" si="56"/>
        <v>-1264.75</v>
      </c>
      <c r="P97" s="42">
        <f t="shared" si="57"/>
        <v>1599592.5625</v>
      </c>
      <c r="Q97" s="42">
        <f t="shared" si="55"/>
        <v>1264.75</v>
      </c>
      <c r="R97" s="43"/>
      <c r="S97" s="42">
        <f t="shared" si="58"/>
        <v>10224</v>
      </c>
      <c r="T97" s="42">
        <f t="shared" si="60"/>
        <v>-1396</v>
      </c>
      <c r="U97" s="42">
        <f t="shared" si="61"/>
        <v>1948816</v>
      </c>
      <c r="V97" s="42">
        <f t="shared" si="59"/>
        <v>1396</v>
      </c>
      <c r="W97" s="43"/>
      <c r="X97" s="42">
        <f t="shared" si="62"/>
        <v>9991.1666666666661</v>
      </c>
      <c r="Y97" s="42">
        <f t="shared" si="64"/>
        <v>-1163.1666666666661</v>
      </c>
      <c r="Z97" s="42">
        <f t="shared" si="65"/>
        <v>1352956.6944444431</v>
      </c>
      <c r="AA97" s="42">
        <f t="shared" si="63"/>
        <v>1163.1666666666661</v>
      </c>
      <c r="AB97" s="43"/>
      <c r="AC97" s="42">
        <f t="shared" si="66"/>
        <v>10006.285714285714</v>
      </c>
      <c r="AD97" s="42">
        <f t="shared" si="68"/>
        <v>-1178.2857142857138</v>
      </c>
      <c r="AE97" s="42">
        <f t="shared" si="69"/>
        <v>1388357.2244897946</v>
      </c>
      <c r="AF97" s="42">
        <f t="shared" si="67"/>
        <v>1178.2857142857138</v>
      </c>
      <c r="AG97" s="43"/>
      <c r="AH97" s="42">
        <f t="shared" si="70"/>
        <v>10975.25</v>
      </c>
      <c r="AI97" s="42">
        <f t="shared" si="73"/>
        <v>-2147.25</v>
      </c>
      <c r="AJ97" s="42">
        <f t="shared" si="71"/>
        <v>4610682.5625</v>
      </c>
      <c r="AK97" s="42">
        <f t="shared" si="72"/>
        <v>2147.25</v>
      </c>
      <c r="AL97" s="43"/>
      <c r="AM97" s="42">
        <f t="shared" si="74"/>
        <v>10463</v>
      </c>
      <c r="AN97" s="42">
        <f t="shared" si="77"/>
        <v>-1635</v>
      </c>
      <c r="AO97" s="42">
        <f t="shared" si="75"/>
        <v>2673225</v>
      </c>
      <c r="AP97" s="42">
        <f t="shared" si="76"/>
        <v>1635</v>
      </c>
      <c r="AQ97" s="43"/>
      <c r="AR97" s="42">
        <f t="shared" si="78"/>
        <v>10580.8</v>
      </c>
      <c r="AS97" s="42">
        <f t="shared" si="79"/>
        <v>-1752.7999999999993</v>
      </c>
      <c r="AT97" s="42">
        <f t="shared" si="80"/>
        <v>3072307.8399999975</v>
      </c>
      <c r="AU97" s="42">
        <f t="shared" si="45"/>
        <v>1752.7999999999993</v>
      </c>
      <c r="AV97" s="43"/>
      <c r="AW97" s="42">
        <f t="shared" si="81"/>
        <v>10572.272727272728</v>
      </c>
      <c r="AX97" s="42">
        <f t="shared" si="84"/>
        <v>-1744.2727272727279</v>
      </c>
      <c r="AY97" s="42">
        <f t="shared" si="82"/>
        <v>3042487.3471074402</v>
      </c>
      <c r="AZ97" s="42">
        <f t="shared" si="83"/>
        <v>1744.2727272727279</v>
      </c>
      <c r="BA97" s="43"/>
      <c r="BB97" s="44">
        <f t="shared" si="46"/>
        <v>10730.083333333334</v>
      </c>
      <c r="BC97" s="42">
        <f t="shared" si="87"/>
        <v>-1902.0833333333339</v>
      </c>
      <c r="BD97" s="42">
        <f t="shared" si="85"/>
        <v>3617921.0069444468</v>
      </c>
      <c r="BE97" s="42">
        <f t="shared" si="86"/>
        <v>1902.0833333333339</v>
      </c>
    </row>
    <row r="98" spans="1:57" ht="18" x14ac:dyDescent="0.2">
      <c r="A98" s="7">
        <v>41214</v>
      </c>
      <c r="B98" s="17">
        <v>9366</v>
      </c>
      <c r="D98" s="42">
        <f t="shared" si="47"/>
        <v>9436.5</v>
      </c>
      <c r="E98" s="42">
        <f t="shared" si="44"/>
        <v>-70.5</v>
      </c>
      <c r="F98" s="42">
        <f t="shared" si="48"/>
        <v>4970.25</v>
      </c>
      <c r="G98" s="42">
        <f t="shared" si="49"/>
        <v>70.5</v>
      </c>
      <c r="H98" s="43"/>
      <c r="I98" s="42">
        <f t="shared" si="50"/>
        <v>9827.6666666666661</v>
      </c>
      <c r="J98" s="42">
        <f t="shared" si="51"/>
        <v>-461.66666666666606</v>
      </c>
      <c r="K98" s="42">
        <f t="shared" si="52"/>
        <v>213136.11111111054</v>
      </c>
      <c r="L98" s="42">
        <f t="shared" si="53"/>
        <v>461.66666666666606</v>
      </c>
      <c r="M98" s="43"/>
      <c r="N98" s="42">
        <f t="shared" si="54"/>
        <v>9810</v>
      </c>
      <c r="O98" s="42">
        <f t="shared" si="56"/>
        <v>-444</v>
      </c>
      <c r="P98" s="42">
        <f t="shared" si="57"/>
        <v>197136</v>
      </c>
      <c r="Q98" s="42">
        <f t="shared" si="55"/>
        <v>444</v>
      </c>
      <c r="R98" s="43"/>
      <c r="S98" s="42">
        <f t="shared" si="58"/>
        <v>9839.7999999999993</v>
      </c>
      <c r="T98" s="42">
        <f t="shared" si="60"/>
        <v>-473.79999999999927</v>
      </c>
      <c r="U98" s="42">
        <f t="shared" si="61"/>
        <v>224486.4399999993</v>
      </c>
      <c r="V98" s="42">
        <f t="shared" si="59"/>
        <v>473.79999999999927</v>
      </c>
      <c r="W98" s="43"/>
      <c r="X98" s="42">
        <f t="shared" si="62"/>
        <v>9991.3333333333339</v>
      </c>
      <c r="Y98" s="42">
        <f t="shared" si="64"/>
        <v>-625.33333333333394</v>
      </c>
      <c r="Z98" s="42">
        <f t="shared" si="65"/>
        <v>391041.77777777851</v>
      </c>
      <c r="AA98" s="42">
        <f t="shared" si="63"/>
        <v>625.33333333333394</v>
      </c>
      <c r="AB98" s="43"/>
      <c r="AC98" s="42">
        <f t="shared" si="66"/>
        <v>9825</v>
      </c>
      <c r="AD98" s="42">
        <f t="shared" si="68"/>
        <v>-459</v>
      </c>
      <c r="AE98" s="42">
        <f t="shared" si="69"/>
        <v>210681</v>
      </c>
      <c r="AF98" s="42">
        <f t="shared" si="67"/>
        <v>459</v>
      </c>
      <c r="AG98" s="43"/>
      <c r="AH98" s="42">
        <f t="shared" si="70"/>
        <v>9859</v>
      </c>
      <c r="AI98" s="42">
        <f t="shared" si="73"/>
        <v>-493</v>
      </c>
      <c r="AJ98" s="42">
        <f t="shared" si="71"/>
        <v>243049</v>
      </c>
      <c r="AK98" s="42">
        <f t="shared" si="72"/>
        <v>493</v>
      </c>
      <c r="AL98" s="43"/>
      <c r="AM98" s="42">
        <f t="shared" si="74"/>
        <v>10736.666666666666</v>
      </c>
      <c r="AN98" s="42">
        <f t="shared" si="77"/>
        <v>-1370.6666666666661</v>
      </c>
      <c r="AO98" s="42">
        <f t="shared" si="75"/>
        <v>1878727.1111111094</v>
      </c>
      <c r="AP98" s="42">
        <f t="shared" si="76"/>
        <v>1370.6666666666661</v>
      </c>
      <c r="AQ98" s="43"/>
      <c r="AR98" s="42">
        <f t="shared" si="78"/>
        <v>10299.5</v>
      </c>
      <c r="AS98" s="42">
        <f t="shared" si="79"/>
        <v>-933.5</v>
      </c>
      <c r="AT98" s="42">
        <f t="shared" si="80"/>
        <v>871422.25</v>
      </c>
      <c r="AU98" s="42">
        <f t="shared" si="45"/>
        <v>933.5</v>
      </c>
      <c r="AV98" s="43"/>
      <c r="AW98" s="42">
        <f t="shared" si="81"/>
        <v>10421.454545454546</v>
      </c>
      <c r="AX98" s="42">
        <f t="shared" si="84"/>
        <v>-1055.454545454546</v>
      </c>
      <c r="AY98" s="42">
        <f t="shared" si="82"/>
        <v>1113984.2975206622</v>
      </c>
      <c r="AZ98" s="42">
        <f t="shared" si="83"/>
        <v>1055.454545454546</v>
      </c>
      <c r="BA98" s="43"/>
      <c r="BB98" s="44">
        <f t="shared" si="46"/>
        <v>10426.916666666666</v>
      </c>
      <c r="BC98" s="42">
        <f t="shared" si="87"/>
        <v>-1060.9166666666661</v>
      </c>
      <c r="BD98" s="42">
        <f t="shared" si="85"/>
        <v>1125544.1736111098</v>
      </c>
      <c r="BE98" s="42">
        <f t="shared" si="86"/>
        <v>1060.9166666666661</v>
      </c>
    </row>
    <row r="99" spans="1:57" ht="18" x14ac:dyDescent="0.2">
      <c r="A99" s="7">
        <v>41244</v>
      </c>
      <c r="B99" s="17">
        <v>11366</v>
      </c>
      <c r="D99" s="42">
        <f t="shared" si="47"/>
        <v>9097</v>
      </c>
      <c r="E99" s="42">
        <f t="shared" si="44"/>
        <v>2269</v>
      </c>
      <c r="F99" s="42">
        <f t="shared" si="48"/>
        <v>5148361</v>
      </c>
      <c r="G99" s="42">
        <f t="shared" si="49"/>
        <v>2269</v>
      </c>
      <c r="H99" s="43"/>
      <c r="I99" s="42">
        <f t="shared" si="50"/>
        <v>9413</v>
      </c>
      <c r="J99" s="42">
        <f t="shared" si="51"/>
        <v>1953</v>
      </c>
      <c r="K99" s="42">
        <f t="shared" si="52"/>
        <v>3814209</v>
      </c>
      <c r="L99" s="42">
        <f t="shared" si="53"/>
        <v>1953</v>
      </c>
      <c r="M99" s="43"/>
      <c r="N99" s="42">
        <f t="shared" si="54"/>
        <v>9712.25</v>
      </c>
      <c r="O99" s="42">
        <f t="shared" si="56"/>
        <v>1653.75</v>
      </c>
      <c r="P99" s="42">
        <f t="shared" si="57"/>
        <v>2734889.0625</v>
      </c>
      <c r="Q99" s="42">
        <f t="shared" si="55"/>
        <v>1653.75</v>
      </c>
      <c r="R99" s="43"/>
      <c r="S99" s="42">
        <f t="shared" si="58"/>
        <v>9721.2000000000007</v>
      </c>
      <c r="T99" s="42">
        <f t="shared" si="60"/>
        <v>1644.7999999999993</v>
      </c>
      <c r="U99" s="42">
        <f t="shared" si="61"/>
        <v>2705367.0399999977</v>
      </c>
      <c r="V99" s="42">
        <f t="shared" si="59"/>
        <v>1644.7999999999993</v>
      </c>
      <c r="W99" s="43"/>
      <c r="X99" s="42">
        <f t="shared" si="62"/>
        <v>9760.8333333333339</v>
      </c>
      <c r="Y99" s="42">
        <f t="shared" si="64"/>
        <v>1605.1666666666661</v>
      </c>
      <c r="Z99" s="42">
        <f t="shared" si="65"/>
        <v>2576560.0277777757</v>
      </c>
      <c r="AA99" s="42">
        <f t="shared" si="63"/>
        <v>1605.1666666666661</v>
      </c>
      <c r="AB99" s="43"/>
      <c r="AC99" s="42">
        <f t="shared" si="66"/>
        <v>9902</v>
      </c>
      <c r="AD99" s="42">
        <f t="shared" si="68"/>
        <v>1464</v>
      </c>
      <c r="AE99" s="42">
        <f t="shared" si="69"/>
        <v>2143296</v>
      </c>
      <c r="AF99" s="42">
        <f t="shared" si="67"/>
        <v>1464</v>
      </c>
      <c r="AG99" s="43"/>
      <c r="AH99" s="42">
        <f t="shared" si="70"/>
        <v>9767.625</v>
      </c>
      <c r="AI99" s="42">
        <f t="shared" si="73"/>
        <v>1598.375</v>
      </c>
      <c r="AJ99" s="42">
        <f t="shared" si="71"/>
        <v>2554802.640625</v>
      </c>
      <c r="AK99" s="42">
        <f t="shared" si="72"/>
        <v>1598.375</v>
      </c>
      <c r="AL99" s="43"/>
      <c r="AM99" s="42">
        <f t="shared" si="74"/>
        <v>9804.2222222222226</v>
      </c>
      <c r="AN99" s="42">
        <f t="shared" si="77"/>
        <v>1561.7777777777774</v>
      </c>
      <c r="AO99" s="42">
        <f t="shared" si="75"/>
        <v>2439149.8271604925</v>
      </c>
      <c r="AP99" s="42">
        <f t="shared" si="76"/>
        <v>1561.7777777777774</v>
      </c>
      <c r="AQ99" s="43"/>
      <c r="AR99" s="42">
        <f t="shared" si="78"/>
        <v>10599.6</v>
      </c>
      <c r="AS99" s="42">
        <f t="shared" si="79"/>
        <v>766.39999999999964</v>
      </c>
      <c r="AT99" s="42">
        <f t="shared" si="80"/>
        <v>587368.9599999995</v>
      </c>
      <c r="AU99" s="42">
        <f t="shared" si="45"/>
        <v>766.39999999999964</v>
      </c>
      <c r="AV99" s="43"/>
      <c r="AW99" s="42">
        <f t="shared" si="81"/>
        <v>10214.636363636364</v>
      </c>
      <c r="AX99" s="42">
        <f t="shared" si="84"/>
        <v>1151.363636363636</v>
      </c>
      <c r="AY99" s="42">
        <f t="shared" si="82"/>
        <v>1325638.2231404951</v>
      </c>
      <c r="AZ99" s="42">
        <f t="shared" si="83"/>
        <v>1151.363636363636</v>
      </c>
      <c r="BA99" s="43"/>
      <c r="BB99" s="44">
        <f t="shared" si="46"/>
        <v>10333.5</v>
      </c>
      <c r="BC99" s="42">
        <f t="shared" si="87"/>
        <v>1032.5</v>
      </c>
      <c r="BD99" s="42">
        <f t="shared" si="85"/>
        <v>1066056.25</v>
      </c>
      <c r="BE99" s="42">
        <f t="shared" si="86"/>
        <v>1032.5</v>
      </c>
    </row>
    <row r="100" spans="1:57" ht="18" x14ac:dyDescent="0.2">
      <c r="A100" s="7">
        <v>41275</v>
      </c>
      <c r="B100" s="17">
        <v>7405</v>
      </c>
      <c r="D100" s="42">
        <f t="shared" si="47"/>
        <v>10366</v>
      </c>
      <c r="E100" s="42">
        <f t="shared" si="44"/>
        <v>-2961</v>
      </c>
      <c r="F100" s="42">
        <f t="shared" si="48"/>
        <v>8767521</v>
      </c>
      <c r="G100" s="42">
        <f t="shared" si="49"/>
        <v>2961</v>
      </c>
      <c r="H100" s="43"/>
      <c r="I100" s="42">
        <f t="shared" si="50"/>
        <v>9853.3333333333339</v>
      </c>
      <c r="J100" s="42">
        <f t="shared" si="51"/>
        <v>-2448.3333333333339</v>
      </c>
      <c r="K100" s="42">
        <f t="shared" si="52"/>
        <v>5994336.1111111138</v>
      </c>
      <c r="L100" s="42">
        <f t="shared" si="53"/>
        <v>2448.3333333333339</v>
      </c>
      <c r="M100" s="43"/>
      <c r="N100" s="42">
        <f t="shared" si="54"/>
        <v>9901.25</v>
      </c>
      <c r="O100" s="42">
        <f t="shared" si="56"/>
        <v>-2496.25</v>
      </c>
      <c r="P100" s="42">
        <f t="shared" si="57"/>
        <v>6231264.0625</v>
      </c>
      <c r="Q100" s="42">
        <f t="shared" si="55"/>
        <v>2496.25</v>
      </c>
      <c r="R100" s="43"/>
      <c r="S100" s="42">
        <f t="shared" si="58"/>
        <v>10043</v>
      </c>
      <c r="T100" s="42">
        <f t="shared" si="60"/>
        <v>-2638</v>
      </c>
      <c r="U100" s="42">
        <f t="shared" si="61"/>
        <v>6959044</v>
      </c>
      <c r="V100" s="42">
        <f t="shared" si="59"/>
        <v>2638</v>
      </c>
      <c r="W100" s="43"/>
      <c r="X100" s="42">
        <f t="shared" si="62"/>
        <v>9995.3333333333339</v>
      </c>
      <c r="Y100" s="42">
        <f t="shared" si="64"/>
        <v>-2590.3333333333339</v>
      </c>
      <c r="Z100" s="42">
        <f t="shared" si="65"/>
        <v>6709826.7777777808</v>
      </c>
      <c r="AA100" s="42">
        <f t="shared" si="63"/>
        <v>2590.3333333333339</v>
      </c>
      <c r="AB100" s="43"/>
      <c r="AC100" s="42">
        <f t="shared" si="66"/>
        <v>9990.1428571428569</v>
      </c>
      <c r="AD100" s="42">
        <f t="shared" si="68"/>
        <v>-2585.1428571428569</v>
      </c>
      <c r="AE100" s="42">
        <f t="shared" si="69"/>
        <v>6682963.5918367337</v>
      </c>
      <c r="AF100" s="42">
        <f t="shared" si="67"/>
        <v>2585.1428571428569</v>
      </c>
      <c r="AG100" s="43"/>
      <c r="AH100" s="42">
        <f t="shared" si="70"/>
        <v>10085</v>
      </c>
      <c r="AI100" s="42">
        <f t="shared" si="73"/>
        <v>-2680</v>
      </c>
      <c r="AJ100" s="42">
        <f t="shared" si="71"/>
        <v>7182400</v>
      </c>
      <c r="AK100" s="42">
        <f t="shared" si="72"/>
        <v>2680</v>
      </c>
      <c r="AL100" s="43"/>
      <c r="AM100" s="42">
        <f t="shared" si="74"/>
        <v>9945.2222222222226</v>
      </c>
      <c r="AN100" s="42">
        <f t="shared" si="77"/>
        <v>-2540.2222222222226</v>
      </c>
      <c r="AO100" s="42">
        <f t="shared" si="75"/>
        <v>6452728.9382716073</v>
      </c>
      <c r="AP100" s="42">
        <f t="shared" si="76"/>
        <v>2540.2222222222226</v>
      </c>
      <c r="AQ100" s="43"/>
      <c r="AR100" s="42">
        <f t="shared" si="78"/>
        <v>9960.4</v>
      </c>
      <c r="AS100" s="42">
        <f t="shared" si="79"/>
        <v>-2555.3999999999996</v>
      </c>
      <c r="AT100" s="42">
        <f t="shared" si="80"/>
        <v>6530069.1599999983</v>
      </c>
      <c r="AU100" s="42">
        <f t="shared" si="45"/>
        <v>2555.3999999999996</v>
      </c>
      <c r="AV100" s="43"/>
      <c r="AW100" s="42">
        <f t="shared" si="81"/>
        <v>10669.272727272728</v>
      </c>
      <c r="AX100" s="42">
        <f t="shared" si="84"/>
        <v>-3264.2727272727279</v>
      </c>
      <c r="AY100" s="42">
        <f t="shared" si="82"/>
        <v>10655476.438016534</v>
      </c>
      <c r="AZ100" s="42">
        <f t="shared" si="83"/>
        <v>3264.2727272727279</v>
      </c>
      <c r="BA100" s="43"/>
      <c r="BB100" s="44">
        <f t="shared" si="46"/>
        <v>10310.583333333334</v>
      </c>
      <c r="BC100" s="42">
        <f t="shared" si="87"/>
        <v>-2905.5833333333339</v>
      </c>
      <c r="BD100" s="42">
        <f t="shared" si="85"/>
        <v>8442414.5069444478</v>
      </c>
      <c r="BE100" s="42">
        <f t="shared" si="86"/>
        <v>2905.5833333333339</v>
      </c>
    </row>
    <row r="101" spans="1:57" ht="18" x14ac:dyDescent="0.2">
      <c r="A101" s="7">
        <v>41306</v>
      </c>
      <c r="B101" s="17">
        <v>9614</v>
      </c>
      <c r="D101" s="42">
        <f t="shared" si="47"/>
        <v>9385.5</v>
      </c>
      <c r="E101" s="42">
        <f t="shared" si="44"/>
        <v>228.5</v>
      </c>
      <c r="F101" s="42">
        <f t="shared" si="48"/>
        <v>52212.25</v>
      </c>
      <c r="G101" s="42">
        <f t="shared" si="49"/>
        <v>228.5</v>
      </c>
      <c r="H101" s="43"/>
      <c r="I101" s="42">
        <f t="shared" si="50"/>
        <v>9379</v>
      </c>
      <c r="J101" s="42">
        <f t="shared" si="51"/>
        <v>235</v>
      </c>
      <c r="K101" s="42">
        <f t="shared" si="52"/>
        <v>55225</v>
      </c>
      <c r="L101" s="42">
        <f t="shared" si="53"/>
        <v>235</v>
      </c>
      <c r="M101" s="43"/>
      <c r="N101" s="42">
        <f t="shared" si="54"/>
        <v>9241.25</v>
      </c>
      <c r="O101" s="42">
        <f t="shared" si="56"/>
        <v>372.75</v>
      </c>
      <c r="P101" s="42">
        <f t="shared" si="57"/>
        <v>138942.5625</v>
      </c>
      <c r="Q101" s="42">
        <f t="shared" si="55"/>
        <v>372.75</v>
      </c>
      <c r="R101" s="43"/>
      <c r="S101" s="42">
        <f t="shared" si="58"/>
        <v>9402</v>
      </c>
      <c r="T101" s="42">
        <f t="shared" si="60"/>
        <v>212</v>
      </c>
      <c r="U101" s="42">
        <f t="shared" si="61"/>
        <v>44944</v>
      </c>
      <c r="V101" s="42">
        <f t="shared" si="59"/>
        <v>212</v>
      </c>
      <c r="W101" s="43"/>
      <c r="X101" s="42">
        <f t="shared" si="62"/>
        <v>9603.3333333333339</v>
      </c>
      <c r="Y101" s="42">
        <f t="shared" si="64"/>
        <v>10.66666666666606</v>
      </c>
      <c r="Z101" s="42">
        <f t="shared" si="65"/>
        <v>113.77777777776484</v>
      </c>
      <c r="AA101" s="42">
        <f t="shared" si="63"/>
        <v>10.66666666666606</v>
      </c>
      <c r="AB101" s="43"/>
      <c r="AC101" s="42">
        <f t="shared" si="66"/>
        <v>9625.2857142857138</v>
      </c>
      <c r="AD101" s="42">
        <f t="shared" si="68"/>
        <v>-11.285714285713766</v>
      </c>
      <c r="AE101" s="42">
        <f t="shared" si="69"/>
        <v>127.36734693876377</v>
      </c>
      <c r="AF101" s="42">
        <f t="shared" si="67"/>
        <v>11.285714285713766</v>
      </c>
      <c r="AG101" s="43"/>
      <c r="AH101" s="42">
        <f t="shared" si="70"/>
        <v>9667</v>
      </c>
      <c r="AI101" s="42">
        <f t="shared" si="73"/>
        <v>-53</v>
      </c>
      <c r="AJ101" s="42">
        <f t="shared" si="71"/>
        <v>2809</v>
      </c>
      <c r="AK101" s="42">
        <f t="shared" si="72"/>
        <v>53</v>
      </c>
      <c r="AL101" s="43"/>
      <c r="AM101" s="42">
        <f t="shared" si="74"/>
        <v>9787.2222222222226</v>
      </c>
      <c r="AN101" s="42">
        <f t="shared" si="77"/>
        <v>-173.22222222222263</v>
      </c>
      <c r="AO101" s="42">
        <f t="shared" si="75"/>
        <v>30005.938271605079</v>
      </c>
      <c r="AP101" s="42">
        <f t="shared" si="76"/>
        <v>173.22222222222263</v>
      </c>
      <c r="AQ101" s="43"/>
      <c r="AR101" s="42">
        <f t="shared" si="78"/>
        <v>9691.2000000000007</v>
      </c>
      <c r="AS101" s="42">
        <f t="shared" si="79"/>
        <v>-77.200000000000728</v>
      </c>
      <c r="AT101" s="42">
        <f t="shared" si="80"/>
        <v>5959.840000000112</v>
      </c>
      <c r="AU101" s="42">
        <f t="shared" si="45"/>
        <v>77.200000000000728</v>
      </c>
      <c r="AV101" s="43"/>
      <c r="AW101" s="42">
        <f t="shared" si="81"/>
        <v>9728.0909090909099</v>
      </c>
      <c r="AX101" s="42">
        <f t="shared" si="84"/>
        <v>-114.09090909090992</v>
      </c>
      <c r="AY101" s="42">
        <f t="shared" si="82"/>
        <v>13016.73553719027</v>
      </c>
      <c r="AZ101" s="42">
        <f t="shared" si="83"/>
        <v>114.09090909090992</v>
      </c>
      <c r="BA101" s="43"/>
      <c r="BB101" s="44">
        <f t="shared" si="46"/>
        <v>10397.25</v>
      </c>
      <c r="BC101" s="42">
        <f t="shared" si="87"/>
        <v>-783.25</v>
      </c>
      <c r="BD101" s="42">
        <f t="shared" si="85"/>
        <v>613480.5625</v>
      </c>
      <c r="BE101" s="42">
        <f t="shared" si="86"/>
        <v>783.25</v>
      </c>
    </row>
    <row r="102" spans="1:57" ht="18" x14ac:dyDescent="0.2">
      <c r="A102" s="7">
        <v>41334</v>
      </c>
      <c r="B102" s="17">
        <v>11207</v>
      </c>
      <c r="D102" s="42">
        <f t="shared" si="47"/>
        <v>8509.5</v>
      </c>
      <c r="E102" s="42">
        <f t="shared" si="44"/>
        <v>2697.5</v>
      </c>
      <c r="F102" s="42">
        <f t="shared" si="48"/>
        <v>7276506.25</v>
      </c>
      <c r="G102" s="42">
        <f t="shared" si="49"/>
        <v>2697.5</v>
      </c>
      <c r="H102" s="43"/>
      <c r="I102" s="42">
        <f t="shared" si="50"/>
        <v>9461.6666666666661</v>
      </c>
      <c r="J102" s="42">
        <f t="shared" si="51"/>
        <v>1745.3333333333339</v>
      </c>
      <c r="K102" s="42">
        <f t="shared" si="52"/>
        <v>3046188.4444444464</v>
      </c>
      <c r="L102" s="42">
        <f t="shared" si="53"/>
        <v>1745.3333333333339</v>
      </c>
      <c r="M102" s="43"/>
      <c r="N102" s="42">
        <f t="shared" si="54"/>
        <v>9437.75</v>
      </c>
      <c r="O102" s="42">
        <f t="shared" si="56"/>
        <v>1769.25</v>
      </c>
      <c r="P102" s="42">
        <f t="shared" si="57"/>
        <v>3130245.5625</v>
      </c>
      <c r="Q102" s="42">
        <f t="shared" si="55"/>
        <v>1769.25</v>
      </c>
      <c r="R102" s="43"/>
      <c r="S102" s="42">
        <f t="shared" si="58"/>
        <v>9315.7999999999993</v>
      </c>
      <c r="T102" s="42">
        <f t="shared" si="60"/>
        <v>1891.2000000000007</v>
      </c>
      <c r="U102" s="42">
        <f t="shared" si="61"/>
        <v>3576637.4400000027</v>
      </c>
      <c r="V102" s="42">
        <f t="shared" si="59"/>
        <v>1891.2000000000007</v>
      </c>
      <c r="W102" s="43"/>
      <c r="X102" s="42">
        <f t="shared" si="62"/>
        <v>9437.3333333333339</v>
      </c>
      <c r="Y102" s="42">
        <f t="shared" si="64"/>
        <v>1769.6666666666661</v>
      </c>
      <c r="Z102" s="42">
        <f t="shared" si="65"/>
        <v>3131720.1111111091</v>
      </c>
      <c r="AA102" s="42">
        <f t="shared" si="63"/>
        <v>1769.6666666666661</v>
      </c>
      <c r="AB102" s="43"/>
      <c r="AC102" s="42">
        <f t="shared" si="66"/>
        <v>9604.8571428571431</v>
      </c>
      <c r="AD102" s="42">
        <f t="shared" si="68"/>
        <v>1602.1428571428569</v>
      </c>
      <c r="AE102" s="42">
        <f t="shared" si="69"/>
        <v>2566861.7346938769</v>
      </c>
      <c r="AF102" s="42">
        <f t="shared" si="67"/>
        <v>1602.1428571428569</v>
      </c>
      <c r="AG102" s="43"/>
      <c r="AH102" s="42">
        <f t="shared" si="70"/>
        <v>9623.875</v>
      </c>
      <c r="AI102" s="42">
        <f t="shared" si="73"/>
        <v>1583.125</v>
      </c>
      <c r="AJ102" s="42">
        <f t="shared" si="71"/>
        <v>2506284.765625</v>
      </c>
      <c r="AK102" s="42">
        <f t="shared" si="72"/>
        <v>1583.125</v>
      </c>
      <c r="AL102" s="43"/>
      <c r="AM102" s="42">
        <f t="shared" si="74"/>
        <v>9661.1111111111113</v>
      </c>
      <c r="AN102" s="42">
        <f t="shared" si="77"/>
        <v>1545.8888888888887</v>
      </c>
      <c r="AO102" s="42">
        <f t="shared" si="75"/>
        <v>2389772.4567901227</v>
      </c>
      <c r="AP102" s="42">
        <f t="shared" si="76"/>
        <v>1545.8888888888887</v>
      </c>
      <c r="AQ102" s="43"/>
      <c r="AR102" s="42">
        <f t="shared" si="78"/>
        <v>9769.9</v>
      </c>
      <c r="AS102" s="42">
        <f t="shared" si="79"/>
        <v>1437.1000000000004</v>
      </c>
      <c r="AT102" s="42">
        <f t="shared" si="80"/>
        <v>2065256.4100000011</v>
      </c>
      <c r="AU102" s="42">
        <f t="shared" si="45"/>
        <v>1437.1000000000004</v>
      </c>
      <c r="AV102" s="43"/>
      <c r="AW102" s="42">
        <f t="shared" si="81"/>
        <v>9684.181818181818</v>
      </c>
      <c r="AX102" s="42">
        <f t="shared" si="84"/>
        <v>1522.818181818182</v>
      </c>
      <c r="AY102" s="42">
        <f t="shared" si="82"/>
        <v>2318975.2148760334</v>
      </c>
      <c r="AZ102" s="42">
        <f t="shared" si="83"/>
        <v>1522.818181818182</v>
      </c>
      <c r="BA102" s="43"/>
      <c r="BB102" s="44">
        <f t="shared" si="46"/>
        <v>9718.5833333333339</v>
      </c>
      <c r="BC102" s="42">
        <f t="shared" si="87"/>
        <v>1488.4166666666661</v>
      </c>
      <c r="BD102" s="42">
        <f t="shared" si="85"/>
        <v>2215384.1736111091</v>
      </c>
      <c r="BE102" s="42">
        <f t="shared" si="86"/>
        <v>1488.4166666666661</v>
      </c>
    </row>
    <row r="103" spans="1:57" ht="18" x14ac:dyDescent="0.2">
      <c r="A103" s="7">
        <v>41365</v>
      </c>
      <c r="B103" s="17">
        <v>10613</v>
      </c>
      <c r="D103" s="42">
        <f t="shared" si="47"/>
        <v>10410.5</v>
      </c>
      <c r="E103" s="42">
        <f t="shared" si="44"/>
        <v>202.5</v>
      </c>
      <c r="F103" s="42">
        <f t="shared" si="48"/>
        <v>41006.25</v>
      </c>
      <c r="G103" s="42">
        <f t="shared" si="49"/>
        <v>202.5</v>
      </c>
      <c r="H103" s="43"/>
      <c r="I103" s="42">
        <f t="shared" si="50"/>
        <v>9408.6666666666661</v>
      </c>
      <c r="J103" s="42">
        <f t="shared" si="51"/>
        <v>1204.3333333333339</v>
      </c>
      <c r="K103" s="42">
        <f t="shared" si="52"/>
        <v>1450418.7777777791</v>
      </c>
      <c r="L103" s="42">
        <f t="shared" si="53"/>
        <v>1204.3333333333339</v>
      </c>
      <c r="M103" s="43"/>
      <c r="N103" s="42">
        <f t="shared" si="54"/>
        <v>9898</v>
      </c>
      <c r="O103" s="42">
        <f t="shared" si="56"/>
        <v>715</v>
      </c>
      <c r="P103" s="42">
        <f t="shared" si="57"/>
        <v>511225</v>
      </c>
      <c r="Q103" s="42">
        <f t="shared" si="55"/>
        <v>715</v>
      </c>
      <c r="R103" s="43"/>
      <c r="S103" s="42">
        <f t="shared" si="58"/>
        <v>9791.6</v>
      </c>
      <c r="T103" s="42">
        <f t="shared" si="60"/>
        <v>821.39999999999964</v>
      </c>
      <c r="U103" s="42">
        <f t="shared" si="61"/>
        <v>674697.95999999938</v>
      </c>
      <c r="V103" s="42">
        <f t="shared" si="59"/>
        <v>821.39999999999964</v>
      </c>
      <c r="W103" s="43"/>
      <c r="X103" s="42">
        <f t="shared" si="62"/>
        <v>9631</v>
      </c>
      <c r="Y103" s="42">
        <f t="shared" si="64"/>
        <v>982</v>
      </c>
      <c r="Z103" s="42">
        <f t="shared" si="65"/>
        <v>964324</v>
      </c>
      <c r="AA103" s="42">
        <f t="shared" si="63"/>
        <v>982</v>
      </c>
      <c r="AB103" s="43"/>
      <c r="AC103" s="42">
        <f t="shared" si="66"/>
        <v>9690.1428571428569</v>
      </c>
      <c r="AD103" s="42">
        <f t="shared" si="68"/>
        <v>922.85714285714312</v>
      </c>
      <c r="AE103" s="42">
        <f t="shared" si="69"/>
        <v>851665.30612244946</v>
      </c>
      <c r="AF103" s="42">
        <f t="shared" si="67"/>
        <v>922.85714285714312</v>
      </c>
      <c r="AG103" s="43"/>
      <c r="AH103" s="42">
        <f t="shared" si="70"/>
        <v>9805.125</v>
      </c>
      <c r="AI103" s="42">
        <f t="shared" si="73"/>
        <v>807.875</v>
      </c>
      <c r="AJ103" s="42">
        <f t="shared" si="71"/>
        <v>652662.015625</v>
      </c>
      <c r="AK103" s="42">
        <f t="shared" si="72"/>
        <v>807.875</v>
      </c>
      <c r="AL103" s="43"/>
      <c r="AM103" s="42">
        <f t="shared" si="74"/>
        <v>9799.7777777777774</v>
      </c>
      <c r="AN103" s="42">
        <f t="shared" si="77"/>
        <v>813.22222222222263</v>
      </c>
      <c r="AO103" s="42">
        <f t="shared" si="75"/>
        <v>661330.38271605002</v>
      </c>
      <c r="AP103" s="42">
        <f t="shared" si="76"/>
        <v>813.22222222222263</v>
      </c>
      <c r="AQ103" s="43"/>
      <c r="AR103" s="42">
        <f t="shared" si="78"/>
        <v>9815.7000000000007</v>
      </c>
      <c r="AS103" s="42">
        <f t="shared" si="79"/>
        <v>797.29999999999927</v>
      </c>
      <c r="AT103" s="42">
        <f t="shared" si="80"/>
        <v>635687.28999999887</v>
      </c>
      <c r="AU103" s="42">
        <f t="shared" si="45"/>
        <v>797.29999999999927</v>
      </c>
      <c r="AV103" s="43"/>
      <c r="AW103" s="42">
        <f t="shared" si="81"/>
        <v>9900.545454545454</v>
      </c>
      <c r="AX103" s="42">
        <f t="shared" si="84"/>
        <v>712.45454545454595</v>
      </c>
      <c r="AY103" s="42">
        <f t="shared" si="82"/>
        <v>507591.47933884367</v>
      </c>
      <c r="AZ103" s="42">
        <f t="shared" si="83"/>
        <v>712.45454545454595</v>
      </c>
      <c r="BA103" s="43"/>
      <c r="BB103" s="44">
        <f t="shared" si="46"/>
        <v>9811.0833333333339</v>
      </c>
      <c r="BC103" s="42">
        <f t="shared" si="87"/>
        <v>801.91666666666606</v>
      </c>
      <c r="BD103" s="42">
        <f t="shared" si="85"/>
        <v>643070.34027777682</v>
      </c>
      <c r="BE103" s="42">
        <f t="shared" si="86"/>
        <v>801.91666666666606</v>
      </c>
    </row>
    <row r="104" spans="1:57" ht="18" x14ac:dyDescent="0.2">
      <c r="A104" s="7">
        <v>41395</v>
      </c>
      <c r="B104" s="17">
        <v>11963</v>
      </c>
      <c r="D104" s="42">
        <f t="shared" si="47"/>
        <v>10910</v>
      </c>
      <c r="E104" s="42">
        <f t="shared" si="44"/>
        <v>1053</v>
      </c>
      <c r="F104" s="42">
        <f t="shared" si="48"/>
        <v>1108809</v>
      </c>
      <c r="G104" s="42">
        <f t="shared" si="49"/>
        <v>1053</v>
      </c>
      <c r="H104" s="43"/>
      <c r="I104" s="42">
        <f t="shared" si="50"/>
        <v>10478</v>
      </c>
      <c r="J104" s="42">
        <f t="shared" si="51"/>
        <v>1485</v>
      </c>
      <c r="K104" s="42">
        <f t="shared" si="52"/>
        <v>2205225</v>
      </c>
      <c r="L104" s="42">
        <f t="shared" si="53"/>
        <v>1485</v>
      </c>
      <c r="M104" s="43"/>
      <c r="N104" s="42">
        <f t="shared" si="54"/>
        <v>9709.75</v>
      </c>
      <c r="O104" s="42">
        <f t="shared" si="56"/>
        <v>2253.25</v>
      </c>
      <c r="P104" s="42">
        <f t="shared" si="57"/>
        <v>5077135.5625</v>
      </c>
      <c r="Q104" s="42">
        <f t="shared" si="55"/>
        <v>2253.25</v>
      </c>
      <c r="R104" s="43"/>
      <c r="S104" s="42">
        <f t="shared" si="58"/>
        <v>10041</v>
      </c>
      <c r="T104" s="42">
        <f t="shared" si="60"/>
        <v>1922</v>
      </c>
      <c r="U104" s="42">
        <f t="shared" si="61"/>
        <v>3694084</v>
      </c>
      <c r="V104" s="42">
        <f t="shared" si="59"/>
        <v>1922</v>
      </c>
      <c r="W104" s="43"/>
      <c r="X104" s="42">
        <f t="shared" si="62"/>
        <v>9928.5</v>
      </c>
      <c r="Y104" s="42">
        <f t="shared" si="64"/>
        <v>2034.5</v>
      </c>
      <c r="Z104" s="42">
        <f t="shared" si="65"/>
        <v>4139190.25</v>
      </c>
      <c r="AA104" s="42">
        <f t="shared" si="63"/>
        <v>2034.5</v>
      </c>
      <c r="AB104" s="43"/>
      <c r="AC104" s="42">
        <f t="shared" si="66"/>
        <v>9771.2857142857138</v>
      </c>
      <c r="AD104" s="42">
        <f t="shared" si="68"/>
        <v>2191.7142857142862</v>
      </c>
      <c r="AE104" s="42">
        <f t="shared" si="69"/>
        <v>4803611.5102040842</v>
      </c>
      <c r="AF104" s="42">
        <f t="shared" si="67"/>
        <v>2191.7142857142862</v>
      </c>
      <c r="AG104" s="43"/>
      <c r="AH104" s="42">
        <f t="shared" si="70"/>
        <v>9805.5</v>
      </c>
      <c r="AI104" s="42">
        <f t="shared" si="73"/>
        <v>2157.5</v>
      </c>
      <c r="AJ104" s="42">
        <f t="shared" si="71"/>
        <v>4654806.25</v>
      </c>
      <c r="AK104" s="42">
        <f t="shared" si="72"/>
        <v>2157.5</v>
      </c>
      <c r="AL104" s="43"/>
      <c r="AM104" s="42">
        <f t="shared" si="74"/>
        <v>9894.8888888888887</v>
      </c>
      <c r="AN104" s="42">
        <f t="shared" si="77"/>
        <v>2068.1111111111113</v>
      </c>
      <c r="AO104" s="42">
        <f t="shared" si="75"/>
        <v>4277083.5679012351</v>
      </c>
      <c r="AP104" s="42">
        <f t="shared" si="76"/>
        <v>2068.1111111111113</v>
      </c>
      <c r="AQ104" s="43"/>
      <c r="AR104" s="42">
        <f t="shared" si="78"/>
        <v>9881.1</v>
      </c>
      <c r="AS104" s="42">
        <f t="shared" si="79"/>
        <v>2081.8999999999996</v>
      </c>
      <c r="AT104" s="42">
        <f t="shared" si="80"/>
        <v>4334307.6099999985</v>
      </c>
      <c r="AU104" s="42">
        <f t="shared" si="45"/>
        <v>2081.8999999999996</v>
      </c>
      <c r="AV104" s="43"/>
      <c r="AW104" s="42">
        <f t="shared" si="81"/>
        <v>9888.181818181818</v>
      </c>
      <c r="AX104" s="42">
        <f t="shared" si="84"/>
        <v>2074.818181818182</v>
      </c>
      <c r="AY104" s="42">
        <f t="shared" si="82"/>
        <v>4304870.4876033068</v>
      </c>
      <c r="AZ104" s="42">
        <f t="shared" si="83"/>
        <v>2074.818181818182</v>
      </c>
      <c r="BA104" s="43"/>
      <c r="BB104" s="44">
        <f t="shared" si="46"/>
        <v>9959.9166666666661</v>
      </c>
      <c r="BC104" s="42">
        <f t="shared" si="87"/>
        <v>2003.0833333333339</v>
      </c>
      <c r="BD104" s="42">
        <f t="shared" si="85"/>
        <v>4012342.8402777803</v>
      </c>
      <c r="BE104" s="42">
        <f t="shared" si="86"/>
        <v>2003.0833333333339</v>
      </c>
    </row>
    <row r="105" spans="1:57" ht="18" x14ac:dyDescent="0.2">
      <c r="A105" s="7">
        <v>41426</v>
      </c>
      <c r="B105" s="17">
        <v>12085</v>
      </c>
      <c r="D105" s="42">
        <f t="shared" si="47"/>
        <v>11288</v>
      </c>
      <c r="E105" s="42">
        <f t="shared" si="44"/>
        <v>797</v>
      </c>
      <c r="F105" s="42">
        <f t="shared" si="48"/>
        <v>635209</v>
      </c>
      <c r="G105" s="42">
        <f t="shared" si="49"/>
        <v>797</v>
      </c>
      <c r="H105" s="43"/>
      <c r="I105" s="42">
        <f t="shared" si="50"/>
        <v>11261</v>
      </c>
      <c r="J105" s="42">
        <f t="shared" si="51"/>
        <v>824</v>
      </c>
      <c r="K105" s="42">
        <f t="shared" si="52"/>
        <v>678976</v>
      </c>
      <c r="L105" s="42">
        <f t="shared" si="53"/>
        <v>824</v>
      </c>
      <c r="M105" s="43"/>
      <c r="N105" s="42">
        <f t="shared" si="54"/>
        <v>10849.25</v>
      </c>
      <c r="O105" s="42">
        <f t="shared" si="56"/>
        <v>1235.75</v>
      </c>
      <c r="P105" s="42">
        <f t="shared" si="57"/>
        <v>1527078.0625</v>
      </c>
      <c r="Q105" s="42">
        <f t="shared" si="55"/>
        <v>1235.75</v>
      </c>
      <c r="R105" s="43"/>
      <c r="S105" s="42">
        <f t="shared" si="58"/>
        <v>10160.4</v>
      </c>
      <c r="T105" s="42">
        <f t="shared" si="60"/>
        <v>1924.6000000000004</v>
      </c>
      <c r="U105" s="42">
        <f t="shared" si="61"/>
        <v>3704085.1600000015</v>
      </c>
      <c r="V105" s="42">
        <f t="shared" si="59"/>
        <v>1924.6000000000004</v>
      </c>
      <c r="W105" s="43"/>
      <c r="X105" s="42">
        <f t="shared" si="62"/>
        <v>10361.333333333334</v>
      </c>
      <c r="Y105" s="42">
        <f t="shared" si="64"/>
        <v>1723.6666666666661</v>
      </c>
      <c r="Z105" s="42">
        <f t="shared" si="65"/>
        <v>2971026.7777777757</v>
      </c>
      <c r="AA105" s="42">
        <f t="shared" si="63"/>
        <v>1723.6666666666661</v>
      </c>
      <c r="AB105" s="43"/>
      <c r="AC105" s="42">
        <f t="shared" si="66"/>
        <v>10219.142857142857</v>
      </c>
      <c r="AD105" s="42">
        <f t="shared" si="68"/>
        <v>1865.8571428571431</v>
      </c>
      <c r="AE105" s="42">
        <f t="shared" si="69"/>
        <v>3481422.8775510215</v>
      </c>
      <c r="AF105" s="42">
        <f t="shared" si="67"/>
        <v>1865.8571428571431</v>
      </c>
      <c r="AG105" s="43"/>
      <c r="AH105" s="42">
        <f t="shared" si="70"/>
        <v>10045.25</v>
      </c>
      <c r="AI105" s="42">
        <f t="shared" si="73"/>
        <v>2039.75</v>
      </c>
      <c r="AJ105" s="42">
        <f t="shared" si="71"/>
        <v>4160580.0625</v>
      </c>
      <c r="AK105" s="42">
        <f t="shared" si="72"/>
        <v>2039.75</v>
      </c>
      <c r="AL105" s="43"/>
      <c r="AM105" s="42">
        <f t="shared" si="74"/>
        <v>10045.222222222223</v>
      </c>
      <c r="AN105" s="42">
        <f t="shared" si="77"/>
        <v>2039.7777777777774</v>
      </c>
      <c r="AO105" s="42">
        <f t="shared" si="75"/>
        <v>4160693.3827160476</v>
      </c>
      <c r="AP105" s="42">
        <f t="shared" si="76"/>
        <v>2039.7777777777774</v>
      </c>
      <c r="AQ105" s="43"/>
      <c r="AR105" s="42">
        <f t="shared" si="78"/>
        <v>10101.700000000001</v>
      </c>
      <c r="AS105" s="42">
        <f t="shared" si="79"/>
        <v>1983.2999999999993</v>
      </c>
      <c r="AT105" s="42">
        <f t="shared" si="80"/>
        <v>3933478.8899999973</v>
      </c>
      <c r="AU105" s="42">
        <f t="shared" si="45"/>
        <v>1983.2999999999993</v>
      </c>
      <c r="AV105" s="43"/>
      <c r="AW105" s="42">
        <f t="shared" si="81"/>
        <v>10070.363636363636</v>
      </c>
      <c r="AX105" s="42">
        <f t="shared" si="84"/>
        <v>2014.636363636364</v>
      </c>
      <c r="AY105" s="42">
        <f t="shared" si="82"/>
        <v>4058759.6776859518</v>
      </c>
      <c r="AZ105" s="42">
        <f t="shared" si="83"/>
        <v>2014.636363636364</v>
      </c>
      <c r="BA105" s="43"/>
      <c r="BB105" s="44">
        <f t="shared" si="46"/>
        <v>10061.083333333334</v>
      </c>
      <c r="BC105" s="42">
        <f t="shared" si="87"/>
        <v>2023.9166666666661</v>
      </c>
      <c r="BD105" s="42">
        <f t="shared" si="85"/>
        <v>4096238.6736111087</v>
      </c>
      <c r="BE105" s="42">
        <f t="shared" si="86"/>
        <v>2023.9166666666661</v>
      </c>
    </row>
    <row r="106" spans="1:57" ht="18" x14ac:dyDescent="0.2">
      <c r="A106" s="7">
        <v>41456</v>
      </c>
      <c r="B106" s="17">
        <v>12932</v>
      </c>
      <c r="D106" s="42">
        <f t="shared" si="47"/>
        <v>12024</v>
      </c>
      <c r="E106" s="42">
        <f t="shared" si="44"/>
        <v>908</v>
      </c>
      <c r="F106" s="42">
        <f t="shared" si="48"/>
        <v>824464</v>
      </c>
      <c r="G106" s="42">
        <f t="shared" si="49"/>
        <v>908</v>
      </c>
      <c r="H106" s="43"/>
      <c r="I106" s="42">
        <f t="shared" si="50"/>
        <v>11553.666666666666</v>
      </c>
      <c r="J106" s="42">
        <f t="shared" si="51"/>
        <v>1378.3333333333339</v>
      </c>
      <c r="K106" s="42">
        <f t="shared" si="52"/>
        <v>1899802.7777777794</v>
      </c>
      <c r="L106" s="42">
        <f t="shared" si="53"/>
        <v>1378.3333333333339</v>
      </c>
      <c r="M106" s="43"/>
      <c r="N106" s="42">
        <f t="shared" si="54"/>
        <v>11467</v>
      </c>
      <c r="O106" s="42">
        <f t="shared" si="56"/>
        <v>1465</v>
      </c>
      <c r="P106" s="42">
        <f t="shared" si="57"/>
        <v>2146225</v>
      </c>
      <c r="Q106" s="42">
        <f t="shared" si="55"/>
        <v>1465</v>
      </c>
      <c r="R106" s="43"/>
      <c r="S106" s="42">
        <f t="shared" si="58"/>
        <v>11096.4</v>
      </c>
      <c r="T106" s="42">
        <f t="shared" si="60"/>
        <v>1835.6000000000004</v>
      </c>
      <c r="U106" s="42">
        <f t="shared" si="61"/>
        <v>3369427.3600000013</v>
      </c>
      <c r="V106" s="42">
        <f t="shared" si="59"/>
        <v>1835.6000000000004</v>
      </c>
      <c r="W106" s="43"/>
      <c r="X106" s="42">
        <f t="shared" si="62"/>
        <v>10481.166666666666</v>
      </c>
      <c r="Y106" s="42">
        <f t="shared" si="64"/>
        <v>2450.8333333333339</v>
      </c>
      <c r="Z106" s="42">
        <f t="shared" si="65"/>
        <v>6006584.0277777808</v>
      </c>
      <c r="AA106" s="42">
        <f t="shared" si="63"/>
        <v>2450.8333333333339</v>
      </c>
      <c r="AB106" s="43"/>
      <c r="AC106" s="42">
        <f t="shared" si="66"/>
        <v>10607.571428571429</v>
      </c>
      <c r="AD106" s="42">
        <f t="shared" si="68"/>
        <v>2324.4285714285706</v>
      </c>
      <c r="AE106" s="42">
        <f t="shared" si="69"/>
        <v>5402968.1836734656</v>
      </c>
      <c r="AF106" s="42">
        <f t="shared" si="67"/>
        <v>2324.4285714285706</v>
      </c>
      <c r="AG106" s="43"/>
      <c r="AH106" s="42">
        <f t="shared" si="70"/>
        <v>10452.375</v>
      </c>
      <c r="AI106" s="42">
        <f t="shared" si="73"/>
        <v>2479.625</v>
      </c>
      <c r="AJ106" s="42">
        <f t="shared" si="71"/>
        <v>6148540.140625</v>
      </c>
      <c r="AK106" s="42">
        <f t="shared" si="72"/>
        <v>2479.625</v>
      </c>
      <c r="AL106" s="43"/>
      <c r="AM106" s="42">
        <f t="shared" si="74"/>
        <v>10271.888888888889</v>
      </c>
      <c r="AN106" s="42">
        <f t="shared" si="77"/>
        <v>2660.1111111111113</v>
      </c>
      <c r="AO106" s="42">
        <f t="shared" si="75"/>
        <v>7076191.123456791</v>
      </c>
      <c r="AP106" s="42">
        <f t="shared" si="76"/>
        <v>2660.1111111111113</v>
      </c>
      <c r="AQ106" s="43"/>
      <c r="AR106" s="42">
        <f t="shared" si="78"/>
        <v>10249.200000000001</v>
      </c>
      <c r="AS106" s="42">
        <f t="shared" si="79"/>
        <v>2682.7999999999993</v>
      </c>
      <c r="AT106" s="42">
        <f t="shared" si="80"/>
        <v>7197415.8399999961</v>
      </c>
      <c r="AU106" s="42">
        <f t="shared" si="45"/>
        <v>2682.7999999999993</v>
      </c>
      <c r="AV106" s="43"/>
      <c r="AW106" s="42">
        <f t="shared" si="81"/>
        <v>10282</v>
      </c>
      <c r="AX106" s="42">
        <f t="shared" si="84"/>
        <v>2650</v>
      </c>
      <c r="AY106" s="42">
        <f t="shared" si="82"/>
        <v>7022500</v>
      </c>
      <c r="AZ106" s="42">
        <f t="shared" si="83"/>
        <v>2650</v>
      </c>
      <c r="BA106" s="43"/>
      <c r="BB106" s="44">
        <f t="shared" si="46"/>
        <v>10238.25</v>
      </c>
      <c r="BC106" s="42">
        <f t="shared" si="87"/>
        <v>2693.75</v>
      </c>
      <c r="BD106" s="42">
        <f t="shared" si="85"/>
        <v>7256289.0625</v>
      </c>
      <c r="BE106" s="42">
        <f t="shared" si="86"/>
        <v>2693.75</v>
      </c>
    </row>
    <row r="107" spans="1:57" ht="18" x14ac:dyDescent="0.2">
      <c r="A107" s="7">
        <v>41487</v>
      </c>
      <c r="B107" s="17">
        <v>14877</v>
      </c>
      <c r="D107" s="42">
        <f t="shared" si="47"/>
        <v>12508.5</v>
      </c>
      <c r="E107" s="42">
        <f t="shared" ref="E107:E170" si="88">$B107-D107</f>
        <v>2368.5</v>
      </c>
      <c r="F107" s="42">
        <f t="shared" si="48"/>
        <v>5609792.25</v>
      </c>
      <c r="G107" s="42">
        <f t="shared" si="49"/>
        <v>2368.5</v>
      </c>
      <c r="H107" s="43"/>
      <c r="I107" s="42">
        <f t="shared" si="50"/>
        <v>12326.666666666666</v>
      </c>
      <c r="J107" s="42">
        <f t="shared" si="51"/>
        <v>2550.3333333333339</v>
      </c>
      <c r="K107" s="42">
        <f t="shared" si="52"/>
        <v>6504200.1111111138</v>
      </c>
      <c r="L107" s="42">
        <f t="shared" si="53"/>
        <v>2550.3333333333339</v>
      </c>
      <c r="M107" s="43"/>
      <c r="N107" s="42">
        <f t="shared" si="54"/>
        <v>11898.25</v>
      </c>
      <c r="O107" s="42">
        <f t="shared" si="56"/>
        <v>2978.75</v>
      </c>
      <c r="P107" s="42">
        <f t="shared" si="57"/>
        <v>8872951.5625</v>
      </c>
      <c r="Q107" s="42">
        <f t="shared" si="55"/>
        <v>2978.75</v>
      </c>
      <c r="R107" s="43"/>
      <c r="S107" s="42">
        <f t="shared" si="58"/>
        <v>11760</v>
      </c>
      <c r="T107" s="42">
        <f t="shared" si="60"/>
        <v>3117</v>
      </c>
      <c r="U107" s="42">
        <f t="shared" si="61"/>
        <v>9715689</v>
      </c>
      <c r="V107" s="42">
        <f t="shared" si="59"/>
        <v>3117</v>
      </c>
      <c r="W107" s="43"/>
      <c r="X107" s="42">
        <f t="shared" si="62"/>
        <v>11402.333333333334</v>
      </c>
      <c r="Y107" s="42">
        <f t="shared" si="64"/>
        <v>3474.6666666666661</v>
      </c>
      <c r="Z107" s="42">
        <f t="shared" si="65"/>
        <v>12073308.44444444</v>
      </c>
      <c r="AA107" s="42">
        <f t="shared" si="63"/>
        <v>3474.6666666666661</v>
      </c>
      <c r="AB107" s="43"/>
      <c r="AC107" s="42">
        <f t="shared" si="66"/>
        <v>10831.285714285714</v>
      </c>
      <c r="AD107" s="42">
        <f t="shared" si="68"/>
        <v>4045.7142857142862</v>
      </c>
      <c r="AE107" s="42">
        <f t="shared" si="69"/>
        <v>16367804.081632657</v>
      </c>
      <c r="AF107" s="42">
        <f t="shared" si="67"/>
        <v>4045.7142857142862</v>
      </c>
      <c r="AG107" s="43"/>
      <c r="AH107" s="42">
        <f t="shared" si="70"/>
        <v>10898.125</v>
      </c>
      <c r="AI107" s="42">
        <f t="shared" si="73"/>
        <v>3978.875</v>
      </c>
      <c r="AJ107" s="42">
        <f t="shared" si="71"/>
        <v>15831446.265625</v>
      </c>
      <c r="AK107" s="42">
        <f t="shared" si="72"/>
        <v>3978.875</v>
      </c>
      <c r="AL107" s="43"/>
      <c r="AM107" s="42">
        <f t="shared" si="74"/>
        <v>10727.888888888889</v>
      </c>
      <c r="AN107" s="42">
        <f t="shared" si="77"/>
        <v>4149.1111111111113</v>
      </c>
      <c r="AO107" s="42">
        <f t="shared" si="75"/>
        <v>17215123.012345679</v>
      </c>
      <c r="AP107" s="42">
        <f t="shared" si="76"/>
        <v>4149.1111111111113</v>
      </c>
      <c r="AQ107" s="43"/>
      <c r="AR107" s="42">
        <f t="shared" si="78"/>
        <v>10537.9</v>
      </c>
      <c r="AS107" s="42">
        <f t="shared" si="79"/>
        <v>4339.1000000000004</v>
      </c>
      <c r="AT107" s="42">
        <f t="shared" si="80"/>
        <v>18827788.810000002</v>
      </c>
      <c r="AU107" s="42">
        <f t="shared" ref="AU107:AU170" si="89">ABS(AS107)</f>
        <v>4339.1000000000004</v>
      </c>
      <c r="AV107" s="43"/>
      <c r="AW107" s="42">
        <f t="shared" si="81"/>
        <v>10493.09090909091</v>
      </c>
      <c r="AX107" s="42">
        <f t="shared" si="84"/>
        <v>4383.9090909090901</v>
      </c>
      <c r="AY107" s="42">
        <f t="shared" si="82"/>
        <v>19218658.917355366</v>
      </c>
      <c r="AZ107" s="42">
        <f t="shared" si="83"/>
        <v>4383.9090909090901</v>
      </c>
      <c r="BA107" s="43"/>
      <c r="BB107" s="44">
        <f t="shared" ref="BB107:BB170" si="90">AVERAGE(B95:B106)</f>
        <v>10502.833333333334</v>
      </c>
      <c r="BC107" s="42">
        <f t="shared" si="87"/>
        <v>4374.1666666666661</v>
      </c>
      <c r="BD107" s="42">
        <f t="shared" si="85"/>
        <v>19133334.027777772</v>
      </c>
      <c r="BE107" s="42">
        <f t="shared" si="86"/>
        <v>4374.1666666666661</v>
      </c>
    </row>
    <row r="108" spans="1:57" ht="18" x14ac:dyDescent="0.2">
      <c r="A108" s="7">
        <v>41518</v>
      </c>
      <c r="B108" s="17">
        <v>9659</v>
      </c>
      <c r="D108" s="42">
        <f t="shared" si="47"/>
        <v>13904.5</v>
      </c>
      <c r="E108" s="42">
        <f t="shared" si="88"/>
        <v>-4245.5</v>
      </c>
      <c r="F108" s="42">
        <f t="shared" si="48"/>
        <v>18024270.25</v>
      </c>
      <c r="G108" s="42">
        <f t="shared" si="49"/>
        <v>4245.5</v>
      </c>
      <c r="H108" s="43"/>
      <c r="I108" s="42">
        <f t="shared" si="50"/>
        <v>13298</v>
      </c>
      <c r="J108" s="42">
        <f t="shared" si="51"/>
        <v>-3639</v>
      </c>
      <c r="K108" s="42">
        <f t="shared" si="52"/>
        <v>13242321</v>
      </c>
      <c r="L108" s="42">
        <f t="shared" si="53"/>
        <v>3639</v>
      </c>
      <c r="M108" s="43"/>
      <c r="N108" s="42">
        <f t="shared" si="54"/>
        <v>12964.25</v>
      </c>
      <c r="O108" s="42">
        <f t="shared" si="56"/>
        <v>-3305.25</v>
      </c>
      <c r="P108" s="42">
        <f t="shared" si="57"/>
        <v>10924677.5625</v>
      </c>
      <c r="Q108" s="42">
        <f t="shared" si="55"/>
        <v>3305.25</v>
      </c>
      <c r="R108" s="43"/>
      <c r="S108" s="42">
        <f t="shared" si="58"/>
        <v>12494</v>
      </c>
      <c r="T108" s="42">
        <f t="shared" si="60"/>
        <v>-2835</v>
      </c>
      <c r="U108" s="42">
        <f t="shared" si="61"/>
        <v>8037225</v>
      </c>
      <c r="V108" s="42">
        <f t="shared" si="59"/>
        <v>2835</v>
      </c>
      <c r="W108" s="43"/>
      <c r="X108" s="42">
        <f t="shared" si="62"/>
        <v>12279.5</v>
      </c>
      <c r="Y108" s="42">
        <f t="shared" si="64"/>
        <v>-2620.5</v>
      </c>
      <c r="Z108" s="42">
        <f t="shared" si="65"/>
        <v>6867020.25</v>
      </c>
      <c r="AA108" s="42">
        <f t="shared" si="63"/>
        <v>2620.5</v>
      </c>
      <c r="AB108" s="43"/>
      <c r="AC108" s="42">
        <f t="shared" si="66"/>
        <v>11898.714285714286</v>
      </c>
      <c r="AD108" s="42">
        <f t="shared" si="68"/>
        <v>-2239.7142857142862</v>
      </c>
      <c r="AE108" s="42">
        <f t="shared" si="69"/>
        <v>5016320.0816326551</v>
      </c>
      <c r="AF108" s="42">
        <f t="shared" si="67"/>
        <v>2239.7142857142862</v>
      </c>
      <c r="AG108" s="43"/>
      <c r="AH108" s="42">
        <f t="shared" si="70"/>
        <v>11337</v>
      </c>
      <c r="AI108" s="42">
        <f t="shared" si="73"/>
        <v>-1678</v>
      </c>
      <c r="AJ108" s="42">
        <f t="shared" si="71"/>
        <v>2815684</v>
      </c>
      <c r="AK108" s="42">
        <f t="shared" si="72"/>
        <v>1678</v>
      </c>
      <c r="AL108" s="43"/>
      <c r="AM108" s="42">
        <f t="shared" si="74"/>
        <v>11340.222222222223</v>
      </c>
      <c r="AN108" s="42">
        <f t="shared" si="77"/>
        <v>-1681.2222222222226</v>
      </c>
      <c r="AO108" s="42">
        <f t="shared" si="75"/>
        <v>2826508.1604938284</v>
      </c>
      <c r="AP108" s="42">
        <f t="shared" si="76"/>
        <v>1681.2222222222226</v>
      </c>
      <c r="AQ108" s="43"/>
      <c r="AR108" s="42">
        <f t="shared" si="78"/>
        <v>11142.8</v>
      </c>
      <c r="AS108" s="42">
        <f t="shared" si="79"/>
        <v>-1483.7999999999993</v>
      </c>
      <c r="AT108" s="42">
        <f t="shared" si="80"/>
        <v>2201662.4399999976</v>
      </c>
      <c r="AU108" s="42">
        <f t="shared" si="89"/>
        <v>1483.7999999999993</v>
      </c>
      <c r="AV108" s="43"/>
      <c r="AW108" s="42">
        <f t="shared" si="81"/>
        <v>10932.363636363636</v>
      </c>
      <c r="AX108" s="42">
        <f t="shared" si="84"/>
        <v>-1273.363636363636</v>
      </c>
      <c r="AY108" s="42">
        <f t="shared" si="82"/>
        <v>1621454.9504132222</v>
      </c>
      <c r="AZ108" s="42">
        <f t="shared" si="83"/>
        <v>1273.363636363636</v>
      </c>
      <c r="BA108" s="43"/>
      <c r="BB108" s="44">
        <f t="shared" si="90"/>
        <v>10858.416666666666</v>
      </c>
      <c r="BC108" s="42">
        <f t="shared" si="87"/>
        <v>-1199.4166666666661</v>
      </c>
      <c r="BD108" s="42">
        <f t="shared" si="85"/>
        <v>1438600.3402777764</v>
      </c>
      <c r="BE108" s="42">
        <f t="shared" si="86"/>
        <v>1199.4166666666661</v>
      </c>
    </row>
    <row r="109" spans="1:57" ht="18" x14ac:dyDescent="0.2">
      <c r="A109" s="7">
        <v>41548</v>
      </c>
      <c r="B109" s="17">
        <v>9202</v>
      </c>
      <c r="D109" s="42">
        <f t="shared" ref="D109:D172" si="91">AVERAGE(B107:B108)</f>
        <v>12268</v>
      </c>
      <c r="E109" s="42">
        <f t="shared" si="88"/>
        <v>-3066</v>
      </c>
      <c r="F109" s="42">
        <f t="shared" si="48"/>
        <v>9400356</v>
      </c>
      <c r="G109" s="42">
        <f t="shared" si="49"/>
        <v>3066</v>
      </c>
      <c r="H109" s="43"/>
      <c r="I109" s="42">
        <f t="shared" si="50"/>
        <v>12489.333333333334</v>
      </c>
      <c r="J109" s="42">
        <f t="shared" si="51"/>
        <v>-3287.3333333333339</v>
      </c>
      <c r="K109" s="42">
        <f t="shared" si="52"/>
        <v>10806560.444444448</v>
      </c>
      <c r="L109" s="42">
        <f t="shared" si="53"/>
        <v>3287.3333333333339</v>
      </c>
      <c r="M109" s="43"/>
      <c r="N109" s="42">
        <f t="shared" si="54"/>
        <v>12388.25</v>
      </c>
      <c r="O109" s="42">
        <f t="shared" si="56"/>
        <v>-3186.25</v>
      </c>
      <c r="P109" s="42">
        <f t="shared" si="57"/>
        <v>10152189.0625</v>
      </c>
      <c r="Q109" s="42">
        <f t="shared" si="55"/>
        <v>3186.25</v>
      </c>
      <c r="R109" s="43"/>
      <c r="S109" s="42">
        <f t="shared" si="58"/>
        <v>12303.2</v>
      </c>
      <c r="T109" s="42">
        <f t="shared" si="60"/>
        <v>-3101.2000000000007</v>
      </c>
      <c r="U109" s="42">
        <f t="shared" si="61"/>
        <v>9617441.4400000051</v>
      </c>
      <c r="V109" s="42">
        <f t="shared" si="59"/>
        <v>3101.2000000000007</v>
      </c>
      <c r="W109" s="43"/>
      <c r="X109" s="42">
        <f t="shared" si="62"/>
        <v>12021.5</v>
      </c>
      <c r="Y109" s="42">
        <f t="shared" si="64"/>
        <v>-2819.5</v>
      </c>
      <c r="Z109" s="42">
        <f t="shared" si="65"/>
        <v>7949580.25</v>
      </c>
      <c r="AA109" s="42">
        <f t="shared" si="63"/>
        <v>2819.5</v>
      </c>
      <c r="AB109" s="43"/>
      <c r="AC109" s="42">
        <f t="shared" si="66"/>
        <v>11905.142857142857</v>
      </c>
      <c r="AD109" s="42">
        <f t="shared" si="68"/>
        <v>-2703.1428571428569</v>
      </c>
      <c r="AE109" s="42">
        <f t="shared" si="69"/>
        <v>7306981.3061224474</v>
      </c>
      <c r="AF109" s="42">
        <f t="shared" si="67"/>
        <v>2703.1428571428569</v>
      </c>
      <c r="AG109" s="43"/>
      <c r="AH109" s="42">
        <f t="shared" si="70"/>
        <v>11618.75</v>
      </c>
      <c r="AI109" s="42">
        <f t="shared" si="73"/>
        <v>-2416.75</v>
      </c>
      <c r="AJ109" s="42">
        <f t="shared" si="71"/>
        <v>5840680.5625</v>
      </c>
      <c r="AK109" s="42">
        <f t="shared" si="72"/>
        <v>2416.75</v>
      </c>
      <c r="AL109" s="43"/>
      <c r="AM109" s="42">
        <f t="shared" si="74"/>
        <v>11150.555555555555</v>
      </c>
      <c r="AN109" s="42">
        <f t="shared" si="77"/>
        <v>-1948.5555555555547</v>
      </c>
      <c r="AO109" s="42">
        <f t="shared" si="75"/>
        <v>3796868.7530864165</v>
      </c>
      <c r="AP109" s="42">
        <f t="shared" si="76"/>
        <v>1948.5555555555547</v>
      </c>
      <c r="AQ109" s="43"/>
      <c r="AR109" s="42">
        <f t="shared" si="78"/>
        <v>11172.1</v>
      </c>
      <c r="AS109" s="42">
        <f t="shared" si="79"/>
        <v>-1970.1000000000004</v>
      </c>
      <c r="AT109" s="42">
        <f t="shared" si="80"/>
        <v>3881294.0100000016</v>
      </c>
      <c r="AU109" s="42">
        <f t="shared" si="89"/>
        <v>1970.1000000000004</v>
      </c>
      <c r="AV109" s="43"/>
      <c r="AW109" s="42">
        <f t="shared" si="81"/>
        <v>11007.90909090909</v>
      </c>
      <c r="AX109" s="42">
        <f t="shared" si="84"/>
        <v>-1805.9090909090901</v>
      </c>
      <c r="AY109" s="42">
        <f t="shared" si="82"/>
        <v>3261307.6446280964</v>
      </c>
      <c r="AZ109" s="42">
        <f t="shared" si="83"/>
        <v>1805.9090909090901</v>
      </c>
      <c r="BA109" s="43"/>
      <c r="BB109" s="44">
        <f t="shared" si="90"/>
        <v>10826.25</v>
      </c>
      <c r="BC109" s="42">
        <f t="shared" si="87"/>
        <v>-1624.25</v>
      </c>
      <c r="BD109" s="42">
        <f t="shared" si="85"/>
        <v>2638188.0625</v>
      </c>
      <c r="BE109" s="42">
        <f t="shared" si="86"/>
        <v>1624.25</v>
      </c>
    </row>
    <row r="110" spans="1:57" ht="18" x14ac:dyDescent="0.2">
      <c r="A110" s="7">
        <v>41579</v>
      </c>
      <c r="B110" s="17">
        <v>8150</v>
      </c>
      <c r="D110" s="42">
        <f t="shared" si="91"/>
        <v>9430.5</v>
      </c>
      <c r="E110" s="42">
        <f t="shared" si="88"/>
        <v>-1280.5</v>
      </c>
      <c r="F110" s="42">
        <f t="shared" si="48"/>
        <v>1639680.25</v>
      </c>
      <c r="G110" s="42">
        <f t="shared" si="49"/>
        <v>1280.5</v>
      </c>
      <c r="H110" s="43"/>
      <c r="I110" s="42">
        <f t="shared" si="50"/>
        <v>11246</v>
      </c>
      <c r="J110" s="42">
        <f t="shared" si="51"/>
        <v>-3096</v>
      </c>
      <c r="K110" s="42">
        <f t="shared" si="52"/>
        <v>9585216</v>
      </c>
      <c r="L110" s="42">
        <f t="shared" si="53"/>
        <v>3096</v>
      </c>
      <c r="M110" s="43"/>
      <c r="N110" s="42">
        <f t="shared" si="54"/>
        <v>11667.5</v>
      </c>
      <c r="O110" s="42">
        <f t="shared" si="56"/>
        <v>-3517.5</v>
      </c>
      <c r="P110" s="42">
        <f t="shared" si="57"/>
        <v>12372806.25</v>
      </c>
      <c r="Q110" s="42">
        <f t="shared" si="55"/>
        <v>3517.5</v>
      </c>
      <c r="R110" s="43"/>
      <c r="S110" s="42">
        <f t="shared" si="58"/>
        <v>11751</v>
      </c>
      <c r="T110" s="42">
        <f t="shared" si="60"/>
        <v>-3601</v>
      </c>
      <c r="U110" s="42">
        <f t="shared" si="61"/>
        <v>12967201</v>
      </c>
      <c r="V110" s="42">
        <f t="shared" si="59"/>
        <v>3601</v>
      </c>
      <c r="W110" s="43"/>
      <c r="X110" s="42">
        <f t="shared" si="62"/>
        <v>11786.333333333334</v>
      </c>
      <c r="Y110" s="42">
        <f t="shared" si="64"/>
        <v>-3636.3333333333339</v>
      </c>
      <c r="Z110" s="42">
        <f t="shared" si="65"/>
        <v>13222920.111111116</v>
      </c>
      <c r="AA110" s="42">
        <f t="shared" si="63"/>
        <v>3636.3333333333339</v>
      </c>
      <c r="AB110" s="43"/>
      <c r="AC110" s="42">
        <f t="shared" si="66"/>
        <v>11618.714285714286</v>
      </c>
      <c r="AD110" s="42">
        <f t="shared" si="68"/>
        <v>-3468.7142857142862</v>
      </c>
      <c r="AE110" s="42">
        <f t="shared" si="69"/>
        <v>12031978.795918372</v>
      </c>
      <c r="AF110" s="42">
        <f t="shared" si="67"/>
        <v>3468.7142857142862</v>
      </c>
      <c r="AG110" s="43"/>
      <c r="AH110" s="42">
        <f t="shared" si="70"/>
        <v>11567.25</v>
      </c>
      <c r="AI110" s="42">
        <f t="shared" si="73"/>
        <v>-3417.25</v>
      </c>
      <c r="AJ110" s="42">
        <f t="shared" si="71"/>
        <v>11677597.5625</v>
      </c>
      <c r="AK110" s="42">
        <f t="shared" si="72"/>
        <v>3417.25</v>
      </c>
      <c r="AL110" s="43"/>
      <c r="AM110" s="42">
        <f t="shared" si="74"/>
        <v>11350.222222222223</v>
      </c>
      <c r="AN110" s="42">
        <f t="shared" si="77"/>
        <v>-3200.2222222222226</v>
      </c>
      <c r="AO110" s="42">
        <f t="shared" si="75"/>
        <v>10241422.27160494</v>
      </c>
      <c r="AP110" s="42">
        <f t="shared" si="76"/>
        <v>3200.2222222222226</v>
      </c>
      <c r="AQ110" s="43"/>
      <c r="AR110" s="42">
        <f t="shared" si="78"/>
        <v>10955.7</v>
      </c>
      <c r="AS110" s="42">
        <f t="shared" si="79"/>
        <v>-2805.7000000000007</v>
      </c>
      <c r="AT110" s="42">
        <f t="shared" si="80"/>
        <v>7871952.4900000039</v>
      </c>
      <c r="AU110" s="42">
        <f t="shared" si="89"/>
        <v>2805.7000000000007</v>
      </c>
      <c r="AV110" s="43"/>
      <c r="AW110" s="42">
        <f t="shared" si="81"/>
        <v>10993</v>
      </c>
      <c r="AX110" s="42">
        <f t="shared" si="84"/>
        <v>-2843</v>
      </c>
      <c r="AY110" s="42">
        <f t="shared" si="82"/>
        <v>8082649</v>
      </c>
      <c r="AZ110" s="42">
        <f t="shared" si="83"/>
        <v>2843</v>
      </c>
      <c r="BA110" s="43"/>
      <c r="BB110" s="44">
        <f t="shared" si="90"/>
        <v>10857.416666666666</v>
      </c>
      <c r="BC110" s="42">
        <f t="shared" si="87"/>
        <v>-2707.4166666666661</v>
      </c>
      <c r="BD110" s="42">
        <f t="shared" si="85"/>
        <v>7330105.0069444412</v>
      </c>
      <c r="BE110" s="42">
        <f t="shared" si="86"/>
        <v>2707.4166666666661</v>
      </c>
    </row>
    <row r="111" spans="1:57" ht="18" x14ac:dyDescent="0.2">
      <c r="A111" s="7">
        <v>41609</v>
      </c>
      <c r="B111" s="17">
        <v>8971</v>
      </c>
      <c r="D111" s="42">
        <f t="shared" si="91"/>
        <v>8676</v>
      </c>
      <c r="E111" s="42">
        <f t="shared" si="88"/>
        <v>295</v>
      </c>
      <c r="F111" s="42">
        <f t="shared" si="48"/>
        <v>87025</v>
      </c>
      <c r="G111" s="42">
        <f t="shared" si="49"/>
        <v>295</v>
      </c>
      <c r="H111" s="43"/>
      <c r="I111" s="42">
        <f t="shared" si="50"/>
        <v>9003.6666666666661</v>
      </c>
      <c r="J111" s="42">
        <f t="shared" si="51"/>
        <v>-32.66666666666606</v>
      </c>
      <c r="K111" s="42">
        <f t="shared" si="52"/>
        <v>1067.1111111110715</v>
      </c>
      <c r="L111" s="42">
        <f t="shared" si="53"/>
        <v>32.66666666666606</v>
      </c>
      <c r="M111" s="43"/>
      <c r="N111" s="42">
        <f t="shared" si="54"/>
        <v>10472</v>
      </c>
      <c r="O111" s="42">
        <f t="shared" si="56"/>
        <v>-1501</v>
      </c>
      <c r="P111" s="42">
        <f t="shared" si="57"/>
        <v>2253001</v>
      </c>
      <c r="Q111" s="42">
        <f t="shared" si="55"/>
        <v>1501</v>
      </c>
      <c r="R111" s="43"/>
      <c r="S111" s="42">
        <f t="shared" si="58"/>
        <v>10964</v>
      </c>
      <c r="T111" s="42">
        <f t="shared" si="60"/>
        <v>-1993</v>
      </c>
      <c r="U111" s="42">
        <f t="shared" si="61"/>
        <v>3972049</v>
      </c>
      <c r="V111" s="42">
        <f t="shared" si="59"/>
        <v>1993</v>
      </c>
      <c r="W111" s="43"/>
      <c r="X111" s="42">
        <f t="shared" si="62"/>
        <v>11150.833333333334</v>
      </c>
      <c r="Y111" s="42">
        <f t="shared" si="64"/>
        <v>-2179.8333333333339</v>
      </c>
      <c r="Z111" s="42">
        <f t="shared" si="65"/>
        <v>4751673.3611111138</v>
      </c>
      <c r="AA111" s="42">
        <f t="shared" si="63"/>
        <v>2179.8333333333339</v>
      </c>
      <c r="AB111" s="43"/>
      <c r="AC111" s="42">
        <f t="shared" si="66"/>
        <v>11266.857142857143</v>
      </c>
      <c r="AD111" s="42">
        <f t="shared" si="68"/>
        <v>-2295.8571428571431</v>
      </c>
      <c r="AE111" s="42">
        <f t="shared" si="69"/>
        <v>5270960.0204081647</v>
      </c>
      <c r="AF111" s="42">
        <f t="shared" si="67"/>
        <v>2295.8571428571431</v>
      </c>
      <c r="AG111" s="43"/>
      <c r="AH111" s="42">
        <f t="shared" si="70"/>
        <v>11185.125</v>
      </c>
      <c r="AI111" s="42">
        <f t="shared" si="73"/>
        <v>-2214.125</v>
      </c>
      <c r="AJ111" s="42">
        <f t="shared" si="71"/>
        <v>4902349.515625</v>
      </c>
      <c r="AK111" s="42">
        <f t="shared" si="72"/>
        <v>2214.125</v>
      </c>
      <c r="AL111" s="43"/>
      <c r="AM111" s="42">
        <f t="shared" si="74"/>
        <v>11187.555555555555</v>
      </c>
      <c r="AN111" s="42">
        <f t="shared" si="77"/>
        <v>-2216.5555555555547</v>
      </c>
      <c r="AO111" s="42">
        <f t="shared" si="75"/>
        <v>4913118.530864194</v>
      </c>
      <c r="AP111" s="42">
        <f t="shared" si="76"/>
        <v>2216.5555555555547</v>
      </c>
      <c r="AQ111" s="43"/>
      <c r="AR111" s="42">
        <f t="shared" si="78"/>
        <v>11030.2</v>
      </c>
      <c r="AS111" s="42">
        <f t="shared" si="79"/>
        <v>-2059.2000000000007</v>
      </c>
      <c r="AT111" s="42">
        <f t="shared" si="80"/>
        <v>4240304.6400000034</v>
      </c>
      <c r="AU111" s="42">
        <f t="shared" si="89"/>
        <v>2059.2000000000007</v>
      </c>
      <c r="AV111" s="43"/>
      <c r="AW111" s="42">
        <f t="shared" si="81"/>
        <v>10700.636363636364</v>
      </c>
      <c r="AX111" s="42">
        <f t="shared" si="84"/>
        <v>-1729.636363636364</v>
      </c>
      <c r="AY111" s="42">
        <f t="shared" si="82"/>
        <v>2991641.9504132243</v>
      </c>
      <c r="AZ111" s="42">
        <f t="shared" si="83"/>
        <v>1729.636363636364</v>
      </c>
      <c r="BA111" s="43"/>
      <c r="BB111" s="44">
        <f t="shared" si="90"/>
        <v>10756.083333333334</v>
      </c>
      <c r="BC111" s="42">
        <f t="shared" si="87"/>
        <v>-1785.0833333333339</v>
      </c>
      <c r="BD111" s="42">
        <f t="shared" si="85"/>
        <v>3186522.5069444468</v>
      </c>
      <c r="BE111" s="42">
        <f t="shared" si="86"/>
        <v>1785.0833333333339</v>
      </c>
    </row>
    <row r="112" spans="1:57" ht="18" x14ac:dyDescent="0.2">
      <c r="A112" s="7">
        <v>41640</v>
      </c>
      <c r="B112" s="17">
        <v>6224</v>
      </c>
      <c r="D112" s="42">
        <f t="shared" si="91"/>
        <v>8560.5</v>
      </c>
      <c r="E112" s="42">
        <f t="shared" si="88"/>
        <v>-2336.5</v>
      </c>
      <c r="F112" s="42">
        <f t="shared" si="48"/>
        <v>5459232.25</v>
      </c>
      <c r="G112" s="42">
        <f t="shared" si="49"/>
        <v>2336.5</v>
      </c>
      <c r="H112" s="43"/>
      <c r="I112" s="42">
        <f t="shared" si="50"/>
        <v>8774.3333333333339</v>
      </c>
      <c r="J112" s="42">
        <f t="shared" si="51"/>
        <v>-2550.3333333333339</v>
      </c>
      <c r="K112" s="42">
        <f t="shared" si="52"/>
        <v>6504200.1111111138</v>
      </c>
      <c r="L112" s="42">
        <f t="shared" si="53"/>
        <v>2550.3333333333339</v>
      </c>
      <c r="M112" s="43"/>
      <c r="N112" s="42">
        <f t="shared" si="54"/>
        <v>8995.5</v>
      </c>
      <c r="O112" s="42">
        <f t="shared" si="56"/>
        <v>-2771.5</v>
      </c>
      <c r="P112" s="42">
        <f t="shared" si="57"/>
        <v>7681212.25</v>
      </c>
      <c r="Q112" s="42">
        <f t="shared" si="55"/>
        <v>2771.5</v>
      </c>
      <c r="R112" s="43"/>
      <c r="S112" s="42">
        <f t="shared" si="58"/>
        <v>10171.799999999999</v>
      </c>
      <c r="T112" s="42">
        <f t="shared" si="60"/>
        <v>-3947.7999999999993</v>
      </c>
      <c r="U112" s="42">
        <f t="shared" si="61"/>
        <v>15585124.839999994</v>
      </c>
      <c r="V112" s="42">
        <f t="shared" si="59"/>
        <v>3947.7999999999993</v>
      </c>
      <c r="W112" s="43"/>
      <c r="X112" s="42">
        <f t="shared" si="62"/>
        <v>10631.833333333334</v>
      </c>
      <c r="Y112" s="42">
        <f t="shared" si="64"/>
        <v>-4407.8333333333339</v>
      </c>
      <c r="Z112" s="42">
        <f t="shared" si="65"/>
        <v>19428994.694444451</v>
      </c>
      <c r="AA112" s="42">
        <f t="shared" si="63"/>
        <v>4407.8333333333339</v>
      </c>
      <c r="AB112" s="43"/>
      <c r="AC112" s="42">
        <f t="shared" si="66"/>
        <v>10839.428571428571</v>
      </c>
      <c r="AD112" s="42">
        <f t="shared" si="68"/>
        <v>-4615.4285714285706</v>
      </c>
      <c r="AE112" s="42">
        <f t="shared" si="69"/>
        <v>21302180.897959176</v>
      </c>
      <c r="AF112" s="42">
        <f t="shared" si="67"/>
        <v>4615.4285714285706</v>
      </c>
      <c r="AG112" s="43"/>
      <c r="AH112" s="42">
        <f t="shared" si="70"/>
        <v>10979.875</v>
      </c>
      <c r="AI112" s="42">
        <f t="shared" si="73"/>
        <v>-4755.875</v>
      </c>
      <c r="AJ112" s="42">
        <f t="shared" si="71"/>
        <v>22618347.015625</v>
      </c>
      <c r="AK112" s="42">
        <f t="shared" si="72"/>
        <v>4755.875</v>
      </c>
      <c r="AL112" s="43"/>
      <c r="AM112" s="42">
        <f t="shared" si="74"/>
        <v>10939.111111111111</v>
      </c>
      <c r="AN112" s="42">
        <f t="shared" si="77"/>
        <v>-4715.1111111111113</v>
      </c>
      <c r="AO112" s="42">
        <f t="shared" si="75"/>
        <v>22232272.790123459</v>
      </c>
      <c r="AP112" s="42">
        <f t="shared" si="76"/>
        <v>4715.1111111111113</v>
      </c>
      <c r="AQ112" s="43"/>
      <c r="AR112" s="42">
        <f t="shared" si="78"/>
        <v>10965.9</v>
      </c>
      <c r="AS112" s="42">
        <f t="shared" si="79"/>
        <v>-4741.8999999999996</v>
      </c>
      <c r="AT112" s="42">
        <f t="shared" si="80"/>
        <v>22485615.609999996</v>
      </c>
      <c r="AU112" s="42">
        <f t="shared" si="89"/>
        <v>4741.8999999999996</v>
      </c>
      <c r="AV112" s="43"/>
      <c r="AW112" s="42">
        <f t="shared" si="81"/>
        <v>10843</v>
      </c>
      <c r="AX112" s="42">
        <f t="shared" si="84"/>
        <v>-4619</v>
      </c>
      <c r="AY112" s="42">
        <f t="shared" si="82"/>
        <v>21335161</v>
      </c>
      <c r="AZ112" s="42">
        <f t="shared" si="83"/>
        <v>4619</v>
      </c>
      <c r="BA112" s="43"/>
      <c r="BB112" s="44">
        <f t="shared" si="90"/>
        <v>10556.5</v>
      </c>
      <c r="BC112" s="42">
        <f t="shared" si="87"/>
        <v>-4332.5</v>
      </c>
      <c r="BD112" s="42">
        <f t="shared" si="85"/>
        <v>18770556.25</v>
      </c>
      <c r="BE112" s="42">
        <f t="shared" si="86"/>
        <v>4332.5</v>
      </c>
    </row>
    <row r="113" spans="1:57" ht="18" x14ac:dyDescent="0.2">
      <c r="A113" s="7">
        <v>41671</v>
      </c>
      <c r="B113" s="17">
        <v>6913</v>
      </c>
      <c r="D113" s="42">
        <f t="shared" si="91"/>
        <v>7597.5</v>
      </c>
      <c r="E113" s="42">
        <f t="shared" si="88"/>
        <v>-684.5</v>
      </c>
      <c r="F113" s="42">
        <f t="shared" si="48"/>
        <v>468540.25</v>
      </c>
      <c r="G113" s="42">
        <f t="shared" si="49"/>
        <v>684.5</v>
      </c>
      <c r="H113" s="43"/>
      <c r="I113" s="42">
        <f t="shared" si="50"/>
        <v>7781.666666666667</v>
      </c>
      <c r="J113" s="42">
        <f t="shared" si="51"/>
        <v>-868.66666666666697</v>
      </c>
      <c r="K113" s="42">
        <f t="shared" si="52"/>
        <v>754581.77777777833</v>
      </c>
      <c r="L113" s="42">
        <f t="shared" si="53"/>
        <v>868.66666666666697</v>
      </c>
      <c r="M113" s="43"/>
      <c r="N113" s="42">
        <f t="shared" si="54"/>
        <v>8136.75</v>
      </c>
      <c r="O113" s="42">
        <f t="shared" si="56"/>
        <v>-1223.75</v>
      </c>
      <c r="P113" s="42">
        <f t="shared" si="57"/>
        <v>1497564.0625</v>
      </c>
      <c r="Q113" s="42">
        <f t="shared" si="55"/>
        <v>1223.75</v>
      </c>
      <c r="R113" s="43"/>
      <c r="S113" s="42">
        <f t="shared" si="58"/>
        <v>8441.2000000000007</v>
      </c>
      <c r="T113" s="42">
        <f t="shared" si="60"/>
        <v>-1528.2000000000007</v>
      </c>
      <c r="U113" s="42">
        <f t="shared" si="61"/>
        <v>2335395.2400000021</v>
      </c>
      <c r="V113" s="42">
        <f t="shared" si="59"/>
        <v>1528.2000000000007</v>
      </c>
      <c r="W113" s="43"/>
      <c r="X113" s="42">
        <f t="shared" si="62"/>
        <v>9513.8333333333339</v>
      </c>
      <c r="Y113" s="42">
        <f t="shared" si="64"/>
        <v>-2600.8333333333339</v>
      </c>
      <c r="Z113" s="42">
        <f t="shared" si="65"/>
        <v>6764334.0277777808</v>
      </c>
      <c r="AA113" s="42">
        <f t="shared" si="63"/>
        <v>2600.8333333333339</v>
      </c>
      <c r="AB113" s="43"/>
      <c r="AC113" s="42">
        <f t="shared" si="66"/>
        <v>10002.142857142857</v>
      </c>
      <c r="AD113" s="42">
        <f t="shared" si="68"/>
        <v>-3089.1428571428569</v>
      </c>
      <c r="AE113" s="42">
        <f t="shared" si="69"/>
        <v>9542803.5918367337</v>
      </c>
      <c r="AF113" s="42">
        <f t="shared" si="67"/>
        <v>3089.1428571428569</v>
      </c>
      <c r="AG113" s="43"/>
      <c r="AH113" s="42">
        <f t="shared" si="70"/>
        <v>10262.5</v>
      </c>
      <c r="AI113" s="42">
        <f t="shared" si="73"/>
        <v>-3349.5</v>
      </c>
      <c r="AJ113" s="42">
        <f t="shared" si="71"/>
        <v>11219150.25</v>
      </c>
      <c r="AK113" s="42">
        <f t="shared" si="72"/>
        <v>3349.5</v>
      </c>
      <c r="AL113" s="43"/>
      <c r="AM113" s="42">
        <f t="shared" si="74"/>
        <v>10451.444444444445</v>
      </c>
      <c r="AN113" s="42">
        <f t="shared" si="77"/>
        <v>-3538.4444444444453</v>
      </c>
      <c r="AO113" s="42">
        <f t="shared" si="75"/>
        <v>12520589.086419759</v>
      </c>
      <c r="AP113" s="42">
        <f t="shared" si="76"/>
        <v>3538.4444444444453</v>
      </c>
      <c r="AQ113" s="43"/>
      <c r="AR113" s="42">
        <f t="shared" si="78"/>
        <v>10467.6</v>
      </c>
      <c r="AS113" s="42">
        <f t="shared" si="79"/>
        <v>-3554.6000000000004</v>
      </c>
      <c r="AT113" s="42">
        <f t="shared" si="80"/>
        <v>12635181.160000002</v>
      </c>
      <c r="AU113" s="42">
        <f t="shared" si="89"/>
        <v>3554.6000000000004</v>
      </c>
      <c r="AV113" s="43"/>
      <c r="AW113" s="42">
        <f t="shared" si="81"/>
        <v>10534.818181818182</v>
      </c>
      <c r="AX113" s="42">
        <f t="shared" si="84"/>
        <v>-3621.818181818182</v>
      </c>
      <c r="AY113" s="42">
        <f t="shared" si="82"/>
        <v>13117566.942148762</v>
      </c>
      <c r="AZ113" s="42">
        <f t="shared" si="83"/>
        <v>3621.818181818182</v>
      </c>
      <c r="BA113" s="43"/>
      <c r="BB113" s="44">
        <f t="shared" si="90"/>
        <v>10458.083333333334</v>
      </c>
      <c r="BC113" s="42">
        <f t="shared" si="87"/>
        <v>-3545.0833333333339</v>
      </c>
      <c r="BD113" s="42">
        <f t="shared" si="85"/>
        <v>12567615.840277782</v>
      </c>
      <c r="BE113" s="42">
        <f t="shared" si="86"/>
        <v>3545.0833333333339</v>
      </c>
    </row>
    <row r="114" spans="1:57" ht="18" x14ac:dyDescent="0.2">
      <c r="A114" s="7">
        <v>41699</v>
      </c>
      <c r="B114" s="17">
        <v>8894</v>
      </c>
      <c r="D114" s="42">
        <f t="shared" si="91"/>
        <v>6568.5</v>
      </c>
      <c r="E114" s="42">
        <f t="shared" si="88"/>
        <v>2325.5</v>
      </c>
      <c r="F114" s="42">
        <f t="shared" si="48"/>
        <v>5407950.25</v>
      </c>
      <c r="G114" s="42">
        <f t="shared" si="49"/>
        <v>2325.5</v>
      </c>
      <c r="H114" s="43"/>
      <c r="I114" s="42">
        <f t="shared" si="50"/>
        <v>7369.333333333333</v>
      </c>
      <c r="J114" s="42">
        <f t="shared" si="51"/>
        <v>1524.666666666667</v>
      </c>
      <c r="K114" s="42">
        <f t="shared" si="52"/>
        <v>2324608.4444444454</v>
      </c>
      <c r="L114" s="42">
        <f t="shared" si="53"/>
        <v>1524.666666666667</v>
      </c>
      <c r="M114" s="43"/>
      <c r="N114" s="42">
        <f t="shared" si="54"/>
        <v>7564.5</v>
      </c>
      <c r="O114" s="42">
        <f t="shared" si="56"/>
        <v>1329.5</v>
      </c>
      <c r="P114" s="42">
        <f t="shared" si="57"/>
        <v>1767570.25</v>
      </c>
      <c r="Q114" s="42">
        <f t="shared" si="55"/>
        <v>1329.5</v>
      </c>
      <c r="R114" s="43"/>
      <c r="S114" s="42">
        <f t="shared" si="58"/>
        <v>7892</v>
      </c>
      <c r="T114" s="42">
        <f t="shared" si="60"/>
        <v>1002</v>
      </c>
      <c r="U114" s="42">
        <f t="shared" si="61"/>
        <v>1004004</v>
      </c>
      <c r="V114" s="42">
        <f t="shared" si="59"/>
        <v>1002</v>
      </c>
      <c r="W114" s="43"/>
      <c r="X114" s="42">
        <f t="shared" si="62"/>
        <v>8186.5</v>
      </c>
      <c r="Y114" s="42">
        <f t="shared" si="64"/>
        <v>707.5</v>
      </c>
      <c r="Z114" s="42">
        <f t="shared" si="65"/>
        <v>500556.25</v>
      </c>
      <c r="AA114" s="42">
        <f t="shared" si="63"/>
        <v>707.5</v>
      </c>
      <c r="AB114" s="43"/>
      <c r="AC114" s="42">
        <f t="shared" si="66"/>
        <v>9142.2857142857138</v>
      </c>
      <c r="AD114" s="42">
        <f t="shared" si="68"/>
        <v>-248.28571428571377</v>
      </c>
      <c r="AE114" s="42">
        <f t="shared" si="69"/>
        <v>61645.79591836709</v>
      </c>
      <c r="AF114" s="42">
        <f t="shared" si="67"/>
        <v>248.28571428571377</v>
      </c>
      <c r="AG114" s="43"/>
      <c r="AH114" s="42">
        <f t="shared" si="70"/>
        <v>9616</v>
      </c>
      <c r="AI114" s="42">
        <f t="shared" si="73"/>
        <v>-722</v>
      </c>
      <c r="AJ114" s="42">
        <f t="shared" si="71"/>
        <v>521284</v>
      </c>
      <c r="AK114" s="42">
        <f t="shared" si="72"/>
        <v>722</v>
      </c>
      <c r="AL114" s="43"/>
      <c r="AM114" s="42">
        <f t="shared" si="74"/>
        <v>9890.3333333333339</v>
      </c>
      <c r="AN114" s="42">
        <f t="shared" si="77"/>
        <v>-996.33333333333394</v>
      </c>
      <c r="AO114" s="42">
        <f t="shared" si="75"/>
        <v>992680.11111111229</v>
      </c>
      <c r="AP114" s="42">
        <f t="shared" si="76"/>
        <v>996.33333333333394</v>
      </c>
      <c r="AQ114" s="43"/>
      <c r="AR114" s="42">
        <f t="shared" si="78"/>
        <v>10097.6</v>
      </c>
      <c r="AS114" s="42">
        <f t="shared" si="79"/>
        <v>-1203.6000000000004</v>
      </c>
      <c r="AT114" s="42">
        <f t="shared" si="80"/>
        <v>1448652.9600000009</v>
      </c>
      <c r="AU114" s="42">
        <f t="shared" si="89"/>
        <v>1203.6000000000004</v>
      </c>
      <c r="AV114" s="43"/>
      <c r="AW114" s="42">
        <f t="shared" si="81"/>
        <v>10144.454545454546</v>
      </c>
      <c r="AX114" s="42">
        <f t="shared" si="84"/>
        <v>-1250.454545454546</v>
      </c>
      <c r="AY114" s="42">
        <f t="shared" si="82"/>
        <v>1563636.5702479351</v>
      </c>
      <c r="AZ114" s="42">
        <f t="shared" si="83"/>
        <v>1250.454545454546</v>
      </c>
      <c r="BA114" s="43"/>
      <c r="BB114" s="44">
        <f t="shared" si="90"/>
        <v>10233</v>
      </c>
      <c r="BC114" s="42">
        <f t="shared" si="87"/>
        <v>-1339</v>
      </c>
      <c r="BD114" s="42">
        <f t="shared" si="85"/>
        <v>1792921</v>
      </c>
      <c r="BE114" s="42">
        <f t="shared" si="86"/>
        <v>1339</v>
      </c>
    </row>
    <row r="115" spans="1:57" ht="18" x14ac:dyDescent="0.2">
      <c r="A115" s="7">
        <v>41730</v>
      </c>
      <c r="B115" s="17">
        <v>8765</v>
      </c>
      <c r="D115" s="42">
        <f t="shared" si="91"/>
        <v>7903.5</v>
      </c>
      <c r="E115" s="42">
        <f t="shared" si="88"/>
        <v>861.5</v>
      </c>
      <c r="F115" s="42">
        <f t="shared" si="48"/>
        <v>742182.25</v>
      </c>
      <c r="G115" s="42">
        <f t="shared" si="49"/>
        <v>861.5</v>
      </c>
      <c r="H115" s="43"/>
      <c r="I115" s="42">
        <f t="shared" si="50"/>
        <v>7343.666666666667</v>
      </c>
      <c r="J115" s="42">
        <f t="shared" si="51"/>
        <v>1421.333333333333</v>
      </c>
      <c r="K115" s="42">
        <f t="shared" si="52"/>
        <v>2020188.4444444436</v>
      </c>
      <c r="L115" s="42">
        <f t="shared" si="53"/>
        <v>1421.333333333333</v>
      </c>
      <c r="M115" s="43"/>
      <c r="N115" s="42">
        <f t="shared" si="54"/>
        <v>7750.5</v>
      </c>
      <c r="O115" s="42">
        <f t="shared" si="56"/>
        <v>1014.5</v>
      </c>
      <c r="P115" s="42">
        <f t="shared" si="57"/>
        <v>1029210.25</v>
      </c>
      <c r="Q115" s="42">
        <f t="shared" si="55"/>
        <v>1014.5</v>
      </c>
      <c r="R115" s="43"/>
      <c r="S115" s="42">
        <f t="shared" si="58"/>
        <v>7830.4</v>
      </c>
      <c r="T115" s="42">
        <f t="shared" si="60"/>
        <v>934.60000000000036</v>
      </c>
      <c r="U115" s="42">
        <f t="shared" si="61"/>
        <v>873477.16000000073</v>
      </c>
      <c r="V115" s="42">
        <f t="shared" si="59"/>
        <v>934.60000000000036</v>
      </c>
      <c r="W115" s="43"/>
      <c r="X115" s="42">
        <f t="shared" si="62"/>
        <v>8059</v>
      </c>
      <c r="Y115" s="42">
        <f t="shared" si="64"/>
        <v>706</v>
      </c>
      <c r="Z115" s="42">
        <f t="shared" si="65"/>
        <v>498436</v>
      </c>
      <c r="AA115" s="42">
        <f t="shared" si="63"/>
        <v>706</v>
      </c>
      <c r="AB115" s="43"/>
      <c r="AC115" s="42">
        <f t="shared" si="66"/>
        <v>8287.5714285714294</v>
      </c>
      <c r="AD115" s="42">
        <f t="shared" si="68"/>
        <v>477.42857142857065</v>
      </c>
      <c r="AE115" s="42">
        <f t="shared" si="69"/>
        <v>227938.04081632578</v>
      </c>
      <c r="AF115" s="42">
        <f t="shared" si="67"/>
        <v>477.42857142857065</v>
      </c>
      <c r="AG115" s="43"/>
      <c r="AH115" s="42">
        <f t="shared" si="70"/>
        <v>9111.25</v>
      </c>
      <c r="AI115" s="42">
        <f t="shared" si="73"/>
        <v>-346.25</v>
      </c>
      <c r="AJ115" s="42">
        <f t="shared" si="71"/>
        <v>119889.0625</v>
      </c>
      <c r="AK115" s="42">
        <f t="shared" si="72"/>
        <v>346.25</v>
      </c>
      <c r="AL115" s="43"/>
      <c r="AM115" s="42">
        <f t="shared" si="74"/>
        <v>9535.7777777777774</v>
      </c>
      <c r="AN115" s="42">
        <f t="shared" si="77"/>
        <v>-770.77777777777737</v>
      </c>
      <c r="AO115" s="42">
        <f t="shared" si="75"/>
        <v>594098.38271604874</v>
      </c>
      <c r="AP115" s="42">
        <f t="shared" si="76"/>
        <v>770.77777777777737</v>
      </c>
      <c r="AQ115" s="43"/>
      <c r="AR115" s="42">
        <f t="shared" si="78"/>
        <v>9790.7000000000007</v>
      </c>
      <c r="AS115" s="42">
        <f t="shared" si="79"/>
        <v>-1025.7000000000007</v>
      </c>
      <c r="AT115" s="42">
        <f t="shared" si="80"/>
        <v>1052060.4900000014</v>
      </c>
      <c r="AU115" s="42">
        <f t="shared" si="89"/>
        <v>1025.7000000000007</v>
      </c>
      <c r="AV115" s="43"/>
      <c r="AW115" s="42">
        <f t="shared" si="81"/>
        <v>9988.181818181818</v>
      </c>
      <c r="AX115" s="42">
        <f t="shared" si="84"/>
        <v>-1223.181818181818</v>
      </c>
      <c r="AY115" s="42">
        <f t="shared" si="82"/>
        <v>1496173.7603305781</v>
      </c>
      <c r="AZ115" s="42">
        <f t="shared" si="83"/>
        <v>1223.181818181818</v>
      </c>
      <c r="BA115" s="43"/>
      <c r="BB115" s="44">
        <f t="shared" si="90"/>
        <v>10040.25</v>
      </c>
      <c r="BC115" s="42">
        <f t="shared" si="87"/>
        <v>-1275.25</v>
      </c>
      <c r="BD115" s="42">
        <f t="shared" si="85"/>
        <v>1626262.5625</v>
      </c>
      <c r="BE115" s="42">
        <f t="shared" si="86"/>
        <v>1275.25</v>
      </c>
    </row>
    <row r="116" spans="1:57" ht="18" x14ac:dyDescent="0.2">
      <c r="A116" s="7">
        <v>41760</v>
      </c>
      <c r="B116" s="17">
        <v>10054</v>
      </c>
      <c r="D116" s="42">
        <f t="shared" si="91"/>
        <v>8829.5</v>
      </c>
      <c r="E116" s="42">
        <f t="shared" si="88"/>
        <v>1224.5</v>
      </c>
      <c r="F116" s="42">
        <f t="shared" si="48"/>
        <v>1499400.25</v>
      </c>
      <c r="G116" s="42">
        <f t="shared" si="49"/>
        <v>1224.5</v>
      </c>
      <c r="H116" s="43"/>
      <c r="I116" s="42">
        <f t="shared" si="50"/>
        <v>8190.666666666667</v>
      </c>
      <c r="J116" s="42">
        <f t="shared" si="51"/>
        <v>1863.333333333333</v>
      </c>
      <c r="K116" s="42">
        <f t="shared" si="52"/>
        <v>3472011.1111111101</v>
      </c>
      <c r="L116" s="42">
        <f t="shared" si="53"/>
        <v>1863.333333333333</v>
      </c>
      <c r="M116" s="43"/>
      <c r="N116" s="42">
        <f t="shared" si="54"/>
        <v>7699</v>
      </c>
      <c r="O116" s="42">
        <f t="shared" si="56"/>
        <v>2355</v>
      </c>
      <c r="P116" s="42">
        <f t="shared" si="57"/>
        <v>5546025</v>
      </c>
      <c r="Q116" s="42">
        <f t="shared" si="55"/>
        <v>2355</v>
      </c>
      <c r="R116" s="43"/>
      <c r="S116" s="42">
        <f t="shared" si="58"/>
        <v>7953.4</v>
      </c>
      <c r="T116" s="42">
        <f t="shared" si="60"/>
        <v>2100.6000000000004</v>
      </c>
      <c r="U116" s="42">
        <f t="shared" si="61"/>
        <v>4412520.3600000013</v>
      </c>
      <c r="V116" s="42">
        <f t="shared" si="59"/>
        <v>2100.6000000000004</v>
      </c>
      <c r="W116" s="43"/>
      <c r="X116" s="42">
        <f t="shared" si="62"/>
        <v>7986.166666666667</v>
      </c>
      <c r="Y116" s="42">
        <f t="shared" si="64"/>
        <v>2067.833333333333</v>
      </c>
      <c r="Z116" s="42">
        <f t="shared" si="65"/>
        <v>4275934.6944444431</v>
      </c>
      <c r="AA116" s="42">
        <f t="shared" si="63"/>
        <v>2067.833333333333</v>
      </c>
      <c r="AB116" s="43"/>
      <c r="AC116" s="42">
        <f t="shared" si="66"/>
        <v>8159.8571428571431</v>
      </c>
      <c r="AD116" s="42">
        <f t="shared" si="68"/>
        <v>1894.1428571428569</v>
      </c>
      <c r="AE116" s="42">
        <f t="shared" si="69"/>
        <v>3587777.1632653051</v>
      </c>
      <c r="AF116" s="42">
        <f t="shared" si="67"/>
        <v>1894.1428571428569</v>
      </c>
      <c r="AG116" s="43"/>
      <c r="AH116" s="42">
        <f t="shared" si="70"/>
        <v>8347.25</v>
      </c>
      <c r="AI116" s="42">
        <f t="shared" si="73"/>
        <v>1706.75</v>
      </c>
      <c r="AJ116" s="42">
        <f t="shared" si="71"/>
        <v>2912995.5625</v>
      </c>
      <c r="AK116" s="42">
        <f t="shared" si="72"/>
        <v>1706.75</v>
      </c>
      <c r="AL116" s="43"/>
      <c r="AM116" s="42">
        <f t="shared" si="74"/>
        <v>9072.7777777777774</v>
      </c>
      <c r="AN116" s="42">
        <f t="shared" si="77"/>
        <v>981.22222222222263</v>
      </c>
      <c r="AO116" s="42">
        <f t="shared" si="75"/>
        <v>962797.04938271688</v>
      </c>
      <c r="AP116" s="42">
        <f t="shared" si="76"/>
        <v>981.22222222222263</v>
      </c>
      <c r="AQ116" s="43"/>
      <c r="AR116" s="42">
        <f t="shared" si="78"/>
        <v>9458.7000000000007</v>
      </c>
      <c r="AS116" s="42">
        <f t="shared" si="79"/>
        <v>595.29999999999927</v>
      </c>
      <c r="AT116" s="42">
        <f t="shared" si="80"/>
        <v>354382.08999999915</v>
      </c>
      <c r="AU116" s="42">
        <f t="shared" si="89"/>
        <v>595.29999999999927</v>
      </c>
      <c r="AV116" s="43"/>
      <c r="AW116" s="42">
        <f t="shared" si="81"/>
        <v>9697.454545454546</v>
      </c>
      <c r="AX116" s="42">
        <f t="shared" si="84"/>
        <v>356.54545454545405</v>
      </c>
      <c r="AY116" s="42">
        <f t="shared" si="82"/>
        <v>127124.66115702444</v>
      </c>
      <c r="AZ116" s="42">
        <f t="shared" si="83"/>
        <v>356.54545454545405</v>
      </c>
      <c r="BA116" s="43"/>
      <c r="BB116" s="44">
        <f t="shared" si="90"/>
        <v>9886.25</v>
      </c>
      <c r="BC116" s="42">
        <f t="shared" si="87"/>
        <v>167.75</v>
      </c>
      <c r="BD116" s="42">
        <f t="shared" si="85"/>
        <v>28140.0625</v>
      </c>
      <c r="BE116" s="42">
        <f t="shared" si="86"/>
        <v>167.75</v>
      </c>
    </row>
    <row r="117" spans="1:57" ht="18" x14ac:dyDescent="0.2">
      <c r="A117" s="7">
        <v>41791</v>
      </c>
      <c r="B117" s="17">
        <v>9830</v>
      </c>
      <c r="D117" s="42">
        <f t="shared" si="91"/>
        <v>9409.5</v>
      </c>
      <c r="E117" s="42">
        <f t="shared" si="88"/>
        <v>420.5</v>
      </c>
      <c r="F117" s="42">
        <f t="shared" si="48"/>
        <v>176820.25</v>
      </c>
      <c r="G117" s="42">
        <f t="shared" si="49"/>
        <v>420.5</v>
      </c>
      <c r="H117" s="43"/>
      <c r="I117" s="42">
        <f t="shared" si="50"/>
        <v>9237.6666666666661</v>
      </c>
      <c r="J117" s="42">
        <f t="shared" si="51"/>
        <v>592.33333333333394</v>
      </c>
      <c r="K117" s="42">
        <f t="shared" si="52"/>
        <v>350858.77777777851</v>
      </c>
      <c r="L117" s="42">
        <f t="shared" si="53"/>
        <v>592.33333333333394</v>
      </c>
      <c r="M117" s="43"/>
      <c r="N117" s="42">
        <f t="shared" si="54"/>
        <v>8656.5</v>
      </c>
      <c r="O117" s="42">
        <f t="shared" si="56"/>
        <v>1173.5</v>
      </c>
      <c r="P117" s="42">
        <f t="shared" si="57"/>
        <v>1377102.25</v>
      </c>
      <c r="Q117" s="42">
        <f t="shared" si="55"/>
        <v>1173.5</v>
      </c>
      <c r="R117" s="43"/>
      <c r="S117" s="42">
        <f t="shared" si="58"/>
        <v>8170</v>
      </c>
      <c r="T117" s="42">
        <f t="shared" si="60"/>
        <v>1660</v>
      </c>
      <c r="U117" s="42">
        <f t="shared" si="61"/>
        <v>2755600</v>
      </c>
      <c r="V117" s="42">
        <f t="shared" si="59"/>
        <v>1660</v>
      </c>
      <c r="W117" s="43"/>
      <c r="X117" s="42">
        <f t="shared" si="62"/>
        <v>8303.5</v>
      </c>
      <c r="Y117" s="42">
        <f t="shared" si="64"/>
        <v>1526.5</v>
      </c>
      <c r="Z117" s="42">
        <f t="shared" si="65"/>
        <v>2330202.25</v>
      </c>
      <c r="AA117" s="42">
        <f t="shared" si="63"/>
        <v>1526.5</v>
      </c>
      <c r="AB117" s="43"/>
      <c r="AC117" s="42">
        <f t="shared" si="66"/>
        <v>8281.5714285714294</v>
      </c>
      <c r="AD117" s="42">
        <f t="shared" si="68"/>
        <v>1548.4285714285706</v>
      </c>
      <c r="AE117" s="42">
        <f t="shared" si="69"/>
        <v>2397631.0408163243</v>
      </c>
      <c r="AF117" s="42">
        <f t="shared" si="67"/>
        <v>1548.4285714285706</v>
      </c>
      <c r="AG117" s="43"/>
      <c r="AH117" s="42">
        <f t="shared" si="70"/>
        <v>8396.625</v>
      </c>
      <c r="AI117" s="42">
        <f t="shared" si="73"/>
        <v>1433.375</v>
      </c>
      <c r="AJ117" s="42">
        <f t="shared" si="71"/>
        <v>2054563.890625</v>
      </c>
      <c r="AK117" s="42">
        <f t="shared" si="72"/>
        <v>1433.375</v>
      </c>
      <c r="AL117" s="43"/>
      <c r="AM117" s="42">
        <f t="shared" si="74"/>
        <v>8536.8888888888887</v>
      </c>
      <c r="AN117" s="42">
        <f t="shared" si="77"/>
        <v>1293.1111111111113</v>
      </c>
      <c r="AO117" s="42">
        <f t="shared" si="75"/>
        <v>1672136.3456790128</v>
      </c>
      <c r="AP117" s="42">
        <f t="shared" si="76"/>
        <v>1293.1111111111113</v>
      </c>
      <c r="AQ117" s="43"/>
      <c r="AR117" s="42">
        <f t="shared" si="78"/>
        <v>9170.9</v>
      </c>
      <c r="AS117" s="42">
        <f t="shared" si="79"/>
        <v>659.10000000000036</v>
      </c>
      <c r="AT117" s="42">
        <f t="shared" si="80"/>
        <v>434412.81000000046</v>
      </c>
      <c r="AU117" s="42">
        <f t="shared" si="89"/>
        <v>659.10000000000036</v>
      </c>
      <c r="AV117" s="43"/>
      <c r="AW117" s="42">
        <f t="shared" si="81"/>
        <v>9512.818181818182</v>
      </c>
      <c r="AX117" s="42">
        <f t="shared" si="84"/>
        <v>317.18181818181802</v>
      </c>
      <c r="AY117" s="42">
        <f t="shared" si="82"/>
        <v>100604.30578512386</v>
      </c>
      <c r="AZ117" s="42">
        <f t="shared" si="83"/>
        <v>317.18181818181802</v>
      </c>
      <c r="BA117" s="43"/>
      <c r="BB117" s="44">
        <f t="shared" si="90"/>
        <v>9727.1666666666661</v>
      </c>
      <c r="BC117" s="42">
        <f t="shared" si="87"/>
        <v>102.83333333333394</v>
      </c>
      <c r="BD117" s="42">
        <f t="shared" si="85"/>
        <v>10574.694444444569</v>
      </c>
      <c r="BE117" s="42">
        <f t="shared" si="86"/>
        <v>102.83333333333394</v>
      </c>
    </row>
    <row r="118" spans="1:57" ht="18" x14ac:dyDescent="0.2">
      <c r="A118" s="7">
        <v>41821</v>
      </c>
      <c r="B118" s="17">
        <v>10933</v>
      </c>
      <c r="D118" s="42">
        <f t="shared" si="91"/>
        <v>9942</v>
      </c>
      <c r="E118" s="42">
        <f t="shared" si="88"/>
        <v>991</v>
      </c>
      <c r="F118" s="42">
        <f t="shared" si="48"/>
        <v>982081</v>
      </c>
      <c r="G118" s="42">
        <f t="shared" si="49"/>
        <v>991</v>
      </c>
      <c r="H118" s="43"/>
      <c r="I118" s="42">
        <f t="shared" si="50"/>
        <v>9549.6666666666661</v>
      </c>
      <c r="J118" s="42">
        <f t="shared" si="51"/>
        <v>1383.3333333333339</v>
      </c>
      <c r="K118" s="42">
        <f t="shared" si="52"/>
        <v>1913611.1111111129</v>
      </c>
      <c r="L118" s="42">
        <f t="shared" si="53"/>
        <v>1383.3333333333339</v>
      </c>
      <c r="M118" s="43"/>
      <c r="N118" s="42">
        <f t="shared" si="54"/>
        <v>9385.75</v>
      </c>
      <c r="O118" s="42">
        <f t="shared" si="56"/>
        <v>1547.25</v>
      </c>
      <c r="P118" s="42">
        <f t="shared" si="57"/>
        <v>2393982.5625</v>
      </c>
      <c r="Q118" s="42">
        <f t="shared" si="55"/>
        <v>1547.25</v>
      </c>
      <c r="R118" s="43"/>
      <c r="S118" s="42">
        <f t="shared" si="58"/>
        <v>8891.2000000000007</v>
      </c>
      <c r="T118" s="42">
        <f t="shared" si="60"/>
        <v>2041.7999999999993</v>
      </c>
      <c r="U118" s="42">
        <f t="shared" si="61"/>
        <v>4168947.239999997</v>
      </c>
      <c r="V118" s="42">
        <f t="shared" si="59"/>
        <v>2041.7999999999993</v>
      </c>
      <c r="W118" s="43"/>
      <c r="X118" s="42">
        <f t="shared" si="62"/>
        <v>8446.6666666666661</v>
      </c>
      <c r="Y118" s="42">
        <f t="shared" si="64"/>
        <v>2486.3333333333339</v>
      </c>
      <c r="Z118" s="42">
        <f t="shared" si="65"/>
        <v>6181853.4444444478</v>
      </c>
      <c r="AA118" s="42">
        <f t="shared" si="63"/>
        <v>2486.3333333333339</v>
      </c>
      <c r="AB118" s="43"/>
      <c r="AC118" s="42">
        <f t="shared" si="66"/>
        <v>8521.5714285714294</v>
      </c>
      <c r="AD118" s="42">
        <f t="shared" si="68"/>
        <v>2411.4285714285706</v>
      </c>
      <c r="AE118" s="42">
        <f t="shared" si="69"/>
        <v>5814987.7551020375</v>
      </c>
      <c r="AF118" s="42">
        <f t="shared" si="67"/>
        <v>2411.4285714285706</v>
      </c>
      <c r="AG118" s="43"/>
      <c r="AH118" s="42">
        <f t="shared" si="70"/>
        <v>8475.125</v>
      </c>
      <c r="AI118" s="42">
        <f t="shared" si="73"/>
        <v>2457.875</v>
      </c>
      <c r="AJ118" s="42">
        <f t="shared" si="71"/>
        <v>6041149.515625</v>
      </c>
      <c r="AK118" s="42">
        <f t="shared" si="72"/>
        <v>2457.875</v>
      </c>
      <c r="AL118" s="43"/>
      <c r="AM118" s="42">
        <f t="shared" si="74"/>
        <v>8555.8888888888887</v>
      </c>
      <c r="AN118" s="42">
        <f t="shared" si="77"/>
        <v>2377.1111111111113</v>
      </c>
      <c r="AO118" s="42">
        <f t="shared" si="75"/>
        <v>5650657.2345679021</v>
      </c>
      <c r="AP118" s="42">
        <f t="shared" si="76"/>
        <v>2377.1111111111113</v>
      </c>
      <c r="AQ118" s="43"/>
      <c r="AR118" s="42">
        <f t="shared" si="78"/>
        <v>8666.2000000000007</v>
      </c>
      <c r="AS118" s="42">
        <f t="shared" si="79"/>
        <v>2266.7999999999993</v>
      </c>
      <c r="AT118" s="42">
        <f t="shared" si="80"/>
        <v>5138382.2399999965</v>
      </c>
      <c r="AU118" s="42">
        <f t="shared" si="89"/>
        <v>2266.7999999999993</v>
      </c>
      <c r="AV118" s="43"/>
      <c r="AW118" s="42">
        <f t="shared" si="81"/>
        <v>9230.818181818182</v>
      </c>
      <c r="AX118" s="42">
        <f t="shared" si="84"/>
        <v>1702.181818181818</v>
      </c>
      <c r="AY118" s="42">
        <f t="shared" si="82"/>
        <v>2897422.94214876</v>
      </c>
      <c r="AZ118" s="42">
        <f t="shared" si="83"/>
        <v>1702.181818181818</v>
      </c>
      <c r="BA118" s="43"/>
      <c r="BB118" s="44">
        <f t="shared" si="90"/>
        <v>9539.25</v>
      </c>
      <c r="BC118" s="42">
        <f t="shared" si="87"/>
        <v>1393.75</v>
      </c>
      <c r="BD118" s="42">
        <f t="shared" si="85"/>
        <v>1942539.0625</v>
      </c>
      <c r="BE118" s="42">
        <f t="shared" si="86"/>
        <v>1393.75</v>
      </c>
    </row>
    <row r="119" spans="1:57" ht="18" x14ac:dyDescent="0.2">
      <c r="A119" s="7">
        <v>41852</v>
      </c>
      <c r="B119" s="17">
        <v>10810</v>
      </c>
      <c r="D119" s="42">
        <f t="shared" si="91"/>
        <v>10381.5</v>
      </c>
      <c r="E119" s="42">
        <f t="shared" si="88"/>
        <v>428.5</v>
      </c>
      <c r="F119" s="42">
        <f t="shared" si="48"/>
        <v>183612.25</v>
      </c>
      <c r="G119" s="42">
        <f t="shared" si="49"/>
        <v>428.5</v>
      </c>
      <c r="H119" s="43"/>
      <c r="I119" s="42">
        <f t="shared" si="50"/>
        <v>10272.333333333334</v>
      </c>
      <c r="J119" s="42">
        <f t="shared" si="51"/>
        <v>537.66666666666606</v>
      </c>
      <c r="K119" s="42">
        <f t="shared" si="52"/>
        <v>289085.4444444438</v>
      </c>
      <c r="L119" s="42">
        <f t="shared" si="53"/>
        <v>537.66666666666606</v>
      </c>
      <c r="M119" s="43"/>
      <c r="N119" s="42">
        <f t="shared" si="54"/>
        <v>9895.5</v>
      </c>
      <c r="O119" s="42">
        <f t="shared" si="56"/>
        <v>914.5</v>
      </c>
      <c r="P119" s="42">
        <f t="shared" si="57"/>
        <v>836310.25</v>
      </c>
      <c r="Q119" s="42">
        <f t="shared" si="55"/>
        <v>914.5</v>
      </c>
      <c r="R119" s="43"/>
      <c r="S119" s="42">
        <f t="shared" si="58"/>
        <v>9695.2000000000007</v>
      </c>
      <c r="T119" s="42">
        <f t="shared" si="60"/>
        <v>1114.7999999999993</v>
      </c>
      <c r="U119" s="42">
        <f t="shared" si="61"/>
        <v>1242779.0399999984</v>
      </c>
      <c r="V119" s="42">
        <f t="shared" si="59"/>
        <v>1114.7999999999993</v>
      </c>
      <c r="W119" s="43"/>
      <c r="X119" s="42">
        <f t="shared" si="62"/>
        <v>9231.5</v>
      </c>
      <c r="Y119" s="42">
        <f t="shared" si="64"/>
        <v>1578.5</v>
      </c>
      <c r="Z119" s="42">
        <f t="shared" si="65"/>
        <v>2491662.25</v>
      </c>
      <c r="AA119" s="42">
        <f t="shared" si="63"/>
        <v>1578.5</v>
      </c>
      <c r="AB119" s="43"/>
      <c r="AC119" s="42">
        <f t="shared" si="66"/>
        <v>8801.8571428571431</v>
      </c>
      <c r="AD119" s="42">
        <f t="shared" si="68"/>
        <v>2008.1428571428569</v>
      </c>
      <c r="AE119" s="42">
        <f t="shared" si="69"/>
        <v>4032637.7346938765</v>
      </c>
      <c r="AF119" s="42">
        <f t="shared" si="67"/>
        <v>2008.1428571428569</v>
      </c>
      <c r="AG119" s="43"/>
      <c r="AH119" s="42">
        <f t="shared" si="70"/>
        <v>8823</v>
      </c>
      <c r="AI119" s="42">
        <f t="shared" si="73"/>
        <v>1987</v>
      </c>
      <c r="AJ119" s="42">
        <f t="shared" si="71"/>
        <v>3948169</v>
      </c>
      <c r="AK119" s="42">
        <f t="shared" si="72"/>
        <v>1987</v>
      </c>
      <c r="AL119" s="43"/>
      <c r="AM119" s="42">
        <f t="shared" si="74"/>
        <v>8748.2222222222226</v>
      </c>
      <c r="AN119" s="42">
        <f t="shared" si="77"/>
        <v>2061.7777777777774</v>
      </c>
      <c r="AO119" s="42">
        <f t="shared" si="75"/>
        <v>4250927.6049382696</v>
      </c>
      <c r="AP119" s="42">
        <f t="shared" si="76"/>
        <v>2061.7777777777774</v>
      </c>
      <c r="AQ119" s="43"/>
      <c r="AR119" s="42">
        <f t="shared" si="78"/>
        <v>8793.6</v>
      </c>
      <c r="AS119" s="42">
        <f t="shared" si="79"/>
        <v>2016.3999999999996</v>
      </c>
      <c r="AT119" s="42">
        <f t="shared" si="80"/>
        <v>4065868.9599999986</v>
      </c>
      <c r="AU119" s="42">
        <f t="shared" si="89"/>
        <v>2016.3999999999996</v>
      </c>
      <c r="AV119" s="43"/>
      <c r="AW119" s="42">
        <f t="shared" si="81"/>
        <v>8872.2727272727279</v>
      </c>
      <c r="AX119" s="42">
        <f t="shared" si="84"/>
        <v>1937.7272727272721</v>
      </c>
      <c r="AY119" s="42">
        <f t="shared" si="82"/>
        <v>3754786.9834710718</v>
      </c>
      <c r="AZ119" s="42">
        <f t="shared" si="83"/>
        <v>1937.7272727272721</v>
      </c>
      <c r="BA119" s="43"/>
      <c r="BB119" s="44">
        <f t="shared" si="90"/>
        <v>9372.6666666666661</v>
      </c>
      <c r="BC119" s="42">
        <f t="shared" si="87"/>
        <v>1437.3333333333339</v>
      </c>
      <c r="BD119" s="42">
        <f t="shared" si="85"/>
        <v>2065927.1111111129</v>
      </c>
      <c r="BE119" s="42">
        <f t="shared" si="86"/>
        <v>1437.3333333333339</v>
      </c>
    </row>
    <row r="120" spans="1:57" ht="18" x14ac:dyDescent="0.2">
      <c r="A120" s="7">
        <v>41883</v>
      </c>
      <c r="B120" s="17">
        <v>7824</v>
      </c>
      <c r="D120" s="42">
        <f t="shared" si="91"/>
        <v>10871.5</v>
      </c>
      <c r="E120" s="42">
        <f t="shared" si="88"/>
        <v>-3047.5</v>
      </c>
      <c r="F120" s="42">
        <f t="shared" si="48"/>
        <v>9287256.25</v>
      </c>
      <c r="G120" s="42">
        <f t="shared" si="49"/>
        <v>3047.5</v>
      </c>
      <c r="H120" s="43"/>
      <c r="I120" s="42">
        <f t="shared" si="50"/>
        <v>10524.333333333334</v>
      </c>
      <c r="J120" s="42">
        <f t="shared" si="51"/>
        <v>-2700.3333333333339</v>
      </c>
      <c r="K120" s="42">
        <f t="shared" si="52"/>
        <v>7291800.1111111147</v>
      </c>
      <c r="L120" s="42">
        <f t="shared" si="53"/>
        <v>2700.3333333333339</v>
      </c>
      <c r="M120" s="43"/>
      <c r="N120" s="42">
        <f t="shared" si="54"/>
        <v>10406.75</v>
      </c>
      <c r="O120" s="42">
        <f t="shared" si="56"/>
        <v>-2582.75</v>
      </c>
      <c r="P120" s="42">
        <f t="shared" si="57"/>
        <v>6670597.5625</v>
      </c>
      <c r="Q120" s="42">
        <f t="shared" si="55"/>
        <v>2582.75</v>
      </c>
      <c r="R120" s="43"/>
      <c r="S120" s="42">
        <f t="shared" si="58"/>
        <v>10078.4</v>
      </c>
      <c r="T120" s="42">
        <f t="shared" si="60"/>
        <v>-2254.3999999999996</v>
      </c>
      <c r="U120" s="42">
        <f t="shared" si="61"/>
        <v>5082319.3599999985</v>
      </c>
      <c r="V120" s="42">
        <f t="shared" si="59"/>
        <v>2254.3999999999996</v>
      </c>
      <c r="W120" s="43"/>
      <c r="X120" s="42">
        <f t="shared" si="62"/>
        <v>9881</v>
      </c>
      <c r="Y120" s="42">
        <f t="shared" si="64"/>
        <v>-2057</v>
      </c>
      <c r="Z120" s="42">
        <f t="shared" si="65"/>
        <v>4231249</v>
      </c>
      <c r="AA120" s="42">
        <f t="shared" si="63"/>
        <v>2057</v>
      </c>
      <c r="AB120" s="43"/>
      <c r="AC120" s="42">
        <f t="shared" si="66"/>
        <v>9457</v>
      </c>
      <c r="AD120" s="42">
        <f t="shared" si="68"/>
        <v>-1633</v>
      </c>
      <c r="AE120" s="42">
        <f t="shared" si="69"/>
        <v>2666689</v>
      </c>
      <c r="AF120" s="42">
        <f t="shared" si="67"/>
        <v>1633</v>
      </c>
      <c r="AG120" s="43"/>
      <c r="AH120" s="42">
        <f t="shared" si="70"/>
        <v>9052.875</v>
      </c>
      <c r="AI120" s="42">
        <f t="shared" si="73"/>
        <v>-1228.875</v>
      </c>
      <c r="AJ120" s="42">
        <f t="shared" si="71"/>
        <v>1510133.765625</v>
      </c>
      <c r="AK120" s="42">
        <f t="shared" si="72"/>
        <v>1228.875</v>
      </c>
      <c r="AL120" s="43"/>
      <c r="AM120" s="42">
        <f t="shared" si="74"/>
        <v>9043.7777777777774</v>
      </c>
      <c r="AN120" s="42">
        <f t="shared" si="77"/>
        <v>-1219.7777777777774</v>
      </c>
      <c r="AO120" s="42">
        <f t="shared" si="75"/>
        <v>1487857.8271604928</v>
      </c>
      <c r="AP120" s="42">
        <f t="shared" si="76"/>
        <v>1219.7777777777774</v>
      </c>
      <c r="AQ120" s="43"/>
      <c r="AR120" s="42">
        <f t="shared" si="78"/>
        <v>8954.4</v>
      </c>
      <c r="AS120" s="42">
        <f t="shared" si="79"/>
        <v>-1130.3999999999996</v>
      </c>
      <c r="AT120" s="42">
        <f t="shared" si="80"/>
        <v>1277804.1599999992</v>
      </c>
      <c r="AU120" s="42">
        <f t="shared" si="89"/>
        <v>1130.3999999999996</v>
      </c>
      <c r="AV120" s="43"/>
      <c r="AW120" s="42">
        <f t="shared" si="81"/>
        <v>8976.9090909090901</v>
      </c>
      <c r="AX120" s="42">
        <f t="shared" si="84"/>
        <v>-1152.9090909090901</v>
      </c>
      <c r="AY120" s="42">
        <f t="shared" si="82"/>
        <v>1329199.3719008246</v>
      </c>
      <c r="AZ120" s="42">
        <f t="shared" si="83"/>
        <v>1152.9090909090901</v>
      </c>
      <c r="BA120" s="43"/>
      <c r="BB120" s="44">
        <f t="shared" si="90"/>
        <v>9033.75</v>
      </c>
      <c r="BC120" s="42">
        <f t="shared" si="87"/>
        <v>-1209.75</v>
      </c>
      <c r="BD120" s="42">
        <f t="shared" si="85"/>
        <v>1463495.0625</v>
      </c>
      <c r="BE120" s="42">
        <f t="shared" si="86"/>
        <v>1209.75</v>
      </c>
    </row>
    <row r="121" spans="1:57" ht="18" x14ac:dyDescent="0.2">
      <c r="A121" s="7">
        <v>41913</v>
      </c>
      <c r="B121" s="17">
        <v>7903</v>
      </c>
      <c r="D121" s="42">
        <f t="shared" si="91"/>
        <v>9317</v>
      </c>
      <c r="E121" s="42">
        <f t="shared" si="88"/>
        <v>-1414</v>
      </c>
      <c r="F121" s="42">
        <f t="shared" si="48"/>
        <v>1999396</v>
      </c>
      <c r="G121" s="42">
        <f t="shared" si="49"/>
        <v>1414</v>
      </c>
      <c r="H121" s="43"/>
      <c r="I121" s="42">
        <f t="shared" si="50"/>
        <v>9855.6666666666661</v>
      </c>
      <c r="J121" s="42">
        <f t="shared" si="51"/>
        <v>-1952.6666666666661</v>
      </c>
      <c r="K121" s="42">
        <f t="shared" si="52"/>
        <v>3812907.1111111087</v>
      </c>
      <c r="L121" s="42">
        <f t="shared" si="53"/>
        <v>1952.6666666666661</v>
      </c>
      <c r="M121" s="43"/>
      <c r="N121" s="42">
        <f t="shared" si="54"/>
        <v>9849.25</v>
      </c>
      <c r="O121" s="42">
        <f t="shared" si="56"/>
        <v>-1946.25</v>
      </c>
      <c r="P121" s="42">
        <f t="shared" si="57"/>
        <v>3787889.0625</v>
      </c>
      <c r="Q121" s="42">
        <f t="shared" si="55"/>
        <v>1946.25</v>
      </c>
      <c r="R121" s="43"/>
      <c r="S121" s="42">
        <f t="shared" si="58"/>
        <v>9890.2000000000007</v>
      </c>
      <c r="T121" s="42">
        <f t="shared" si="60"/>
        <v>-1987.2000000000007</v>
      </c>
      <c r="U121" s="42">
        <f t="shared" si="61"/>
        <v>3948963.8400000031</v>
      </c>
      <c r="V121" s="42">
        <f t="shared" si="59"/>
        <v>1987.2000000000007</v>
      </c>
      <c r="W121" s="43"/>
      <c r="X121" s="42">
        <f t="shared" si="62"/>
        <v>9702.6666666666661</v>
      </c>
      <c r="Y121" s="42">
        <f t="shared" si="64"/>
        <v>-1799.6666666666661</v>
      </c>
      <c r="Z121" s="42">
        <f t="shared" si="65"/>
        <v>3238800.1111111091</v>
      </c>
      <c r="AA121" s="42">
        <f t="shared" si="63"/>
        <v>1799.6666666666661</v>
      </c>
      <c r="AB121" s="43"/>
      <c r="AC121" s="42">
        <f t="shared" si="66"/>
        <v>9587.1428571428569</v>
      </c>
      <c r="AD121" s="42">
        <f t="shared" si="68"/>
        <v>-1684.1428571428569</v>
      </c>
      <c r="AE121" s="42">
        <f t="shared" si="69"/>
        <v>2836337.1632653051</v>
      </c>
      <c r="AF121" s="42">
        <f t="shared" si="67"/>
        <v>1684.1428571428569</v>
      </c>
      <c r="AG121" s="43"/>
      <c r="AH121" s="42">
        <f t="shared" si="70"/>
        <v>9252.875</v>
      </c>
      <c r="AI121" s="42">
        <f t="shared" si="73"/>
        <v>-1349.875</v>
      </c>
      <c r="AJ121" s="42">
        <f t="shared" si="71"/>
        <v>1822162.515625</v>
      </c>
      <c r="AK121" s="42">
        <f t="shared" si="72"/>
        <v>1349.875</v>
      </c>
      <c r="AL121" s="43"/>
      <c r="AM121" s="42">
        <f t="shared" si="74"/>
        <v>8916.3333333333339</v>
      </c>
      <c r="AN121" s="42">
        <f t="shared" si="77"/>
        <v>-1013.3333333333339</v>
      </c>
      <c r="AO121" s="42">
        <f t="shared" si="75"/>
        <v>1026844.4444444457</v>
      </c>
      <c r="AP121" s="42">
        <f t="shared" si="76"/>
        <v>1013.3333333333339</v>
      </c>
      <c r="AQ121" s="43"/>
      <c r="AR121" s="42">
        <f t="shared" si="78"/>
        <v>8921.7999999999993</v>
      </c>
      <c r="AS121" s="42">
        <f t="shared" si="79"/>
        <v>-1018.7999999999993</v>
      </c>
      <c r="AT121" s="42">
        <f t="shared" si="80"/>
        <v>1037953.4399999985</v>
      </c>
      <c r="AU121" s="42">
        <f t="shared" si="89"/>
        <v>1018.7999999999993</v>
      </c>
      <c r="AV121" s="43"/>
      <c r="AW121" s="42">
        <f t="shared" si="81"/>
        <v>8851.636363636364</v>
      </c>
      <c r="AX121" s="42">
        <f t="shared" si="84"/>
        <v>-948.63636363636397</v>
      </c>
      <c r="AY121" s="42">
        <f t="shared" si="82"/>
        <v>899910.95041322382</v>
      </c>
      <c r="AZ121" s="42">
        <f t="shared" si="83"/>
        <v>948.63636363636397</v>
      </c>
      <c r="BA121" s="43"/>
      <c r="BB121" s="44">
        <f t="shared" si="90"/>
        <v>8880.8333333333339</v>
      </c>
      <c r="BC121" s="42">
        <f t="shared" si="87"/>
        <v>-977.83333333333394</v>
      </c>
      <c r="BD121" s="42">
        <f t="shared" si="85"/>
        <v>956158.02777777892</v>
      </c>
      <c r="BE121" s="42">
        <f t="shared" si="86"/>
        <v>977.83333333333394</v>
      </c>
    </row>
    <row r="122" spans="1:57" ht="18" x14ac:dyDescent="0.2">
      <c r="A122" s="7">
        <v>41944</v>
      </c>
      <c r="B122" s="17">
        <v>9228</v>
      </c>
      <c r="D122" s="42">
        <f t="shared" si="91"/>
        <v>7863.5</v>
      </c>
      <c r="E122" s="42">
        <f t="shared" si="88"/>
        <v>1364.5</v>
      </c>
      <c r="F122" s="42">
        <f t="shared" si="48"/>
        <v>1861860.25</v>
      </c>
      <c r="G122" s="42">
        <f t="shared" si="49"/>
        <v>1364.5</v>
      </c>
      <c r="H122" s="43"/>
      <c r="I122" s="42">
        <f t="shared" si="50"/>
        <v>8845.6666666666661</v>
      </c>
      <c r="J122" s="42">
        <f t="shared" si="51"/>
        <v>382.33333333333394</v>
      </c>
      <c r="K122" s="42">
        <f t="shared" si="52"/>
        <v>146178.77777777825</v>
      </c>
      <c r="L122" s="42">
        <f t="shared" si="53"/>
        <v>382.33333333333394</v>
      </c>
      <c r="M122" s="43"/>
      <c r="N122" s="42">
        <f t="shared" si="54"/>
        <v>9367.5</v>
      </c>
      <c r="O122" s="42">
        <f t="shared" si="56"/>
        <v>-139.5</v>
      </c>
      <c r="P122" s="42">
        <f t="shared" si="57"/>
        <v>19460.25</v>
      </c>
      <c r="Q122" s="42">
        <f t="shared" si="55"/>
        <v>139.5</v>
      </c>
      <c r="R122" s="43"/>
      <c r="S122" s="42">
        <f t="shared" si="58"/>
        <v>9460</v>
      </c>
      <c r="T122" s="42">
        <f t="shared" si="60"/>
        <v>-232</v>
      </c>
      <c r="U122" s="42">
        <f t="shared" si="61"/>
        <v>53824</v>
      </c>
      <c r="V122" s="42">
        <f t="shared" si="59"/>
        <v>232</v>
      </c>
      <c r="W122" s="43"/>
      <c r="X122" s="42">
        <f t="shared" si="62"/>
        <v>9559</v>
      </c>
      <c r="Y122" s="42">
        <f t="shared" si="64"/>
        <v>-331</v>
      </c>
      <c r="Z122" s="42">
        <f t="shared" si="65"/>
        <v>109561</v>
      </c>
      <c r="AA122" s="42">
        <f t="shared" si="63"/>
        <v>331</v>
      </c>
      <c r="AB122" s="43"/>
      <c r="AC122" s="42">
        <f t="shared" si="66"/>
        <v>9445.5714285714294</v>
      </c>
      <c r="AD122" s="42">
        <f t="shared" si="68"/>
        <v>-217.57142857142935</v>
      </c>
      <c r="AE122" s="42">
        <f t="shared" si="69"/>
        <v>47337.326530612583</v>
      </c>
      <c r="AF122" s="42">
        <f t="shared" si="67"/>
        <v>217.57142857142935</v>
      </c>
      <c r="AG122" s="43"/>
      <c r="AH122" s="42">
        <f t="shared" si="70"/>
        <v>9376.625</v>
      </c>
      <c r="AI122" s="42">
        <f t="shared" si="73"/>
        <v>-148.625</v>
      </c>
      <c r="AJ122" s="42">
        <f t="shared" si="71"/>
        <v>22089.390625</v>
      </c>
      <c r="AK122" s="42">
        <f t="shared" si="72"/>
        <v>148.625</v>
      </c>
      <c r="AL122" s="43"/>
      <c r="AM122" s="42">
        <f t="shared" si="74"/>
        <v>9102.8888888888887</v>
      </c>
      <c r="AN122" s="42">
        <f t="shared" si="77"/>
        <v>125.11111111111131</v>
      </c>
      <c r="AO122" s="42">
        <f t="shared" si="75"/>
        <v>15652.79012345684</v>
      </c>
      <c r="AP122" s="42">
        <f t="shared" si="76"/>
        <v>125.11111111111131</v>
      </c>
      <c r="AQ122" s="43"/>
      <c r="AR122" s="42">
        <f t="shared" si="78"/>
        <v>8815</v>
      </c>
      <c r="AS122" s="42">
        <f t="shared" si="79"/>
        <v>413</v>
      </c>
      <c r="AT122" s="42">
        <f t="shared" si="80"/>
        <v>170569</v>
      </c>
      <c r="AU122" s="42">
        <f t="shared" si="89"/>
        <v>413</v>
      </c>
      <c r="AV122" s="43"/>
      <c r="AW122" s="42">
        <f t="shared" si="81"/>
        <v>8829.181818181818</v>
      </c>
      <c r="AX122" s="42">
        <f t="shared" si="84"/>
        <v>398.81818181818198</v>
      </c>
      <c r="AY122" s="42">
        <f t="shared" si="82"/>
        <v>159055.94214876046</v>
      </c>
      <c r="AZ122" s="42">
        <f t="shared" si="83"/>
        <v>398.81818181818198</v>
      </c>
      <c r="BA122" s="43"/>
      <c r="BB122" s="44">
        <f t="shared" si="90"/>
        <v>8772.5833333333339</v>
      </c>
      <c r="BC122" s="42">
        <f t="shared" si="87"/>
        <v>455.41666666666606</v>
      </c>
      <c r="BD122" s="42">
        <f t="shared" si="85"/>
        <v>207404.34027777723</v>
      </c>
      <c r="BE122" s="42">
        <f t="shared" si="86"/>
        <v>455.41666666666606</v>
      </c>
    </row>
    <row r="123" spans="1:57" ht="18" x14ac:dyDescent="0.2">
      <c r="A123" s="7">
        <v>41974</v>
      </c>
      <c r="B123" s="17">
        <v>11479</v>
      </c>
      <c r="D123" s="42">
        <f t="shared" si="91"/>
        <v>8565.5</v>
      </c>
      <c r="E123" s="42">
        <f t="shared" si="88"/>
        <v>2913.5</v>
      </c>
      <c r="F123" s="42">
        <f t="shared" si="48"/>
        <v>8488482.25</v>
      </c>
      <c r="G123" s="42">
        <f t="shared" si="49"/>
        <v>2913.5</v>
      </c>
      <c r="H123" s="43"/>
      <c r="I123" s="42">
        <f t="shared" si="50"/>
        <v>8318.3333333333339</v>
      </c>
      <c r="J123" s="42">
        <f t="shared" si="51"/>
        <v>3160.6666666666661</v>
      </c>
      <c r="K123" s="42">
        <f t="shared" si="52"/>
        <v>9989813.7777777743</v>
      </c>
      <c r="L123" s="42">
        <f t="shared" si="53"/>
        <v>3160.6666666666661</v>
      </c>
      <c r="M123" s="43"/>
      <c r="N123" s="42">
        <f t="shared" si="54"/>
        <v>8941.25</v>
      </c>
      <c r="O123" s="42">
        <f t="shared" si="56"/>
        <v>2537.75</v>
      </c>
      <c r="P123" s="42">
        <f t="shared" si="57"/>
        <v>6440175.0625</v>
      </c>
      <c r="Q123" s="42">
        <f t="shared" si="55"/>
        <v>2537.75</v>
      </c>
      <c r="R123" s="43"/>
      <c r="S123" s="42">
        <f t="shared" si="58"/>
        <v>9339.6</v>
      </c>
      <c r="T123" s="42">
        <f t="shared" si="60"/>
        <v>2139.3999999999996</v>
      </c>
      <c r="U123" s="42">
        <f t="shared" si="61"/>
        <v>4577032.3599999985</v>
      </c>
      <c r="V123" s="42">
        <f t="shared" si="59"/>
        <v>2139.3999999999996</v>
      </c>
      <c r="W123" s="43"/>
      <c r="X123" s="42">
        <f t="shared" si="62"/>
        <v>9421.3333333333339</v>
      </c>
      <c r="Y123" s="42">
        <f t="shared" si="64"/>
        <v>2057.6666666666661</v>
      </c>
      <c r="Z123" s="42">
        <f t="shared" si="65"/>
        <v>4233992.1111111082</v>
      </c>
      <c r="AA123" s="42">
        <f t="shared" si="63"/>
        <v>2057.6666666666661</v>
      </c>
      <c r="AB123" s="43"/>
      <c r="AC123" s="42">
        <f t="shared" si="66"/>
        <v>9511.7142857142862</v>
      </c>
      <c r="AD123" s="42">
        <f t="shared" si="68"/>
        <v>1967.2857142857138</v>
      </c>
      <c r="AE123" s="42">
        <f t="shared" si="69"/>
        <v>3870213.0816326509</v>
      </c>
      <c r="AF123" s="42">
        <f t="shared" si="67"/>
        <v>1967.2857142857138</v>
      </c>
      <c r="AG123" s="43"/>
      <c r="AH123" s="42">
        <f t="shared" si="70"/>
        <v>9418.375</v>
      </c>
      <c r="AI123" s="42">
        <f t="shared" si="73"/>
        <v>2060.625</v>
      </c>
      <c r="AJ123" s="42">
        <f t="shared" si="71"/>
        <v>4246175.390625</v>
      </c>
      <c r="AK123" s="42">
        <f t="shared" si="72"/>
        <v>2060.625</v>
      </c>
      <c r="AL123" s="43"/>
      <c r="AM123" s="42">
        <f t="shared" si="74"/>
        <v>9360.1111111111113</v>
      </c>
      <c r="AN123" s="42">
        <f t="shared" si="77"/>
        <v>2118.8888888888887</v>
      </c>
      <c r="AO123" s="42">
        <f t="shared" si="75"/>
        <v>4489690.1234567892</v>
      </c>
      <c r="AP123" s="42">
        <f t="shared" si="76"/>
        <v>2118.8888888888887</v>
      </c>
      <c r="AQ123" s="43"/>
      <c r="AR123" s="42">
        <f t="shared" si="78"/>
        <v>9115.4</v>
      </c>
      <c r="AS123" s="42">
        <f t="shared" si="79"/>
        <v>2363.6000000000004</v>
      </c>
      <c r="AT123" s="42">
        <f t="shared" si="80"/>
        <v>5586604.9600000018</v>
      </c>
      <c r="AU123" s="42">
        <f t="shared" si="89"/>
        <v>2363.6000000000004</v>
      </c>
      <c r="AV123" s="43"/>
      <c r="AW123" s="42">
        <f t="shared" si="81"/>
        <v>8852.545454545454</v>
      </c>
      <c r="AX123" s="42">
        <f t="shared" si="84"/>
        <v>2626.454545454546</v>
      </c>
      <c r="AY123" s="42">
        <f t="shared" si="82"/>
        <v>6898263.4793388452</v>
      </c>
      <c r="AZ123" s="42">
        <f t="shared" si="83"/>
        <v>2626.454545454546</v>
      </c>
      <c r="BA123" s="43"/>
      <c r="BB123" s="44">
        <f t="shared" si="90"/>
        <v>8862.4166666666661</v>
      </c>
      <c r="BC123" s="42">
        <f t="shared" si="87"/>
        <v>2616.5833333333339</v>
      </c>
      <c r="BD123" s="42">
        <f t="shared" si="85"/>
        <v>6846508.3402777808</v>
      </c>
      <c r="BE123" s="42">
        <f t="shared" si="86"/>
        <v>2616.5833333333339</v>
      </c>
    </row>
    <row r="124" spans="1:57" ht="18" x14ac:dyDescent="0.2">
      <c r="A124" s="7">
        <v>42005</v>
      </c>
      <c r="B124" s="17">
        <v>12315</v>
      </c>
      <c r="D124" s="42">
        <f t="shared" si="91"/>
        <v>10353.5</v>
      </c>
      <c r="E124" s="42">
        <f t="shared" si="88"/>
        <v>1961.5</v>
      </c>
      <c r="F124" s="42">
        <f t="shared" si="48"/>
        <v>3847482.25</v>
      </c>
      <c r="G124" s="42">
        <f t="shared" si="49"/>
        <v>1961.5</v>
      </c>
      <c r="H124" s="43"/>
      <c r="I124" s="42">
        <f t="shared" si="50"/>
        <v>9536.6666666666661</v>
      </c>
      <c r="J124" s="42">
        <f t="shared" si="51"/>
        <v>2778.3333333333339</v>
      </c>
      <c r="K124" s="42">
        <f t="shared" si="52"/>
        <v>7719136.1111111147</v>
      </c>
      <c r="L124" s="42">
        <f t="shared" si="53"/>
        <v>2778.3333333333339</v>
      </c>
      <c r="M124" s="43"/>
      <c r="N124" s="42">
        <f t="shared" si="54"/>
        <v>9108.5</v>
      </c>
      <c r="O124" s="42">
        <f t="shared" si="56"/>
        <v>3206.5</v>
      </c>
      <c r="P124" s="42">
        <f t="shared" si="57"/>
        <v>10281642.25</v>
      </c>
      <c r="Q124" s="42">
        <f t="shared" si="55"/>
        <v>3206.5</v>
      </c>
      <c r="R124" s="43"/>
      <c r="S124" s="42">
        <f t="shared" si="58"/>
        <v>9448.7999999999993</v>
      </c>
      <c r="T124" s="42">
        <f t="shared" si="60"/>
        <v>2866.2000000000007</v>
      </c>
      <c r="U124" s="42">
        <f t="shared" si="61"/>
        <v>8215102.4400000041</v>
      </c>
      <c r="V124" s="42">
        <f t="shared" si="59"/>
        <v>2866.2000000000007</v>
      </c>
      <c r="W124" s="43"/>
      <c r="X124" s="42">
        <f t="shared" si="62"/>
        <v>9696.1666666666661</v>
      </c>
      <c r="Y124" s="42">
        <f t="shared" si="64"/>
        <v>2618.8333333333339</v>
      </c>
      <c r="Z124" s="42">
        <f t="shared" si="65"/>
        <v>6858288.0277777808</v>
      </c>
      <c r="AA124" s="42">
        <f t="shared" si="63"/>
        <v>2618.8333333333339</v>
      </c>
      <c r="AB124" s="43"/>
      <c r="AC124" s="42">
        <f t="shared" si="66"/>
        <v>9715.2857142857138</v>
      </c>
      <c r="AD124" s="42">
        <f t="shared" si="68"/>
        <v>2599.7142857142862</v>
      </c>
      <c r="AE124" s="42">
        <f t="shared" si="69"/>
        <v>6758514.3673469415</v>
      </c>
      <c r="AF124" s="42">
        <f t="shared" si="67"/>
        <v>2599.7142857142862</v>
      </c>
      <c r="AG124" s="43"/>
      <c r="AH124" s="42">
        <f t="shared" si="70"/>
        <v>9757.625</v>
      </c>
      <c r="AI124" s="42">
        <f t="shared" si="73"/>
        <v>2557.375</v>
      </c>
      <c r="AJ124" s="42">
        <f t="shared" si="71"/>
        <v>6540166.890625</v>
      </c>
      <c r="AK124" s="42">
        <f t="shared" si="72"/>
        <v>2557.375</v>
      </c>
      <c r="AL124" s="43"/>
      <c r="AM124" s="42">
        <f t="shared" si="74"/>
        <v>9647.3333333333339</v>
      </c>
      <c r="AN124" s="42">
        <f t="shared" si="77"/>
        <v>2667.6666666666661</v>
      </c>
      <c r="AO124" s="42">
        <f t="shared" si="75"/>
        <v>7116445.4444444412</v>
      </c>
      <c r="AP124" s="42">
        <f t="shared" si="76"/>
        <v>2667.6666666666661</v>
      </c>
      <c r="AQ124" s="43"/>
      <c r="AR124" s="42">
        <f t="shared" si="78"/>
        <v>9572</v>
      </c>
      <c r="AS124" s="42">
        <f t="shared" si="79"/>
        <v>2743</v>
      </c>
      <c r="AT124" s="42">
        <f t="shared" si="80"/>
        <v>7524049</v>
      </c>
      <c r="AU124" s="42">
        <f t="shared" si="89"/>
        <v>2743</v>
      </c>
      <c r="AV124" s="43"/>
      <c r="AW124" s="42">
        <f t="shared" si="81"/>
        <v>9330.2727272727279</v>
      </c>
      <c r="AX124" s="42">
        <f t="shared" si="84"/>
        <v>2984.7272727272721</v>
      </c>
      <c r="AY124" s="42">
        <f t="shared" si="82"/>
        <v>8908596.8925619796</v>
      </c>
      <c r="AZ124" s="42">
        <f t="shared" si="83"/>
        <v>2984.7272727272721</v>
      </c>
      <c r="BA124" s="43"/>
      <c r="BB124" s="44">
        <f t="shared" si="90"/>
        <v>9071.4166666666661</v>
      </c>
      <c r="BC124" s="42">
        <f t="shared" si="87"/>
        <v>3243.5833333333339</v>
      </c>
      <c r="BD124" s="42">
        <f t="shared" si="85"/>
        <v>10520832.840277782</v>
      </c>
      <c r="BE124" s="42">
        <f t="shared" si="86"/>
        <v>3243.5833333333339</v>
      </c>
    </row>
    <row r="125" spans="1:57" ht="18" x14ac:dyDescent="0.2">
      <c r="A125" s="7">
        <v>42036</v>
      </c>
      <c r="B125" s="17">
        <v>12629</v>
      </c>
      <c r="D125" s="42">
        <f t="shared" si="91"/>
        <v>11897</v>
      </c>
      <c r="E125" s="42">
        <f t="shared" si="88"/>
        <v>732</v>
      </c>
      <c r="F125" s="42">
        <f t="shared" si="48"/>
        <v>535824</v>
      </c>
      <c r="G125" s="42">
        <f t="shared" si="49"/>
        <v>732</v>
      </c>
      <c r="H125" s="43"/>
      <c r="I125" s="42">
        <f t="shared" si="50"/>
        <v>11007.333333333334</v>
      </c>
      <c r="J125" s="42">
        <f t="shared" si="51"/>
        <v>1621.6666666666661</v>
      </c>
      <c r="K125" s="42">
        <f t="shared" si="52"/>
        <v>2629802.7777777757</v>
      </c>
      <c r="L125" s="42">
        <f t="shared" si="53"/>
        <v>1621.6666666666661</v>
      </c>
      <c r="M125" s="43"/>
      <c r="N125" s="42">
        <f t="shared" si="54"/>
        <v>10231.25</v>
      </c>
      <c r="O125" s="42">
        <f t="shared" si="56"/>
        <v>2397.75</v>
      </c>
      <c r="P125" s="42">
        <f t="shared" si="57"/>
        <v>5749205.0625</v>
      </c>
      <c r="Q125" s="42">
        <f t="shared" si="55"/>
        <v>2397.75</v>
      </c>
      <c r="R125" s="43"/>
      <c r="S125" s="42">
        <f t="shared" si="58"/>
        <v>9749.7999999999993</v>
      </c>
      <c r="T125" s="42">
        <f t="shared" si="60"/>
        <v>2879.2000000000007</v>
      </c>
      <c r="U125" s="42">
        <f t="shared" si="61"/>
        <v>8289792.6400000043</v>
      </c>
      <c r="V125" s="42">
        <f t="shared" si="59"/>
        <v>2879.2000000000007</v>
      </c>
      <c r="W125" s="43"/>
      <c r="X125" s="42">
        <f t="shared" si="62"/>
        <v>9926.5</v>
      </c>
      <c r="Y125" s="42">
        <f t="shared" si="64"/>
        <v>2702.5</v>
      </c>
      <c r="Z125" s="42">
        <f t="shared" si="65"/>
        <v>7303506.25</v>
      </c>
      <c r="AA125" s="42">
        <f t="shared" si="63"/>
        <v>2702.5</v>
      </c>
      <c r="AB125" s="43"/>
      <c r="AC125" s="42">
        <f t="shared" si="66"/>
        <v>10070.285714285714</v>
      </c>
      <c r="AD125" s="42">
        <f t="shared" si="68"/>
        <v>2558.7142857142862</v>
      </c>
      <c r="AE125" s="42">
        <f t="shared" si="69"/>
        <v>6547018.7959183697</v>
      </c>
      <c r="AF125" s="42">
        <f t="shared" si="67"/>
        <v>2558.7142857142862</v>
      </c>
      <c r="AG125" s="43"/>
      <c r="AH125" s="42">
        <f t="shared" si="70"/>
        <v>10040.25</v>
      </c>
      <c r="AI125" s="42">
        <f t="shared" si="73"/>
        <v>2588.75</v>
      </c>
      <c r="AJ125" s="42">
        <f t="shared" si="71"/>
        <v>6701626.5625</v>
      </c>
      <c r="AK125" s="42">
        <f t="shared" si="72"/>
        <v>2588.75</v>
      </c>
      <c r="AL125" s="43"/>
      <c r="AM125" s="42">
        <f t="shared" si="74"/>
        <v>10041.777777777777</v>
      </c>
      <c r="AN125" s="42">
        <f t="shared" si="77"/>
        <v>2587.2222222222226</v>
      </c>
      <c r="AO125" s="42">
        <f t="shared" si="75"/>
        <v>6693718.8271604963</v>
      </c>
      <c r="AP125" s="42">
        <f t="shared" si="76"/>
        <v>2587.2222222222226</v>
      </c>
      <c r="AQ125" s="43"/>
      <c r="AR125" s="42">
        <f t="shared" si="78"/>
        <v>9914.1</v>
      </c>
      <c r="AS125" s="42">
        <f t="shared" si="79"/>
        <v>2714.8999999999996</v>
      </c>
      <c r="AT125" s="42">
        <f t="shared" si="80"/>
        <v>7370682.0099999979</v>
      </c>
      <c r="AU125" s="42">
        <f t="shared" si="89"/>
        <v>2714.8999999999996</v>
      </c>
      <c r="AV125" s="43"/>
      <c r="AW125" s="42">
        <f t="shared" si="81"/>
        <v>9821.363636363636</v>
      </c>
      <c r="AX125" s="42">
        <f t="shared" si="84"/>
        <v>2807.636363636364</v>
      </c>
      <c r="AY125" s="42">
        <f t="shared" si="82"/>
        <v>7882821.9504132252</v>
      </c>
      <c r="AZ125" s="42">
        <f t="shared" si="83"/>
        <v>2807.636363636364</v>
      </c>
      <c r="BA125" s="43"/>
      <c r="BB125" s="44">
        <f t="shared" si="90"/>
        <v>9579</v>
      </c>
      <c r="BC125" s="42">
        <f t="shared" si="87"/>
        <v>3050</v>
      </c>
      <c r="BD125" s="42">
        <f t="shared" si="85"/>
        <v>9302500</v>
      </c>
      <c r="BE125" s="42">
        <f t="shared" si="86"/>
        <v>3050</v>
      </c>
    </row>
    <row r="126" spans="1:57" ht="18" x14ac:dyDescent="0.2">
      <c r="A126" s="7">
        <v>42064</v>
      </c>
      <c r="B126" s="17">
        <v>11937</v>
      </c>
      <c r="D126" s="42">
        <f t="shared" si="91"/>
        <v>12472</v>
      </c>
      <c r="E126" s="42">
        <f t="shared" si="88"/>
        <v>-535</v>
      </c>
      <c r="F126" s="42">
        <f t="shared" si="48"/>
        <v>286225</v>
      </c>
      <c r="G126" s="42">
        <f t="shared" si="49"/>
        <v>535</v>
      </c>
      <c r="H126" s="43"/>
      <c r="I126" s="42">
        <f t="shared" si="50"/>
        <v>12141</v>
      </c>
      <c r="J126" s="42">
        <f t="shared" si="51"/>
        <v>-204</v>
      </c>
      <c r="K126" s="42">
        <f t="shared" si="52"/>
        <v>41616</v>
      </c>
      <c r="L126" s="42">
        <f t="shared" si="53"/>
        <v>204</v>
      </c>
      <c r="M126" s="43"/>
      <c r="N126" s="42">
        <f t="shared" si="54"/>
        <v>11412.75</v>
      </c>
      <c r="O126" s="42">
        <f t="shared" si="56"/>
        <v>524.25</v>
      </c>
      <c r="P126" s="42">
        <f t="shared" si="57"/>
        <v>274838.0625</v>
      </c>
      <c r="Q126" s="42">
        <f t="shared" si="55"/>
        <v>524.25</v>
      </c>
      <c r="R126" s="43"/>
      <c r="S126" s="42">
        <f t="shared" si="58"/>
        <v>10710.8</v>
      </c>
      <c r="T126" s="42">
        <f t="shared" si="60"/>
        <v>1226.2000000000007</v>
      </c>
      <c r="U126" s="42">
        <f t="shared" si="61"/>
        <v>1503566.4400000018</v>
      </c>
      <c r="V126" s="42">
        <f t="shared" si="59"/>
        <v>1226.2000000000007</v>
      </c>
      <c r="W126" s="43"/>
      <c r="X126" s="42">
        <f t="shared" si="62"/>
        <v>10229.666666666666</v>
      </c>
      <c r="Y126" s="42">
        <f t="shared" si="64"/>
        <v>1707.3333333333339</v>
      </c>
      <c r="Z126" s="42">
        <f t="shared" si="65"/>
        <v>2914987.1111111133</v>
      </c>
      <c r="AA126" s="42">
        <f t="shared" si="63"/>
        <v>1707.3333333333339</v>
      </c>
      <c r="AB126" s="43"/>
      <c r="AC126" s="42">
        <f t="shared" si="66"/>
        <v>10312.571428571429</v>
      </c>
      <c r="AD126" s="42">
        <f t="shared" si="68"/>
        <v>1624.4285714285706</v>
      </c>
      <c r="AE126" s="42">
        <f t="shared" si="69"/>
        <v>2638768.183673467</v>
      </c>
      <c r="AF126" s="42">
        <f t="shared" si="67"/>
        <v>1624.4285714285706</v>
      </c>
      <c r="AG126" s="43"/>
      <c r="AH126" s="42">
        <f t="shared" si="70"/>
        <v>10390.125</v>
      </c>
      <c r="AI126" s="42">
        <f t="shared" si="73"/>
        <v>1546.875</v>
      </c>
      <c r="AJ126" s="42">
        <f t="shared" si="71"/>
        <v>2392822.265625</v>
      </c>
      <c r="AK126" s="42">
        <f t="shared" si="72"/>
        <v>1546.875</v>
      </c>
      <c r="AL126" s="43"/>
      <c r="AM126" s="42">
        <f t="shared" si="74"/>
        <v>10327.888888888889</v>
      </c>
      <c r="AN126" s="42">
        <f t="shared" si="77"/>
        <v>1609.1111111111113</v>
      </c>
      <c r="AO126" s="42">
        <f t="shared" si="75"/>
        <v>2589238.5679012351</v>
      </c>
      <c r="AP126" s="42">
        <f t="shared" si="76"/>
        <v>1609.1111111111113</v>
      </c>
      <c r="AQ126" s="43"/>
      <c r="AR126" s="42">
        <f t="shared" si="78"/>
        <v>10300.5</v>
      </c>
      <c r="AS126" s="42">
        <f t="shared" si="79"/>
        <v>1636.5</v>
      </c>
      <c r="AT126" s="42">
        <f t="shared" si="80"/>
        <v>2678132.25</v>
      </c>
      <c r="AU126" s="42">
        <f t="shared" si="89"/>
        <v>1636.5</v>
      </c>
      <c r="AV126" s="43"/>
      <c r="AW126" s="42">
        <f t="shared" si="81"/>
        <v>10160.90909090909</v>
      </c>
      <c r="AX126" s="42">
        <f t="shared" si="84"/>
        <v>1776.0909090909099</v>
      </c>
      <c r="AY126" s="42">
        <f t="shared" si="82"/>
        <v>3154498.9173553749</v>
      </c>
      <c r="AZ126" s="42">
        <f t="shared" si="83"/>
        <v>1776.0909090909099</v>
      </c>
      <c r="BA126" s="43"/>
      <c r="BB126" s="44">
        <f t="shared" si="90"/>
        <v>10055.333333333334</v>
      </c>
      <c r="BC126" s="42">
        <f t="shared" si="87"/>
        <v>1881.6666666666661</v>
      </c>
      <c r="BD126" s="42">
        <f t="shared" si="85"/>
        <v>3540669.4444444422</v>
      </c>
      <c r="BE126" s="42">
        <f t="shared" si="86"/>
        <v>1881.6666666666661</v>
      </c>
    </row>
    <row r="127" spans="1:57" ht="18" x14ac:dyDescent="0.2">
      <c r="A127" s="7">
        <v>42095</v>
      </c>
      <c r="B127" s="17">
        <v>11222</v>
      </c>
      <c r="D127" s="42">
        <f t="shared" si="91"/>
        <v>12283</v>
      </c>
      <c r="E127" s="42">
        <f t="shared" si="88"/>
        <v>-1061</v>
      </c>
      <c r="F127" s="42">
        <f t="shared" si="48"/>
        <v>1125721</v>
      </c>
      <c r="G127" s="42">
        <f t="shared" si="49"/>
        <v>1061</v>
      </c>
      <c r="H127" s="43"/>
      <c r="I127" s="42">
        <f t="shared" si="50"/>
        <v>12293.666666666666</v>
      </c>
      <c r="J127" s="42">
        <f t="shared" si="51"/>
        <v>-1071.6666666666661</v>
      </c>
      <c r="K127" s="42">
        <f t="shared" si="52"/>
        <v>1148469.4444444431</v>
      </c>
      <c r="L127" s="42">
        <f t="shared" si="53"/>
        <v>1071.6666666666661</v>
      </c>
      <c r="M127" s="43"/>
      <c r="N127" s="42">
        <f t="shared" si="54"/>
        <v>12090</v>
      </c>
      <c r="O127" s="42">
        <f t="shared" si="56"/>
        <v>-868</v>
      </c>
      <c r="P127" s="42">
        <f t="shared" si="57"/>
        <v>753424</v>
      </c>
      <c r="Q127" s="42">
        <f t="shared" si="55"/>
        <v>868</v>
      </c>
      <c r="R127" s="43"/>
      <c r="S127" s="42">
        <f t="shared" si="58"/>
        <v>11517.6</v>
      </c>
      <c r="T127" s="42">
        <f t="shared" si="60"/>
        <v>-295.60000000000036</v>
      </c>
      <c r="U127" s="42">
        <f t="shared" si="61"/>
        <v>87379.360000000219</v>
      </c>
      <c r="V127" s="42">
        <f t="shared" si="59"/>
        <v>295.60000000000036</v>
      </c>
      <c r="W127" s="43"/>
      <c r="X127" s="42">
        <f t="shared" si="62"/>
        <v>10915.166666666666</v>
      </c>
      <c r="Y127" s="42">
        <f t="shared" si="64"/>
        <v>306.83333333333394</v>
      </c>
      <c r="Z127" s="42">
        <f t="shared" si="65"/>
        <v>94146.694444444816</v>
      </c>
      <c r="AA127" s="42">
        <f t="shared" si="63"/>
        <v>306.83333333333394</v>
      </c>
      <c r="AB127" s="43"/>
      <c r="AC127" s="42">
        <f t="shared" si="66"/>
        <v>10473.571428571429</v>
      </c>
      <c r="AD127" s="42">
        <f t="shared" si="68"/>
        <v>748.42857142857065</v>
      </c>
      <c r="AE127" s="42">
        <f t="shared" si="69"/>
        <v>560145.32653061103</v>
      </c>
      <c r="AF127" s="42">
        <f t="shared" si="67"/>
        <v>748.42857142857065</v>
      </c>
      <c r="AG127" s="43"/>
      <c r="AH127" s="42">
        <f t="shared" si="70"/>
        <v>10515.625</v>
      </c>
      <c r="AI127" s="42">
        <f t="shared" si="73"/>
        <v>706.375</v>
      </c>
      <c r="AJ127" s="42">
        <f t="shared" si="71"/>
        <v>498965.640625</v>
      </c>
      <c r="AK127" s="42">
        <f t="shared" si="72"/>
        <v>706.375</v>
      </c>
      <c r="AL127" s="43"/>
      <c r="AM127" s="42">
        <f t="shared" si="74"/>
        <v>10562</v>
      </c>
      <c r="AN127" s="42">
        <f t="shared" si="77"/>
        <v>660</v>
      </c>
      <c r="AO127" s="42">
        <f t="shared" si="75"/>
        <v>435600</v>
      </c>
      <c r="AP127" s="42">
        <f t="shared" si="76"/>
        <v>660</v>
      </c>
      <c r="AQ127" s="43"/>
      <c r="AR127" s="42">
        <f t="shared" si="78"/>
        <v>10488.8</v>
      </c>
      <c r="AS127" s="42">
        <f t="shared" si="79"/>
        <v>733.20000000000073</v>
      </c>
      <c r="AT127" s="42">
        <f t="shared" si="80"/>
        <v>537582.24000000104</v>
      </c>
      <c r="AU127" s="42">
        <f t="shared" si="89"/>
        <v>733.20000000000073</v>
      </c>
      <c r="AV127" s="43"/>
      <c r="AW127" s="42">
        <f t="shared" si="81"/>
        <v>10449.272727272728</v>
      </c>
      <c r="AX127" s="42">
        <f t="shared" si="84"/>
        <v>772.72727272727207</v>
      </c>
      <c r="AY127" s="42">
        <f t="shared" si="82"/>
        <v>597107.43801652791</v>
      </c>
      <c r="AZ127" s="42">
        <f t="shared" si="83"/>
        <v>772.72727272727207</v>
      </c>
      <c r="BA127" s="43"/>
      <c r="BB127" s="44">
        <f t="shared" si="90"/>
        <v>10308.916666666666</v>
      </c>
      <c r="BC127" s="42">
        <f t="shared" si="87"/>
        <v>913.08333333333394</v>
      </c>
      <c r="BD127" s="42">
        <f t="shared" si="85"/>
        <v>833721.17361111217</v>
      </c>
      <c r="BE127" s="42">
        <f t="shared" si="86"/>
        <v>913.08333333333394</v>
      </c>
    </row>
    <row r="128" spans="1:57" ht="18" x14ac:dyDescent="0.2">
      <c r="A128" s="7">
        <v>42125</v>
      </c>
      <c r="B128" s="17">
        <v>11760</v>
      </c>
      <c r="D128" s="42">
        <f t="shared" si="91"/>
        <v>11579.5</v>
      </c>
      <c r="E128" s="42">
        <f t="shared" si="88"/>
        <v>180.5</v>
      </c>
      <c r="F128" s="42">
        <f t="shared" si="48"/>
        <v>32580.25</v>
      </c>
      <c r="G128" s="42">
        <f t="shared" si="49"/>
        <v>180.5</v>
      </c>
      <c r="H128" s="43"/>
      <c r="I128" s="42">
        <f t="shared" si="50"/>
        <v>11929.333333333334</v>
      </c>
      <c r="J128" s="42">
        <f t="shared" si="51"/>
        <v>-169.33333333333394</v>
      </c>
      <c r="K128" s="42">
        <f t="shared" si="52"/>
        <v>28673.777777777985</v>
      </c>
      <c r="L128" s="42">
        <f t="shared" si="53"/>
        <v>169.33333333333394</v>
      </c>
      <c r="M128" s="43"/>
      <c r="N128" s="42">
        <f t="shared" si="54"/>
        <v>12025.75</v>
      </c>
      <c r="O128" s="42">
        <f t="shared" si="56"/>
        <v>-265.75</v>
      </c>
      <c r="P128" s="42">
        <f t="shared" si="57"/>
        <v>70623.0625</v>
      </c>
      <c r="Q128" s="42">
        <f t="shared" si="55"/>
        <v>265.75</v>
      </c>
      <c r="R128" s="43"/>
      <c r="S128" s="42">
        <f t="shared" si="58"/>
        <v>11916.4</v>
      </c>
      <c r="T128" s="42">
        <f t="shared" si="60"/>
        <v>-156.39999999999964</v>
      </c>
      <c r="U128" s="42">
        <f t="shared" si="61"/>
        <v>24460.959999999886</v>
      </c>
      <c r="V128" s="42">
        <f t="shared" si="59"/>
        <v>156.39999999999964</v>
      </c>
      <c r="W128" s="43"/>
      <c r="X128" s="42">
        <f t="shared" si="62"/>
        <v>11468.333333333334</v>
      </c>
      <c r="Y128" s="42">
        <f t="shared" si="64"/>
        <v>291.66666666666606</v>
      </c>
      <c r="Z128" s="42">
        <f t="shared" si="65"/>
        <v>85069.444444444089</v>
      </c>
      <c r="AA128" s="42">
        <f t="shared" si="63"/>
        <v>291.66666666666606</v>
      </c>
      <c r="AB128" s="43"/>
      <c r="AC128" s="42">
        <f t="shared" si="66"/>
        <v>10959</v>
      </c>
      <c r="AD128" s="42">
        <f t="shared" si="68"/>
        <v>801</v>
      </c>
      <c r="AE128" s="42">
        <f t="shared" si="69"/>
        <v>641601</v>
      </c>
      <c r="AF128" s="42">
        <f t="shared" si="67"/>
        <v>801</v>
      </c>
      <c r="AG128" s="43"/>
      <c r="AH128" s="42">
        <f t="shared" si="70"/>
        <v>10567.125</v>
      </c>
      <c r="AI128" s="42">
        <f t="shared" si="73"/>
        <v>1192.875</v>
      </c>
      <c r="AJ128" s="42">
        <f t="shared" si="71"/>
        <v>1422950.765625</v>
      </c>
      <c r="AK128" s="42">
        <f t="shared" si="72"/>
        <v>1192.875</v>
      </c>
      <c r="AL128" s="43"/>
      <c r="AM128" s="42">
        <f t="shared" si="74"/>
        <v>10594.111111111111</v>
      </c>
      <c r="AN128" s="42">
        <f t="shared" si="77"/>
        <v>1165.8888888888887</v>
      </c>
      <c r="AO128" s="42">
        <f t="shared" si="75"/>
        <v>1359296.9012345674</v>
      </c>
      <c r="AP128" s="42">
        <f t="shared" si="76"/>
        <v>1165.8888888888887</v>
      </c>
      <c r="AQ128" s="43"/>
      <c r="AR128" s="42">
        <f t="shared" si="78"/>
        <v>10628</v>
      </c>
      <c r="AS128" s="42">
        <f t="shared" si="79"/>
        <v>1132</v>
      </c>
      <c r="AT128" s="42">
        <f t="shared" si="80"/>
        <v>1281424</v>
      </c>
      <c r="AU128" s="42">
        <f t="shared" si="89"/>
        <v>1132</v>
      </c>
      <c r="AV128" s="43"/>
      <c r="AW128" s="42">
        <f t="shared" si="81"/>
        <v>10555.454545454546</v>
      </c>
      <c r="AX128" s="42">
        <f t="shared" si="84"/>
        <v>1204.545454545454</v>
      </c>
      <c r="AY128" s="42">
        <f t="shared" si="82"/>
        <v>1450929.7520661145</v>
      </c>
      <c r="AZ128" s="42">
        <f t="shared" si="83"/>
        <v>1204.545454545454</v>
      </c>
      <c r="BA128" s="43"/>
      <c r="BB128" s="44">
        <f t="shared" si="90"/>
        <v>10513.666666666666</v>
      </c>
      <c r="BC128" s="42">
        <f t="shared" si="87"/>
        <v>1246.3333333333339</v>
      </c>
      <c r="BD128" s="42">
        <f t="shared" si="85"/>
        <v>1553346.7777777794</v>
      </c>
      <c r="BE128" s="42">
        <f t="shared" si="86"/>
        <v>1246.3333333333339</v>
      </c>
    </row>
    <row r="129" spans="1:57" ht="18" x14ac:dyDescent="0.2">
      <c r="A129" s="7">
        <v>42156</v>
      </c>
      <c r="B129" s="17">
        <v>9093</v>
      </c>
      <c r="D129" s="42">
        <f t="shared" si="91"/>
        <v>11491</v>
      </c>
      <c r="E129" s="42">
        <f t="shared" si="88"/>
        <v>-2398</v>
      </c>
      <c r="F129" s="42">
        <f t="shared" si="48"/>
        <v>5750404</v>
      </c>
      <c r="G129" s="42">
        <f t="shared" si="49"/>
        <v>2398</v>
      </c>
      <c r="H129" s="43"/>
      <c r="I129" s="42">
        <f t="shared" si="50"/>
        <v>11639.666666666666</v>
      </c>
      <c r="J129" s="42">
        <f t="shared" si="51"/>
        <v>-2546.6666666666661</v>
      </c>
      <c r="K129" s="42">
        <f t="shared" si="52"/>
        <v>6485511.1111111082</v>
      </c>
      <c r="L129" s="42">
        <f t="shared" si="53"/>
        <v>2546.6666666666661</v>
      </c>
      <c r="M129" s="43"/>
      <c r="N129" s="42">
        <f t="shared" si="54"/>
        <v>11887</v>
      </c>
      <c r="O129" s="42">
        <f t="shared" si="56"/>
        <v>-2794</v>
      </c>
      <c r="P129" s="42">
        <f t="shared" si="57"/>
        <v>7806436</v>
      </c>
      <c r="Q129" s="42">
        <f t="shared" si="55"/>
        <v>2794</v>
      </c>
      <c r="R129" s="43"/>
      <c r="S129" s="42">
        <f t="shared" si="58"/>
        <v>11972.6</v>
      </c>
      <c r="T129" s="42">
        <f t="shared" si="60"/>
        <v>-2879.6000000000004</v>
      </c>
      <c r="U129" s="42">
        <f t="shared" si="61"/>
        <v>8292096.160000002</v>
      </c>
      <c r="V129" s="42">
        <f t="shared" si="59"/>
        <v>2879.6000000000004</v>
      </c>
      <c r="W129" s="43"/>
      <c r="X129" s="42">
        <f t="shared" si="62"/>
        <v>11890.333333333334</v>
      </c>
      <c r="Y129" s="42">
        <f t="shared" si="64"/>
        <v>-2797.3333333333339</v>
      </c>
      <c r="Z129" s="42">
        <f t="shared" si="65"/>
        <v>7825073.7777777808</v>
      </c>
      <c r="AA129" s="42">
        <f t="shared" si="63"/>
        <v>2797.3333333333339</v>
      </c>
      <c r="AB129" s="43"/>
      <c r="AC129" s="42">
        <f t="shared" si="66"/>
        <v>11510</v>
      </c>
      <c r="AD129" s="42">
        <f t="shared" si="68"/>
        <v>-2417</v>
      </c>
      <c r="AE129" s="42">
        <f t="shared" si="69"/>
        <v>5841889</v>
      </c>
      <c r="AF129" s="42">
        <f t="shared" si="67"/>
        <v>2417</v>
      </c>
      <c r="AG129" s="43"/>
      <c r="AH129" s="42">
        <f t="shared" si="70"/>
        <v>11059.125</v>
      </c>
      <c r="AI129" s="42">
        <f t="shared" si="73"/>
        <v>-1966.125</v>
      </c>
      <c r="AJ129" s="42">
        <f t="shared" si="71"/>
        <v>3865647.515625</v>
      </c>
      <c r="AK129" s="42">
        <f t="shared" si="72"/>
        <v>1966.125</v>
      </c>
      <c r="AL129" s="43"/>
      <c r="AM129" s="42">
        <f t="shared" si="74"/>
        <v>10699.666666666666</v>
      </c>
      <c r="AN129" s="42">
        <f t="shared" si="77"/>
        <v>-1606.6666666666661</v>
      </c>
      <c r="AO129" s="42">
        <f t="shared" si="75"/>
        <v>2581377.7777777757</v>
      </c>
      <c r="AP129" s="42">
        <f t="shared" si="76"/>
        <v>1606.6666666666661</v>
      </c>
      <c r="AQ129" s="43"/>
      <c r="AR129" s="42">
        <f t="shared" si="78"/>
        <v>10710.7</v>
      </c>
      <c r="AS129" s="42">
        <f t="shared" si="79"/>
        <v>-1617.7000000000007</v>
      </c>
      <c r="AT129" s="42">
        <f t="shared" si="80"/>
        <v>2616953.2900000024</v>
      </c>
      <c r="AU129" s="42">
        <f t="shared" si="89"/>
        <v>1617.7000000000007</v>
      </c>
      <c r="AV129" s="43"/>
      <c r="AW129" s="42">
        <f t="shared" si="81"/>
        <v>10730.90909090909</v>
      </c>
      <c r="AX129" s="42">
        <f t="shared" si="84"/>
        <v>-1637.9090909090901</v>
      </c>
      <c r="AY129" s="42">
        <f t="shared" si="82"/>
        <v>2682746.1900826418</v>
      </c>
      <c r="AZ129" s="42">
        <f t="shared" si="83"/>
        <v>1637.9090909090901</v>
      </c>
      <c r="BA129" s="43"/>
      <c r="BB129" s="44">
        <f t="shared" si="90"/>
        <v>10655.833333333334</v>
      </c>
      <c r="BC129" s="42">
        <f t="shared" si="87"/>
        <v>-1562.8333333333339</v>
      </c>
      <c r="BD129" s="42">
        <f t="shared" si="85"/>
        <v>2442448.0277777798</v>
      </c>
      <c r="BE129" s="42">
        <f t="shared" si="86"/>
        <v>1562.8333333333339</v>
      </c>
    </row>
    <row r="130" spans="1:57" ht="18" x14ac:dyDescent="0.2">
      <c r="A130" s="7">
        <v>42186</v>
      </c>
      <c r="B130" s="17">
        <v>9584</v>
      </c>
      <c r="D130" s="42">
        <f t="shared" si="91"/>
        <v>10426.5</v>
      </c>
      <c r="E130" s="42">
        <f t="shared" si="88"/>
        <v>-842.5</v>
      </c>
      <c r="F130" s="42">
        <f t="shared" si="48"/>
        <v>709806.25</v>
      </c>
      <c r="G130" s="42">
        <f t="shared" si="49"/>
        <v>842.5</v>
      </c>
      <c r="H130" s="43"/>
      <c r="I130" s="42">
        <f t="shared" si="50"/>
        <v>10691.666666666666</v>
      </c>
      <c r="J130" s="42">
        <f t="shared" si="51"/>
        <v>-1107.6666666666661</v>
      </c>
      <c r="K130" s="42">
        <f t="shared" si="52"/>
        <v>1226925.4444444431</v>
      </c>
      <c r="L130" s="42">
        <f t="shared" si="53"/>
        <v>1107.6666666666661</v>
      </c>
      <c r="M130" s="43"/>
      <c r="N130" s="42">
        <f t="shared" si="54"/>
        <v>11003</v>
      </c>
      <c r="O130" s="42">
        <f t="shared" si="56"/>
        <v>-1419</v>
      </c>
      <c r="P130" s="42">
        <f t="shared" si="57"/>
        <v>2013561</v>
      </c>
      <c r="Q130" s="42">
        <f t="shared" si="55"/>
        <v>1419</v>
      </c>
      <c r="R130" s="43"/>
      <c r="S130" s="42">
        <f t="shared" si="58"/>
        <v>11328.2</v>
      </c>
      <c r="T130" s="42">
        <f t="shared" si="60"/>
        <v>-1744.2000000000007</v>
      </c>
      <c r="U130" s="42">
        <f t="shared" si="61"/>
        <v>3042233.6400000025</v>
      </c>
      <c r="V130" s="42">
        <f t="shared" si="59"/>
        <v>1744.2000000000007</v>
      </c>
      <c r="W130" s="43"/>
      <c r="X130" s="42">
        <f t="shared" si="62"/>
        <v>11492.666666666666</v>
      </c>
      <c r="Y130" s="42">
        <f t="shared" si="64"/>
        <v>-1908.6666666666661</v>
      </c>
      <c r="Z130" s="42">
        <f t="shared" si="65"/>
        <v>3643008.4444444422</v>
      </c>
      <c r="AA130" s="42">
        <f t="shared" si="63"/>
        <v>1908.6666666666661</v>
      </c>
      <c r="AB130" s="43"/>
      <c r="AC130" s="42">
        <f t="shared" si="66"/>
        <v>11490.714285714286</v>
      </c>
      <c r="AD130" s="42">
        <f t="shared" si="68"/>
        <v>-1906.7142857142862</v>
      </c>
      <c r="AE130" s="42">
        <f t="shared" si="69"/>
        <v>3635559.3673469406</v>
      </c>
      <c r="AF130" s="42">
        <f t="shared" si="67"/>
        <v>1906.7142857142862</v>
      </c>
      <c r="AG130" s="43"/>
      <c r="AH130" s="42">
        <f t="shared" si="70"/>
        <v>11207.875</v>
      </c>
      <c r="AI130" s="42">
        <f t="shared" si="73"/>
        <v>-1623.875</v>
      </c>
      <c r="AJ130" s="42">
        <f t="shared" si="71"/>
        <v>2636970.015625</v>
      </c>
      <c r="AK130" s="42">
        <f t="shared" si="72"/>
        <v>1623.875</v>
      </c>
      <c r="AL130" s="43"/>
      <c r="AM130" s="42">
        <f t="shared" si="74"/>
        <v>10840.666666666666</v>
      </c>
      <c r="AN130" s="42">
        <f t="shared" si="77"/>
        <v>-1256.6666666666661</v>
      </c>
      <c r="AO130" s="42">
        <f t="shared" si="75"/>
        <v>1579211.1111111096</v>
      </c>
      <c r="AP130" s="42">
        <f t="shared" si="76"/>
        <v>1256.6666666666661</v>
      </c>
      <c r="AQ130" s="43"/>
      <c r="AR130" s="42">
        <f t="shared" si="78"/>
        <v>10539</v>
      </c>
      <c r="AS130" s="42">
        <f t="shared" si="79"/>
        <v>-955</v>
      </c>
      <c r="AT130" s="42">
        <f t="shared" si="80"/>
        <v>912025</v>
      </c>
      <c r="AU130" s="42">
        <f t="shared" si="89"/>
        <v>955</v>
      </c>
      <c r="AV130" s="43"/>
      <c r="AW130" s="42">
        <f t="shared" si="81"/>
        <v>10563.636363636364</v>
      </c>
      <c r="AX130" s="42">
        <f t="shared" si="84"/>
        <v>-979.63636363636397</v>
      </c>
      <c r="AY130" s="42">
        <f t="shared" si="82"/>
        <v>959687.40495867829</v>
      </c>
      <c r="AZ130" s="42">
        <f t="shared" si="83"/>
        <v>979.63636363636397</v>
      </c>
      <c r="BA130" s="43"/>
      <c r="BB130" s="44">
        <f t="shared" si="90"/>
        <v>10594.416666666666</v>
      </c>
      <c r="BC130" s="42">
        <f t="shared" si="87"/>
        <v>-1010.4166666666661</v>
      </c>
      <c r="BD130" s="42">
        <f t="shared" si="85"/>
        <v>1020941.8402777766</v>
      </c>
      <c r="BE130" s="42">
        <f t="shared" si="86"/>
        <v>1010.4166666666661</v>
      </c>
    </row>
    <row r="131" spans="1:57" ht="18" x14ac:dyDescent="0.2">
      <c r="A131" s="7">
        <v>42217</v>
      </c>
      <c r="B131" s="17">
        <v>10202</v>
      </c>
      <c r="D131" s="42">
        <f t="shared" si="91"/>
        <v>9338.5</v>
      </c>
      <c r="E131" s="42">
        <f t="shared" si="88"/>
        <v>863.5</v>
      </c>
      <c r="F131" s="42">
        <f t="shared" si="48"/>
        <v>745632.25</v>
      </c>
      <c r="G131" s="42">
        <f t="shared" si="49"/>
        <v>863.5</v>
      </c>
      <c r="H131" s="43"/>
      <c r="I131" s="42">
        <f t="shared" si="50"/>
        <v>10145.666666666666</v>
      </c>
      <c r="J131" s="42">
        <f t="shared" si="51"/>
        <v>56.33333333333394</v>
      </c>
      <c r="K131" s="42">
        <f t="shared" si="52"/>
        <v>3173.4444444445126</v>
      </c>
      <c r="L131" s="42">
        <f t="shared" si="53"/>
        <v>56.33333333333394</v>
      </c>
      <c r="M131" s="43"/>
      <c r="N131" s="42">
        <f t="shared" si="54"/>
        <v>10414.75</v>
      </c>
      <c r="O131" s="42">
        <f t="shared" si="56"/>
        <v>-212.75</v>
      </c>
      <c r="P131" s="42">
        <f t="shared" si="57"/>
        <v>45262.5625</v>
      </c>
      <c r="Q131" s="42">
        <f t="shared" si="55"/>
        <v>212.75</v>
      </c>
      <c r="R131" s="43"/>
      <c r="S131" s="42">
        <f t="shared" si="58"/>
        <v>10719.2</v>
      </c>
      <c r="T131" s="42">
        <f t="shared" si="60"/>
        <v>-517.20000000000073</v>
      </c>
      <c r="U131" s="42">
        <f t="shared" si="61"/>
        <v>267495.84000000072</v>
      </c>
      <c r="V131" s="42">
        <f t="shared" si="59"/>
        <v>517.20000000000073</v>
      </c>
      <c r="W131" s="43"/>
      <c r="X131" s="42">
        <f t="shared" si="62"/>
        <v>11037.5</v>
      </c>
      <c r="Y131" s="42">
        <f t="shared" si="64"/>
        <v>-835.5</v>
      </c>
      <c r="Z131" s="42">
        <f t="shared" si="65"/>
        <v>698060.25</v>
      </c>
      <c r="AA131" s="42">
        <f t="shared" si="63"/>
        <v>835.5</v>
      </c>
      <c r="AB131" s="43"/>
      <c r="AC131" s="42">
        <f t="shared" si="66"/>
        <v>11220</v>
      </c>
      <c r="AD131" s="42">
        <f t="shared" si="68"/>
        <v>-1018</v>
      </c>
      <c r="AE131" s="42">
        <f t="shared" si="69"/>
        <v>1036324</v>
      </c>
      <c r="AF131" s="42">
        <f t="shared" si="67"/>
        <v>1018</v>
      </c>
      <c r="AG131" s="43"/>
      <c r="AH131" s="42">
        <f t="shared" si="70"/>
        <v>11252.375</v>
      </c>
      <c r="AI131" s="42">
        <f t="shared" si="73"/>
        <v>-1050.375</v>
      </c>
      <c r="AJ131" s="42">
        <f t="shared" si="71"/>
        <v>1103287.640625</v>
      </c>
      <c r="AK131" s="42">
        <f t="shared" si="72"/>
        <v>1050.375</v>
      </c>
      <c r="AL131" s="43"/>
      <c r="AM131" s="42">
        <f t="shared" si="74"/>
        <v>11027.444444444445</v>
      </c>
      <c r="AN131" s="42">
        <f t="shared" si="77"/>
        <v>-825.44444444444525</v>
      </c>
      <c r="AO131" s="42">
        <f t="shared" si="75"/>
        <v>681358.53086419881</v>
      </c>
      <c r="AP131" s="42">
        <f t="shared" si="76"/>
        <v>825.44444444444525</v>
      </c>
      <c r="AQ131" s="43"/>
      <c r="AR131" s="42">
        <f t="shared" si="78"/>
        <v>10715</v>
      </c>
      <c r="AS131" s="42">
        <f t="shared" si="79"/>
        <v>-513</v>
      </c>
      <c r="AT131" s="42">
        <f t="shared" si="80"/>
        <v>263169</v>
      </c>
      <c r="AU131" s="42">
        <f t="shared" si="89"/>
        <v>513</v>
      </c>
      <c r="AV131" s="43"/>
      <c r="AW131" s="42">
        <f t="shared" si="81"/>
        <v>10452.181818181818</v>
      </c>
      <c r="AX131" s="42">
        <f t="shared" si="84"/>
        <v>-250.18181818181802</v>
      </c>
      <c r="AY131" s="42">
        <f t="shared" si="82"/>
        <v>62590.942148760245</v>
      </c>
      <c r="AZ131" s="42">
        <f t="shared" si="83"/>
        <v>250.18181818181802</v>
      </c>
      <c r="BA131" s="43"/>
      <c r="BB131" s="44">
        <f t="shared" si="90"/>
        <v>10482</v>
      </c>
      <c r="BC131" s="42">
        <f t="shared" si="87"/>
        <v>-280</v>
      </c>
      <c r="BD131" s="42">
        <f t="shared" si="85"/>
        <v>78400</v>
      </c>
      <c r="BE131" s="42">
        <f t="shared" si="86"/>
        <v>280</v>
      </c>
    </row>
    <row r="132" spans="1:57" ht="18" x14ac:dyDescent="0.2">
      <c r="A132" s="7">
        <v>42248</v>
      </c>
      <c r="B132" s="17">
        <v>10238</v>
      </c>
      <c r="D132" s="42">
        <f t="shared" si="91"/>
        <v>9893</v>
      </c>
      <c r="E132" s="42">
        <f t="shared" si="88"/>
        <v>345</v>
      </c>
      <c r="F132" s="42">
        <f t="shared" si="48"/>
        <v>119025</v>
      </c>
      <c r="G132" s="42">
        <f t="shared" si="49"/>
        <v>345</v>
      </c>
      <c r="H132" s="43"/>
      <c r="I132" s="42">
        <f t="shared" si="50"/>
        <v>9626.3333333333339</v>
      </c>
      <c r="J132" s="42">
        <f t="shared" si="51"/>
        <v>611.66666666666606</v>
      </c>
      <c r="K132" s="42">
        <f t="shared" si="52"/>
        <v>374136.11111111037</v>
      </c>
      <c r="L132" s="42">
        <f t="shared" si="53"/>
        <v>611.66666666666606</v>
      </c>
      <c r="M132" s="43"/>
      <c r="N132" s="42">
        <f t="shared" si="54"/>
        <v>10159.75</v>
      </c>
      <c r="O132" s="42">
        <f t="shared" si="56"/>
        <v>78.25</v>
      </c>
      <c r="P132" s="42">
        <f t="shared" si="57"/>
        <v>6123.0625</v>
      </c>
      <c r="Q132" s="42">
        <f t="shared" si="55"/>
        <v>78.25</v>
      </c>
      <c r="R132" s="43"/>
      <c r="S132" s="42">
        <f t="shared" si="58"/>
        <v>10372.200000000001</v>
      </c>
      <c r="T132" s="42">
        <f t="shared" si="60"/>
        <v>-134.20000000000073</v>
      </c>
      <c r="U132" s="42">
        <f t="shared" si="61"/>
        <v>18009.640000000196</v>
      </c>
      <c r="V132" s="42">
        <f t="shared" si="59"/>
        <v>134.20000000000073</v>
      </c>
      <c r="W132" s="43"/>
      <c r="X132" s="42">
        <f t="shared" si="62"/>
        <v>10633</v>
      </c>
      <c r="Y132" s="42">
        <f t="shared" si="64"/>
        <v>-395</v>
      </c>
      <c r="Z132" s="42">
        <f t="shared" si="65"/>
        <v>156025</v>
      </c>
      <c r="AA132" s="42">
        <f t="shared" si="63"/>
        <v>395</v>
      </c>
      <c r="AB132" s="43"/>
      <c r="AC132" s="42">
        <f t="shared" si="66"/>
        <v>10918.142857142857</v>
      </c>
      <c r="AD132" s="42">
        <f t="shared" si="68"/>
        <v>-680.14285714285688</v>
      </c>
      <c r="AE132" s="42">
        <f t="shared" si="69"/>
        <v>462594.30612244864</v>
      </c>
      <c r="AF132" s="42">
        <f t="shared" si="67"/>
        <v>680.14285714285688</v>
      </c>
      <c r="AG132" s="43"/>
      <c r="AH132" s="42">
        <f t="shared" si="70"/>
        <v>11092.75</v>
      </c>
      <c r="AI132" s="42">
        <f t="shared" si="73"/>
        <v>-854.75</v>
      </c>
      <c r="AJ132" s="42">
        <f t="shared" si="71"/>
        <v>730597.5625</v>
      </c>
      <c r="AK132" s="42">
        <f t="shared" si="72"/>
        <v>854.75</v>
      </c>
      <c r="AL132" s="43"/>
      <c r="AM132" s="42">
        <f t="shared" si="74"/>
        <v>11135.666666666666</v>
      </c>
      <c r="AN132" s="42">
        <f t="shared" si="77"/>
        <v>-897.66666666666606</v>
      </c>
      <c r="AO132" s="42">
        <f t="shared" si="75"/>
        <v>805805.44444444333</v>
      </c>
      <c r="AP132" s="42">
        <f t="shared" si="76"/>
        <v>897.66666666666606</v>
      </c>
      <c r="AQ132" s="43"/>
      <c r="AR132" s="42">
        <f t="shared" si="78"/>
        <v>10944.9</v>
      </c>
      <c r="AS132" s="42">
        <f t="shared" si="79"/>
        <v>-706.89999999999964</v>
      </c>
      <c r="AT132" s="42">
        <f t="shared" si="80"/>
        <v>499707.60999999946</v>
      </c>
      <c r="AU132" s="42">
        <f t="shared" si="89"/>
        <v>706.89999999999964</v>
      </c>
      <c r="AV132" s="43"/>
      <c r="AW132" s="42">
        <f t="shared" si="81"/>
        <v>10668.363636363636</v>
      </c>
      <c r="AX132" s="42">
        <f t="shared" si="84"/>
        <v>-430.36363636363603</v>
      </c>
      <c r="AY132" s="42">
        <f t="shared" si="82"/>
        <v>185212.85950413195</v>
      </c>
      <c r="AZ132" s="42">
        <f t="shared" si="83"/>
        <v>430.36363636363603</v>
      </c>
      <c r="BA132" s="43"/>
      <c r="BB132" s="44">
        <f t="shared" si="90"/>
        <v>10431.333333333334</v>
      </c>
      <c r="BC132" s="42">
        <f t="shared" si="87"/>
        <v>-193.33333333333394</v>
      </c>
      <c r="BD132" s="42">
        <f t="shared" si="85"/>
        <v>37377.777777778014</v>
      </c>
      <c r="BE132" s="42">
        <f t="shared" si="86"/>
        <v>193.33333333333394</v>
      </c>
    </row>
    <row r="133" spans="1:57" ht="18" x14ac:dyDescent="0.2">
      <c r="A133" s="7">
        <v>42278</v>
      </c>
      <c r="B133" s="17">
        <v>12913</v>
      </c>
      <c r="D133" s="42">
        <f t="shared" si="91"/>
        <v>10220</v>
      </c>
      <c r="E133" s="42">
        <f t="shared" si="88"/>
        <v>2693</v>
      </c>
      <c r="F133" s="42">
        <f t="shared" si="48"/>
        <v>7252249</v>
      </c>
      <c r="G133" s="42">
        <f t="shared" si="49"/>
        <v>2693</v>
      </c>
      <c r="H133" s="43"/>
      <c r="I133" s="42">
        <f t="shared" si="50"/>
        <v>10008</v>
      </c>
      <c r="J133" s="42">
        <f t="shared" si="51"/>
        <v>2905</v>
      </c>
      <c r="K133" s="42">
        <f t="shared" si="52"/>
        <v>8439025</v>
      </c>
      <c r="L133" s="42">
        <f t="shared" si="53"/>
        <v>2905</v>
      </c>
      <c r="M133" s="43"/>
      <c r="N133" s="42">
        <f t="shared" si="54"/>
        <v>9779.25</v>
      </c>
      <c r="O133" s="42">
        <f t="shared" si="56"/>
        <v>3133.75</v>
      </c>
      <c r="P133" s="42">
        <f t="shared" si="57"/>
        <v>9820389.0625</v>
      </c>
      <c r="Q133" s="42">
        <f t="shared" si="55"/>
        <v>3133.75</v>
      </c>
      <c r="R133" s="43"/>
      <c r="S133" s="42">
        <f t="shared" si="58"/>
        <v>10175.4</v>
      </c>
      <c r="T133" s="42">
        <f t="shared" si="60"/>
        <v>2737.6000000000004</v>
      </c>
      <c r="U133" s="42">
        <f t="shared" si="61"/>
        <v>7494453.7600000016</v>
      </c>
      <c r="V133" s="42">
        <f t="shared" si="59"/>
        <v>2737.6000000000004</v>
      </c>
      <c r="W133" s="43"/>
      <c r="X133" s="42">
        <f t="shared" si="62"/>
        <v>10349.833333333334</v>
      </c>
      <c r="Y133" s="42">
        <f t="shared" si="64"/>
        <v>2563.1666666666661</v>
      </c>
      <c r="Z133" s="42">
        <f t="shared" si="65"/>
        <v>6569823.3611111082</v>
      </c>
      <c r="AA133" s="42">
        <f t="shared" si="63"/>
        <v>2563.1666666666661</v>
      </c>
      <c r="AB133" s="43"/>
      <c r="AC133" s="42">
        <f t="shared" si="66"/>
        <v>10576.571428571429</v>
      </c>
      <c r="AD133" s="42">
        <f t="shared" si="68"/>
        <v>2336.4285714285706</v>
      </c>
      <c r="AE133" s="42">
        <f t="shared" si="69"/>
        <v>5458898.4693877511</v>
      </c>
      <c r="AF133" s="42">
        <f t="shared" si="67"/>
        <v>2336.4285714285706</v>
      </c>
      <c r="AG133" s="43"/>
      <c r="AH133" s="42">
        <f t="shared" si="70"/>
        <v>10833.125</v>
      </c>
      <c r="AI133" s="42">
        <f t="shared" si="73"/>
        <v>2079.875</v>
      </c>
      <c r="AJ133" s="42">
        <f t="shared" si="71"/>
        <v>4325880.015625</v>
      </c>
      <c r="AK133" s="42">
        <f t="shared" si="72"/>
        <v>2079.875</v>
      </c>
      <c r="AL133" s="43"/>
      <c r="AM133" s="42">
        <f t="shared" si="74"/>
        <v>10997.777777777777</v>
      </c>
      <c r="AN133" s="42">
        <f t="shared" si="77"/>
        <v>1915.2222222222226</v>
      </c>
      <c r="AO133" s="42">
        <f t="shared" si="75"/>
        <v>3668076.1604938288</v>
      </c>
      <c r="AP133" s="42">
        <f t="shared" si="76"/>
        <v>1915.2222222222226</v>
      </c>
      <c r="AQ133" s="43"/>
      <c r="AR133" s="42">
        <f t="shared" si="78"/>
        <v>11045.9</v>
      </c>
      <c r="AS133" s="42">
        <f t="shared" si="79"/>
        <v>1867.1000000000004</v>
      </c>
      <c r="AT133" s="42">
        <f t="shared" si="80"/>
        <v>3486062.4100000015</v>
      </c>
      <c r="AU133" s="42">
        <f t="shared" si="89"/>
        <v>1867.1000000000004</v>
      </c>
      <c r="AV133" s="43"/>
      <c r="AW133" s="42">
        <f t="shared" si="81"/>
        <v>10880.636363636364</v>
      </c>
      <c r="AX133" s="42">
        <f t="shared" si="84"/>
        <v>2032.363636363636</v>
      </c>
      <c r="AY133" s="42">
        <f t="shared" si="82"/>
        <v>4130501.950413222</v>
      </c>
      <c r="AZ133" s="42">
        <f t="shared" si="83"/>
        <v>2032.363636363636</v>
      </c>
      <c r="BA133" s="43"/>
      <c r="BB133" s="44">
        <f t="shared" si="90"/>
        <v>10632.5</v>
      </c>
      <c r="BC133" s="42">
        <f t="shared" si="87"/>
        <v>2280.5</v>
      </c>
      <c r="BD133" s="42">
        <f t="shared" si="85"/>
        <v>5200680.25</v>
      </c>
      <c r="BE133" s="42">
        <f t="shared" si="86"/>
        <v>2280.5</v>
      </c>
    </row>
    <row r="134" spans="1:57" ht="18" x14ac:dyDescent="0.2">
      <c r="A134" s="7">
        <v>42309</v>
      </c>
      <c r="B134" s="17">
        <v>10975</v>
      </c>
      <c r="D134" s="42">
        <f t="shared" si="91"/>
        <v>11575.5</v>
      </c>
      <c r="E134" s="42">
        <f t="shared" si="88"/>
        <v>-600.5</v>
      </c>
      <c r="F134" s="42">
        <f t="shared" si="48"/>
        <v>360600.25</v>
      </c>
      <c r="G134" s="42">
        <f t="shared" si="49"/>
        <v>600.5</v>
      </c>
      <c r="H134" s="43"/>
      <c r="I134" s="42">
        <f t="shared" si="50"/>
        <v>11117.666666666666</v>
      </c>
      <c r="J134" s="42">
        <f t="shared" si="51"/>
        <v>-142.66666666666606</v>
      </c>
      <c r="K134" s="42">
        <f t="shared" si="52"/>
        <v>20353.777777777606</v>
      </c>
      <c r="L134" s="42">
        <f t="shared" si="53"/>
        <v>142.66666666666606</v>
      </c>
      <c r="M134" s="43"/>
      <c r="N134" s="42">
        <f t="shared" si="54"/>
        <v>10734.25</v>
      </c>
      <c r="O134" s="42">
        <f t="shared" si="56"/>
        <v>240.75</v>
      </c>
      <c r="P134" s="42">
        <f t="shared" si="57"/>
        <v>57960.5625</v>
      </c>
      <c r="Q134" s="42">
        <f t="shared" si="55"/>
        <v>240.75</v>
      </c>
      <c r="R134" s="43"/>
      <c r="S134" s="42">
        <f t="shared" si="58"/>
        <v>10406</v>
      </c>
      <c r="T134" s="42">
        <f t="shared" si="60"/>
        <v>569</v>
      </c>
      <c r="U134" s="42">
        <f t="shared" si="61"/>
        <v>323761</v>
      </c>
      <c r="V134" s="42">
        <f t="shared" si="59"/>
        <v>569</v>
      </c>
      <c r="W134" s="43"/>
      <c r="X134" s="42">
        <f t="shared" si="62"/>
        <v>10631.666666666666</v>
      </c>
      <c r="Y134" s="42">
        <f t="shared" si="64"/>
        <v>343.33333333333394</v>
      </c>
      <c r="Z134" s="42">
        <f t="shared" si="65"/>
        <v>117877.77777777819</v>
      </c>
      <c r="AA134" s="42">
        <f t="shared" si="63"/>
        <v>343.33333333333394</v>
      </c>
      <c r="AB134" s="43"/>
      <c r="AC134" s="42">
        <f t="shared" si="66"/>
        <v>10716</v>
      </c>
      <c r="AD134" s="42">
        <f t="shared" si="68"/>
        <v>259</v>
      </c>
      <c r="AE134" s="42">
        <f t="shared" si="69"/>
        <v>67081</v>
      </c>
      <c r="AF134" s="42">
        <f t="shared" si="67"/>
        <v>259</v>
      </c>
      <c r="AG134" s="43"/>
      <c r="AH134" s="42">
        <f t="shared" si="70"/>
        <v>10868.625</v>
      </c>
      <c r="AI134" s="42">
        <f t="shared" si="73"/>
        <v>106.375</v>
      </c>
      <c r="AJ134" s="42">
        <f t="shared" si="71"/>
        <v>11315.640625</v>
      </c>
      <c r="AK134" s="42">
        <f t="shared" si="72"/>
        <v>106.375</v>
      </c>
      <c r="AL134" s="43"/>
      <c r="AM134" s="42">
        <f t="shared" si="74"/>
        <v>11064.222222222223</v>
      </c>
      <c r="AN134" s="42">
        <f t="shared" si="77"/>
        <v>-89.222222222222626</v>
      </c>
      <c r="AO134" s="42">
        <f t="shared" si="75"/>
        <v>7960.6049382716774</v>
      </c>
      <c r="AP134" s="42">
        <f t="shared" si="76"/>
        <v>89.222222222222626</v>
      </c>
      <c r="AQ134" s="43"/>
      <c r="AR134" s="42">
        <f t="shared" si="78"/>
        <v>11189.3</v>
      </c>
      <c r="AS134" s="42">
        <f t="shared" si="79"/>
        <v>-214.29999999999927</v>
      </c>
      <c r="AT134" s="42">
        <f t="shared" si="80"/>
        <v>45924.489999999685</v>
      </c>
      <c r="AU134" s="42">
        <f t="shared" si="89"/>
        <v>214.29999999999927</v>
      </c>
      <c r="AV134" s="43"/>
      <c r="AW134" s="42">
        <f t="shared" si="81"/>
        <v>11215.636363636364</v>
      </c>
      <c r="AX134" s="42">
        <f t="shared" si="84"/>
        <v>-240.63636363636397</v>
      </c>
      <c r="AY134" s="42">
        <f t="shared" si="82"/>
        <v>57905.859504132393</v>
      </c>
      <c r="AZ134" s="42">
        <f t="shared" si="83"/>
        <v>240.63636363636397</v>
      </c>
      <c r="BA134" s="43"/>
      <c r="BB134" s="44">
        <f t="shared" si="90"/>
        <v>11050</v>
      </c>
      <c r="BC134" s="42">
        <f t="shared" si="87"/>
        <v>-75</v>
      </c>
      <c r="BD134" s="42">
        <f t="shared" si="85"/>
        <v>5625</v>
      </c>
      <c r="BE134" s="42">
        <f t="shared" si="86"/>
        <v>75</v>
      </c>
    </row>
    <row r="135" spans="1:57" ht="18" x14ac:dyDescent="0.2">
      <c r="A135" s="7">
        <v>42339</v>
      </c>
      <c r="B135" s="17">
        <v>13344</v>
      </c>
      <c r="D135" s="42">
        <f t="shared" si="91"/>
        <v>11944</v>
      </c>
      <c r="E135" s="42">
        <f t="shared" si="88"/>
        <v>1400</v>
      </c>
      <c r="F135" s="42">
        <f t="shared" si="48"/>
        <v>1960000</v>
      </c>
      <c r="G135" s="42">
        <f t="shared" si="49"/>
        <v>1400</v>
      </c>
      <c r="H135" s="43"/>
      <c r="I135" s="42">
        <f t="shared" si="50"/>
        <v>11375.333333333334</v>
      </c>
      <c r="J135" s="42">
        <f t="shared" si="51"/>
        <v>1968.6666666666661</v>
      </c>
      <c r="K135" s="42">
        <f t="shared" si="52"/>
        <v>3875648.4444444422</v>
      </c>
      <c r="L135" s="42">
        <f t="shared" si="53"/>
        <v>1968.6666666666661</v>
      </c>
      <c r="M135" s="43"/>
      <c r="N135" s="42">
        <f t="shared" si="54"/>
        <v>11082</v>
      </c>
      <c r="O135" s="42">
        <f t="shared" si="56"/>
        <v>2262</v>
      </c>
      <c r="P135" s="42">
        <f t="shared" si="57"/>
        <v>5116644</v>
      </c>
      <c r="Q135" s="42">
        <f t="shared" si="55"/>
        <v>2262</v>
      </c>
      <c r="R135" s="43"/>
      <c r="S135" s="42">
        <f t="shared" si="58"/>
        <v>10782.4</v>
      </c>
      <c r="T135" s="42">
        <f t="shared" si="60"/>
        <v>2561.6000000000004</v>
      </c>
      <c r="U135" s="42">
        <f t="shared" si="61"/>
        <v>6561794.5600000015</v>
      </c>
      <c r="V135" s="42">
        <f t="shared" si="59"/>
        <v>2561.6000000000004</v>
      </c>
      <c r="W135" s="43"/>
      <c r="X135" s="42">
        <f t="shared" si="62"/>
        <v>10500.833333333334</v>
      </c>
      <c r="Y135" s="42">
        <f t="shared" si="64"/>
        <v>2843.1666666666661</v>
      </c>
      <c r="Z135" s="42">
        <f t="shared" si="65"/>
        <v>8083596.6944444412</v>
      </c>
      <c r="AA135" s="42">
        <f t="shared" si="63"/>
        <v>2843.1666666666661</v>
      </c>
      <c r="AB135" s="43"/>
      <c r="AC135" s="42">
        <f t="shared" si="66"/>
        <v>10680.714285714286</v>
      </c>
      <c r="AD135" s="42">
        <f t="shared" si="68"/>
        <v>2663.2857142857138</v>
      </c>
      <c r="AE135" s="42">
        <f t="shared" si="69"/>
        <v>7093090.795918365</v>
      </c>
      <c r="AF135" s="42">
        <f t="shared" si="67"/>
        <v>2663.2857142857138</v>
      </c>
      <c r="AG135" s="43"/>
      <c r="AH135" s="42">
        <f t="shared" si="70"/>
        <v>10748.375</v>
      </c>
      <c r="AI135" s="42">
        <f t="shared" si="73"/>
        <v>2595.625</v>
      </c>
      <c r="AJ135" s="42">
        <f t="shared" si="71"/>
        <v>6737269.140625</v>
      </c>
      <c r="AK135" s="42">
        <f t="shared" si="72"/>
        <v>2595.625</v>
      </c>
      <c r="AL135" s="43"/>
      <c r="AM135" s="42">
        <f t="shared" si="74"/>
        <v>10880.444444444445</v>
      </c>
      <c r="AN135" s="42">
        <f t="shared" si="77"/>
        <v>2463.5555555555547</v>
      </c>
      <c r="AO135" s="42">
        <f t="shared" si="75"/>
        <v>6069105.9753086381</v>
      </c>
      <c r="AP135" s="42">
        <f t="shared" si="76"/>
        <v>2463.5555555555547</v>
      </c>
      <c r="AQ135" s="43"/>
      <c r="AR135" s="42">
        <f t="shared" si="78"/>
        <v>11055.3</v>
      </c>
      <c r="AS135" s="42">
        <f t="shared" si="79"/>
        <v>2288.7000000000007</v>
      </c>
      <c r="AT135" s="42">
        <f t="shared" si="80"/>
        <v>5238147.6900000032</v>
      </c>
      <c r="AU135" s="42">
        <f t="shared" si="89"/>
        <v>2288.7000000000007</v>
      </c>
      <c r="AV135" s="43"/>
      <c r="AW135" s="42">
        <f t="shared" si="81"/>
        <v>11169.818181818182</v>
      </c>
      <c r="AX135" s="42">
        <f t="shared" si="84"/>
        <v>2174.181818181818</v>
      </c>
      <c r="AY135" s="42">
        <f t="shared" si="82"/>
        <v>4727066.5785123957</v>
      </c>
      <c r="AZ135" s="42">
        <f t="shared" si="83"/>
        <v>2174.181818181818</v>
      </c>
      <c r="BA135" s="43"/>
      <c r="BB135" s="44">
        <f t="shared" si="90"/>
        <v>11195.583333333334</v>
      </c>
      <c r="BC135" s="42">
        <f t="shared" si="87"/>
        <v>2148.4166666666661</v>
      </c>
      <c r="BD135" s="42">
        <f t="shared" si="85"/>
        <v>4615694.1736111082</v>
      </c>
      <c r="BE135" s="42">
        <f t="shared" si="86"/>
        <v>2148.4166666666661</v>
      </c>
    </row>
    <row r="136" spans="1:57" ht="18" x14ac:dyDescent="0.2">
      <c r="A136" s="7">
        <v>42370</v>
      </c>
      <c r="B136" s="17">
        <v>8561</v>
      </c>
      <c r="D136" s="42">
        <f t="shared" si="91"/>
        <v>12159.5</v>
      </c>
      <c r="E136" s="42">
        <f t="shared" si="88"/>
        <v>-3598.5</v>
      </c>
      <c r="F136" s="42">
        <f t="shared" ref="F136:F199" si="92">E136^2</f>
        <v>12949202.25</v>
      </c>
      <c r="G136" s="42">
        <f t="shared" ref="G136:G199" si="93">ABS(E136)</f>
        <v>3598.5</v>
      </c>
      <c r="H136" s="43"/>
      <c r="I136" s="42">
        <f t="shared" ref="I136:I199" si="94">AVERAGE(B133:B135)</f>
        <v>12410.666666666666</v>
      </c>
      <c r="J136" s="42">
        <f t="shared" si="51"/>
        <v>-3849.6666666666661</v>
      </c>
      <c r="K136" s="42">
        <f t="shared" si="52"/>
        <v>14819933.44444444</v>
      </c>
      <c r="L136" s="42">
        <f t="shared" si="53"/>
        <v>3849.6666666666661</v>
      </c>
      <c r="M136" s="43"/>
      <c r="N136" s="42">
        <f t="shared" si="54"/>
        <v>11867.5</v>
      </c>
      <c r="O136" s="42">
        <f t="shared" si="56"/>
        <v>-3306.5</v>
      </c>
      <c r="P136" s="42">
        <f t="shared" si="57"/>
        <v>10932942.25</v>
      </c>
      <c r="Q136" s="42">
        <f t="shared" si="55"/>
        <v>3306.5</v>
      </c>
      <c r="R136" s="43"/>
      <c r="S136" s="42">
        <f t="shared" si="58"/>
        <v>11534.4</v>
      </c>
      <c r="T136" s="42">
        <f t="shared" si="60"/>
        <v>-2973.3999999999996</v>
      </c>
      <c r="U136" s="42">
        <f t="shared" si="61"/>
        <v>8841107.5599999987</v>
      </c>
      <c r="V136" s="42">
        <f t="shared" si="59"/>
        <v>2973.3999999999996</v>
      </c>
      <c r="W136" s="43"/>
      <c r="X136" s="42">
        <f t="shared" si="62"/>
        <v>11209.333333333334</v>
      </c>
      <c r="Y136" s="42">
        <f t="shared" si="64"/>
        <v>-2648.3333333333339</v>
      </c>
      <c r="Z136" s="42">
        <f t="shared" si="65"/>
        <v>7013669.4444444478</v>
      </c>
      <c r="AA136" s="42">
        <f t="shared" si="63"/>
        <v>2648.3333333333339</v>
      </c>
      <c r="AB136" s="43"/>
      <c r="AC136" s="42">
        <f t="shared" si="66"/>
        <v>10907</v>
      </c>
      <c r="AD136" s="42">
        <f t="shared" si="68"/>
        <v>-2346</v>
      </c>
      <c r="AE136" s="42">
        <f t="shared" si="69"/>
        <v>5503716</v>
      </c>
      <c r="AF136" s="42">
        <f t="shared" si="67"/>
        <v>2346</v>
      </c>
      <c r="AG136" s="43"/>
      <c r="AH136" s="42">
        <f t="shared" si="70"/>
        <v>11013.625</v>
      </c>
      <c r="AI136" s="42">
        <f t="shared" si="73"/>
        <v>-2452.625</v>
      </c>
      <c r="AJ136" s="42">
        <f t="shared" si="71"/>
        <v>6015369.390625</v>
      </c>
      <c r="AK136" s="42">
        <f t="shared" si="72"/>
        <v>2452.625</v>
      </c>
      <c r="AL136" s="43"/>
      <c r="AM136" s="42">
        <f t="shared" si="74"/>
        <v>11036.777777777777</v>
      </c>
      <c r="AN136" s="42">
        <f t="shared" si="77"/>
        <v>-2475.7777777777774</v>
      </c>
      <c r="AO136" s="42">
        <f t="shared" si="75"/>
        <v>6129475.6049382696</v>
      </c>
      <c r="AP136" s="42">
        <f t="shared" si="76"/>
        <v>2475.7777777777774</v>
      </c>
      <c r="AQ136" s="43"/>
      <c r="AR136" s="42">
        <f t="shared" si="78"/>
        <v>11126.8</v>
      </c>
      <c r="AS136" s="42">
        <f t="shared" si="79"/>
        <v>-2565.7999999999993</v>
      </c>
      <c r="AT136" s="42">
        <f t="shared" si="80"/>
        <v>6583329.6399999959</v>
      </c>
      <c r="AU136" s="42">
        <f t="shared" si="89"/>
        <v>2565.7999999999993</v>
      </c>
      <c r="AV136" s="43"/>
      <c r="AW136" s="42">
        <f t="shared" si="81"/>
        <v>11263.363636363636</v>
      </c>
      <c r="AX136" s="42">
        <f t="shared" si="84"/>
        <v>-2702.363636363636</v>
      </c>
      <c r="AY136" s="42">
        <f t="shared" si="82"/>
        <v>7302769.223140494</v>
      </c>
      <c r="AZ136" s="42">
        <f t="shared" si="83"/>
        <v>2702.363636363636</v>
      </c>
      <c r="BA136" s="43"/>
      <c r="BB136" s="44">
        <f t="shared" si="90"/>
        <v>11351</v>
      </c>
      <c r="BC136" s="42">
        <f t="shared" si="87"/>
        <v>-2790</v>
      </c>
      <c r="BD136" s="42">
        <f t="shared" si="85"/>
        <v>7784100</v>
      </c>
      <c r="BE136" s="42">
        <f t="shared" si="86"/>
        <v>2790</v>
      </c>
    </row>
    <row r="137" spans="1:57" ht="18" x14ac:dyDescent="0.2">
      <c r="A137" s="7">
        <v>42401</v>
      </c>
      <c r="B137" s="17">
        <v>9572</v>
      </c>
      <c r="D137" s="42">
        <f t="shared" si="91"/>
        <v>10952.5</v>
      </c>
      <c r="E137" s="42">
        <f t="shared" si="88"/>
        <v>-1380.5</v>
      </c>
      <c r="F137" s="42">
        <f t="shared" si="92"/>
        <v>1905780.25</v>
      </c>
      <c r="G137" s="42">
        <f t="shared" si="93"/>
        <v>1380.5</v>
      </c>
      <c r="H137" s="43"/>
      <c r="I137" s="42">
        <f t="shared" si="94"/>
        <v>10960</v>
      </c>
      <c r="J137" s="42">
        <f t="shared" ref="J137:J200" si="95">$B137-I137</f>
        <v>-1388</v>
      </c>
      <c r="K137" s="42">
        <f t="shared" ref="K137:K200" si="96">J137^2</f>
        <v>1926544</v>
      </c>
      <c r="L137" s="42">
        <f t="shared" ref="L137:L200" si="97">ABS(J137)</f>
        <v>1388</v>
      </c>
      <c r="M137" s="43"/>
      <c r="N137" s="42">
        <f t="shared" ref="N137:N200" si="98">AVERAGE(B133:B136)</f>
        <v>11448.25</v>
      </c>
      <c r="O137" s="42">
        <f t="shared" si="56"/>
        <v>-1876.25</v>
      </c>
      <c r="P137" s="42">
        <f t="shared" si="57"/>
        <v>3520314.0625</v>
      </c>
      <c r="Q137" s="42">
        <f t="shared" ref="Q137:Q200" si="99">ABS(O137)</f>
        <v>1876.25</v>
      </c>
      <c r="R137" s="43"/>
      <c r="S137" s="42">
        <f t="shared" si="58"/>
        <v>11206.2</v>
      </c>
      <c r="T137" s="42">
        <f t="shared" si="60"/>
        <v>-1634.2000000000007</v>
      </c>
      <c r="U137" s="42">
        <f t="shared" si="61"/>
        <v>2670609.6400000025</v>
      </c>
      <c r="V137" s="42">
        <f t="shared" si="59"/>
        <v>1634.2000000000007</v>
      </c>
      <c r="W137" s="43"/>
      <c r="X137" s="42">
        <f t="shared" si="62"/>
        <v>11038.833333333334</v>
      </c>
      <c r="Y137" s="42">
        <f t="shared" si="64"/>
        <v>-1466.8333333333339</v>
      </c>
      <c r="Z137" s="42">
        <f t="shared" si="65"/>
        <v>2151600.0277777794</v>
      </c>
      <c r="AA137" s="42">
        <f t="shared" si="63"/>
        <v>1466.8333333333339</v>
      </c>
      <c r="AB137" s="43"/>
      <c r="AC137" s="42">
        <f t="shared" si="66"/>
        <v>10831</v>
      </c>
      <c r="AD137" s="42">
        <f t="shared" si="68"/>
        <v>-1259</v>
      </c>
      <c r="AE137" s="42">
        <f t="shared" si="69"/>
        <v>1585081</v>
      </c>
      <c r="AF137" s="42">
        <f t="shared" si="67"/>
        <v>1259</v>
      </c>
      <c r="AG137" s="43"/>
      <c r="AH137" s="42">
        <f t="shared" si="70"/>
        <v>10613.75</v>
      </c>
      <c r="AI137" s="42">
        <f t="shared" si="73"/>
        <v>-1041.75</v>
      </c>
      <c r="AJ137" s="42">
        <f t="shared" si="71"/>
        <v>1085243.0625</v>
      </c>
      <c r="AK137" s="42">
        <f t="shared" si="72"/>
        <v>1041.75</v>
      </c>
      <c r="AL137" s="43"/>
      <c r="AM137" s="42">
        <f t="shared" si="74"/>
        <v>10741.111111111111</v>
      </c>
      <c r="AN137" s="42">
        <f t="shared" si="77"/>
        <v>-1169.1111111111113</v>
      </c>
      <c r="AO137" s="42">
        <f t="shared" si="75"/>
        <v>1366820.7901234573</v>
      </c>
      <c r="AP137" s="42">
        <f t="shared" si="76"/>
        <v>1169.1111111111113</v>
      </c>
      <c r="AQ137" s="43"/>
      <c r="AR137" s="42">
        <f t="shared" si="78"/>
        <v>10789.2</v>
      </c>
      <c r="AS137" s="42">
        <f t="shared" si="79"/>
        <v>-1217.2000000000007</v>
      </c>
      <c r="AT137" s="42">
        <f t="shared" si="80"/>
        <v>1481575.8400000017</v>
      </c>
      <c r="AU137" s="42">
        <f t="shared" si="89"/>
        <v>1217.2000000000007</v>
      </c>
      <c r="AV137" s="43"/>
      <c r="AW137" s="42">
        <f t="shared" si="81"/>
        <v>10893.545454545454</v>
      </c>
      <c r="AX137" s="42">
        <f t="shared" si="84"/>
        <v>-1321.545454545454</v>
      </c>
      <c r="AY137" s="42">
        <f t="shared" si="82"/>
        <v>1746482.3884297507</v>
      </c>
      <c r="AZ137" s="42">
        <f t="shared" si="83"/>
        <v>1321.545454545454</v>
      </c>
      <c r="BA137" s="43"/>
      <c r="BB137" s="44">
        <f t="shared" si="90"/>
        <v>11038.166666666666</v>
      </c>
      <c r="BC137" s="42">
        <f t="shared" si="87"/>
        <v>-1466.1666666666661</v>
      </c>
      <c r="BD137" s="42">
        <f t="shared" si="85"/>
        <v>2149644.6944444426</v>
      </c>
      <c r="BE137" s="42">
        <f t="shared" si="86"/>
        <v>1466.1666666666661</v>
      </c>
    </row>
    <row r="138" spans="1:57" ht="18" x14ac:dyDescent="0.2">
      <c r="A138" s="7">
        <v>42430</v>
      </c>
      <c r="B138" s="17">
        <v>10593</v>
      </c>
      <c r="D138" s="42">
        <f t="shared" si="91"/>
        <v>9066.5</v>
      </c>
      <c r="E138" s="42">
        <f t="shared" si="88"/>
        <v>1526.5</v>
      </c>
      <c r="F138" s="42">
        <f t="shared" si="92"/>
        <v>2330202.25</v>
      </c>
      <c r="G138" s="42">
        <f t="shared" si="93"/>
        <v>1526.5</v>
      </c>
      <c r="H138" s="43"/>
      <c r="I138" s="42">
        <f t="shared" si="94"/>
        <v>10492.333333333334</v>
      </c>
      <c r="J138" s="42">
        <f t="shared" si="95"/>
        <v>100.66666666666606</v>
      </c>
      <c r="K138" s="42">
        <f t="shared" si="96"/>
        <v>10133.777777777656</v>
      </c>
      <c r="L138" s="42">
        <f t="shared" si="97"/>
        <v>100.66666666666606</v>
      </c>
      <c r="M138" s="43"/>
      <c r="N138" s="42">
        <f t="shared" si="98"/>
        <v>10613</v>
      </c>
      <c r="O138" s="42">
        <f t="shared" ref="O138:O201" si="100">$B138-N138</f>
        <v>-20</v>
      </c>
      <c r="P138" s="42">
        <f t="shared" ref="P138:P201" si="101">O138^2</f>
        <v>400</v>
      </c>
      <c r="Q138" s="42">
        <f t="shared" si="99"/>
        <v>20</v>
      </c>
      <c r="R138" s="43"/>
      <c r="S138" s="42">
        <f t="shared" ref="S138:S201" si="102">AVERAGE(B133:B137)</f>
        <v>11073</v>
      </c>
      <c r="T138" s="42">
        <f t="shared" si="60"/>
        <v>-480</v>
      </c>
      <c r="U138" s="42">
        <f t="shared" si="61"/>
        <v>230400</v>
      </c>
      <c r="V138" s="42">
        <f t="shared" ref="V138:V201" si="103">ABS(T138)</f>
        <v>480</v>
      </c>
      <c r="W138" s="43"/>
      <c r="X138" s="42">
        <f t="shared" si="62"/>
        <v>10933.833333333334</v>
      </c>
      <c r="Y138" s="42">
        <f t="shared" si="64"/>
        <v>-340.83333333333394</v>
      </c>
      <c r="Z138" s="42">
        <f t="shared" si="65"/>
        <v>116167.36111111153</v>
      </c>
      <c r="AA138" s="42">
        <f t="shared" si="63"/>
        <v>340.83333333333394</v>
      </c>
      <c r="AB138" s="43"/>
      <c r="AC138" s="42">
        <f t="shared" si="66"/>
        <v>10829.285714285714</v>
      </c>
      <c r="AD138" s="42">
        <f t="shared" si="68"/>
        <v>-236.28571428571377</v>
      </c>
      <c r="AE138" s="42">
        <f t="shared" si="69"/>
        <v>55830.93877550996</v>
      </c>
      <c r="AF138" s="42">
        <f t="shared" si="67"/>
        <v>236.28571428571377</v>
      </c>
      <c r="AG138" s="43"/>
      <c r="AH138" s="42">
        <f t="shared" si="70"/>
        <v>10673.625</v>
      </c>
      <c r="AI138" s="42">
        <f t="shared" si="73"/>
        <v>-80.625</v>
      </c>
      <c r="AJ138" s="42">
        <f t="shared" si="71"/>
        <v>6500.390625</v>
      </c>
      <c r="AK138" s="42">
        <f t="shared" si="72"/>
        <v>80.625</v>
      </c>
      <c r="AL138" s="43"/>
      <c r="AM138" s="42">
        <f t="shared" si="74"/>
        <v>10498</v>
      </c>
      <c r="AN138" s="42">
        <f t="shared" si="77"/>
        <v>95</v>
      </c>
      <c r="AO138" s="42">
        <f t="shared" si="75"/>
        <v>9025</v>
      </c>
      <c r="AP138" s="42">
        <f t="shared" si="76"/>
        <v>95</v>
      </c>
      <c r="AQ138" s="43"/>
      <c r="AR138" s="42">
        <f t="shared" si="78"/>
        <v>10624.2</v>
      </c>
      <c r="AS138" s="42">
        <f t="shared" si="79"/>
        <v>-31.200000000000728</v>
      </c>
      <c r="AT138" s="42">
        <f t="shared" si="80"/>
        <v>973.44000000004542</v>
      </c>
      <c r="AU138" s="42">
        <f t="shared" si="89"/>
        <v>31.200000000000728</v>
      </c>
      <c r="AV138" s="43"/>
      <c r="AW138" s="42">
        <f t="shared" si="81"/>
        <v>10678.545454545454</v>
      </c>
      <c r="AX138" s="42">
        <f t="shared" si="84"/>
        <v>-85.545454545454049</v>
      </c>
      <c r="AY138" s="42">
        <f t="shared" si="82"/>
        <v>7318.0247933883447</v>
      </c>
      <c r="AZ138" s="42">
        <f t="shared" si="83"/>
        <v>85.545454545454049</v>
      </c>
      <c r="BA138" s="43"/>
      <c r="BB138" s="44">
        <f t="shared" si="90"/>
        <v>10783.416666666666</v>
      </c>
      <c r="BC138" s="42">
        <f t="shared" si="87"/>
        <v>-190.41666666666606</v>
      </c>
      <c r="BD138" s="42">
        <f t="shared" si="85"/>
        <v>36258.506944444212</v>
      </c>
      <c r="BE138" s="42">
        <f t="shared" si="86"/>
        <v>190.41666666666606</v>
      </c>
    </row>
    <row r="139" spans="1:57" ht="18" x14ac:dyDescent="0.2">
      <c r="A139" s="7">
        <v>42461</v>
      </c>
      <c r="B139" s="17">
        <v>11370</v>
      </c>
      <c r="D139" s="42">
        <f t="shared" si="91"/>
        <v>10082.5</v>
      </c>
      <c r="E139" s="42">
        <f t="shared" si="88"/>
        <v>1287.5</v>
      </c>
      <c r="F139" s="42">
        <f t="shared" si="92"/>
        <v>1657656.25</v>
      </c>
      <c r="G139" s="42">
        <f t="shared" si="93"/>
        <v>1287.5</v>
      </c>
      <c r="H139" s="43"/>
      <c r="I139" s="42">
        <f t="shared" si="94"/>
        <v>9575.3333333333339</v>
      </c>
      <c r="J139" s="42">
        <f t="shared" si="95"/>
        <v>1794.6666666666661</v>
      </c>
      <c r="K139" s="42">
        <f t="shared" si="96"/>
        <v>3220828.4444444422</v>
      </c>
      <c r="L139" s="42">
        <f t="shared" si="97"/>
        <v>1794.6666666666661</v>
      </c>
      <c r="M139" s="43"/>
      <c r="N139" s="42">
        <f t="shared" si="98"/>
        <v>10517.5</v>
      </c>
      <c r="O139" s="42">
        <f t="shared" si="100"/>
        <v>852.5</v>
      </c>
      <c r="P139" s="42">
        <f t="shared" si="101"/>
        <v>726756.25</v>
      </c>
      <c r="Q139" s="42">
        <f t="shared" si="99"/>
        <v>852.5</v>
      </c>
      <c r="R139" s="43"/>
      <c r="S139" s="42">
        <f t="shared" si="102"/>
        <v>10609</v>
      </c>
      <c r="T139" s="42">
        <f t="shared" ref="T139:T202" si="104">$B139-S139</f>
        <v>761</v>
      </c>
      <c r="U139" s="42">
        <f t="shared" ref="U139:U202" si="105">T139^2</f>
        <v>579121</v>
      </c>
      <c r="V139" s="42">
        <f t="shared" si="103"/>
        <v>761</v>
      </c>
      <c r="W139" s="43"/>
      <c r="X139" s="42">
        <f t="shared" ref="X139:X202" si="106">AVERAGE(B133:B138)</f>
        <v>10993</v>
      </c>
      <c r="Y139" s="42">
        <f t="shared" si="64"/>
        <v>377</v>
      </c>
      <c r="Z139" s="42">
        <f t="shared" si="65"/>
        <v>142129</v>
      </c>
      <c r="AA139" s="42">
        <f t="shared" ref="AA139:AA202" si="107">ABS(Y139)</f>
        <v>377</v>
      </c>
      <c r="AB139" s="43"/>
      <c r="AC139" s="42">
        <f t="shared" si="66"/>
        <v>10885.142857142857</v>
      </c>
      <c r="AD139" s="42">
        <f t="shared" si="68"/>
        <v>484.85714285714312</v>
      </c>
      <c r="AE139" s="42">
        <f t="shared" si="69"/>
        <v>235086.4489795921</v>
      </c>
      <c r="AF139" s="42">
        <f t="shared" si="67"/>
        <v>484.85714285714312</v>
      </c>
      <c r="AG139" s="43"/>
      <c r="AH139" s="42">
        <f t="shared" si="70"/>
        <v>10799.75</v>
      </c>
      <c r="AI139" s="42">
        <f t="shared" si="73"/>
        <v>570.25</v>
      </c>
      <c r="AJ139" s="42">
        <f t="shared" si="71"/>
        <v>325185.0625</v>
      </c>
      <c r="AK139" s="42">
        <f t="shared" si="72"/>
        <v>570.25</v>
      </c>
      <c r="AL139" s="43"/>
      <c r="AM139" s="42">
        <f t="shared" si="74"/>
        <v>10664.666666666666</v>
      </c>
      <c r="AN139" s="42">
        <f t="shared" si="77"/>
        <v>705.33333333333394</v>
      </c>
      <c r="AO139" s="42">
        <f t="shared" si="75"/>
        <v>497495.11111111194</v>
      </c>
      <c r="AP139" s="42">
        <f t="shared" si="76"/>
        <v>705.33333333333394</v>
      </c>
      <c r="AQ139" s="43"/>
      <c r="AR139" s="42">
        <f t="shared" si="78"/>
        <v>10507.5</v>
      </c>
      <c r="AS139" s="42">
        <f t="shared" si="79"/>
        <v>862.5</v>
      </c>
      <c r="AT139" s="42">
        <f t="shared" si="80"/>
        <v>743906.25</v>
      </c>
      <c r="AU139" s="42">
        <f t="shared" si="89"/>
        <v>862.5</v>
      </c>
      <c r="AV139" s="43"/>
      <c r="AW139" s="42">
        <f t="shared" si="81"/>
        <v>10621.363636363636</v>
      </c>
      <c r="AX139" s="42">
        <f t="shared" si="84"/>
        <v>748.63636363636397</v>
      </c>
      <c r="AY139" s="42">
        <f t="shared" si="82"/>
        <v>560456.40495867818</v>
      </c>
      <c r="AZ139" s="42">
        <f t="shared" si="83"/>
        <v>748.63636363636397</v>
      </c>
      <c r="BA139" s="43"/>
      <c r="BB139" s="44">
        <f t="shared" si="90"/>
        <v>10671.416666666666</v>
      </c>
      <c r="BC139" s="42">
        <f t="shared" si="87"/>
        <v>698.58333333333394</v>
      </c>
      <c r="BD139" s="42">
        <f t="shared" si="85"/>
        <v>488018.67361111194</v>
      </c>
      <c r="BE139" s="42">
        <f t="shared" si="86"/>
        <v>698.58333333333394</v>
      </c>
    </row>
    <row r="140" spans="1:57" ht="18" x14ac:dyDescent="0.2">
      <c r="A140" s="7">
        <v>42491</v>
      </c>
      <c r="B140" s="17">
        <v>11248</v>
      </c>
      <c r="D140" s="42">
        <f t="shared" si="91"/>
        <v>10981.5</v>
      </c>
      <c r="E140" s="42">
        <f t="shared" si="88"/>
        <v>266.5</v>
      </c>
      <c r="F140" s="42">
        <f t="shared" si="92"/>
        <v>71022.25</v>
      </c>
      <c r="G140" s="42">
        <f t="shared" si="93"/>
        <v>266.5</v>
      </c>
      <c r="H140" s="43"/>
      <c r="I140" s="42">
        <f t="shared" si="94"/>
        <v>10511.666666666666</v>
      </c>
      <c r="J140" s="42">
        <f t="shared" si="95"/>
        <v>736.33333333333394</v>
      </c>
      <c r="K140" s="42">
        <f t="shared" si="96"/>
        <v>542186.77777777868</v>
      </c>
      <c r="L140" s="42">
        <f t="shared" si="97"/>
        <v>736.33333333333394</v>
      </c>
      <c r="M140" s="43"/>
      <c r="N140" s="42">
        <f t="shared" si="98"/>
        <v>10024</v>
      </c>
      <c r="O140" s="42">
        <f t="shared" si="100"/>
        <v>1224</v>
      </c>
      <c r="P140" s="42">
        <f t="shared" si="101"/>
        <v>1498176</v>
      </c>
      <c r="Q140" s="42">
        <f t="shared" si="99"/>
        <v>1224</v>
      </c>
      <c r="R140" s="43"/>
      <c r="S140" s="42">
        <f t="shared" si="102"/>
        <v>10688</v>
      </c>
      <c r="T140" s="42">
        <f t="shared" si="104"/>
        <v>560</v>
      </c>
      <c r="U140" s="42">
        <f t="shared" si="105"/>
        <v>313600</v>
      </c>
      <c r="V140" s="42">
        <f t="shared" si="103"/>
        <v>560</v>
      </c>
      <c r="W140" s="43"/>
      <c r="X140" s="42">
        <f t="shared" si="106"/>
        <v>10735.833333333334</v>
      </c>
      <c r="Y140" s="42">
        <f t="shared" ref="Y140:Y203" si="108">$B140-X140</f>
        <v>512.16666666666606</v>
      </c>
      <c r="Z140" s="42">
        <f t="shared" ref="Z140:Z203" si="109">Y140^2</f>
        <v>262314.6944444438</v>
      </c>
      <c r="AA140" s="42">
        <f t="shared" si="107"/>
        <v>512.16666666666606</v>
      </c>
      <c r="AB140" s="43"/>
      <c r="AC140" s="42">
        <f t="shared" ref="AC140:AC203" si="110">AVERAGE(B133:B139)</f>
        <v>11046.857142857143</v>
      </c>
      <c r="AD140" s="42">
        <f t="shared" si="68"/>
        <v>201.14285714285688</v>
      </c>
      <c r="AE140" s="42">
        <f t="shared" si="69"/>
        <v>40458.448979591732</v>
      </c>
      <c r="AF140" s="42">
        <f t="shared" ref="AF140:AF203" si="111">ABS(AD140)</f>
        <v>201.14285714285688</v>
      </c>
      <c r="AG140" s="43"/>
      <c r="AH140" s="42">
        <f t="shared" si="70"/>
        <v>10945.75</v>
      </c>
      <c r="AI140" s="42">
        <f t="shared" si="73"/>
        <v>302.25</v>
      </c>
      <c r="AJ140" s="42">
        <f t="shared" si="71"/>
        <v>91355.0625</v>
      </c>
      <c r="AK140" s="42">
        <f t="shared" si="72"/>
        <v>302.25</v>
      </c>
      <c r="AL140" s="43"/>
      <c r="AM140" s="42">
        <f t="shared" si="74"/>
        <v>10863.111111111111</v>
      </c>
      <c r="AN140" s="42">
        <f t="shared" si="77"/>
        <v>384.88888888888869</v>
      </c>
      <c r="AO140" s="42">
        <f t="shared" si="75"/>
        <v>148139.45679012331</v>
      </c>
      <c r="AP140" s="42">
        <f t="shared" si="76"/>
        <v>384.88888888888869</v>
      </c>
      <c r="AQ140" s="43"/>
      <c r="AR140" s="42">
        <f t="shared" si="78"/>
        <v>10735.2</v>
      </c>
      <c r="AS140" s="42">
        <f t="shared" si="79"/>
        <v>512.79999999999927</v>
      </c>
      <c r="AT140" s="42">
        <f t="shared" si="80"/>
        <v>262963.83999999927</v>
      </c>
      <c r="AU140" s="42">
        <f t="shared" si="89"/>
        <v>512.79999999999927</v>
      </c>
      <c r="AV140" s="43"/>
      <c r="AW140" s="42">
        <f t="shared" si="81"/>
        <v>10585.90909090909</v>
      </c>
      <c r="AX140" s="42">
        <f t="shared" si="84"/>
        <v>662.09090909090992</v>
      </c>
      <c r="AY140" s="42">
        <f t="shared" si="82"/>
        <v>438364.37190082757</v>
      </c>
      <c r="AZ140" s="42">
        <f t="shared" si="83"/>
        <v>662.09090909090992</v>
      </c>
      <c r="BA140" s="43"/>
      <c r="BB140" s="44">
        <f t="shared" si="90"/>
        <v>10683.75</v>
      </c>
      <c r="BC140" s="42">
        <f t="shared" si="87"/>
        <v>564.25</v>
      </c>
      <c r="BD140" s="42">
        <f t="shared" si="85"/>
        <v>318378.0625</v>
      </c>
      <c r="BE140" s="42">
        <f t="shared" si="86"/>
        <v>564.25</v>
      </c>
    </row>
    <row r="141" spans="1:57" ht="18" x14ac:dyDescent="0.2">
      <c r="A141" s="7">
        <v>42522</v>
      </c>
      <c r="B141" s="17">
        <v>10830</v>
      </c>
      <c r="D141" s="42">
        <f t="shared" si="91"/>
        <v>11309</v>
      </c>
      <c r="E141" s="42">
        <f t="shared" si="88"/>
        <v>-479</v>
      </c>
      <c r="F141" s="42">
        <f t="shared" si="92"/>
        <v>229441</v>
      </c>
      <c r="G141" s="42">
        <f t="shared" si="93"/>
        <v>479</v>
      </c>
      <c r="H141" s="43"/>
      <c r="I141" s="42">
        <f t="shared" si="94"/>
        <v>11070.333333333334</v>
      </c>
      <c r="J141" s="42">
        <f t="shared" si="95"/>
        <v>-240.33333333333394</v>
      </c>
      <c r="K141" s="42">
        <f t="shared" si="96"/>
        <v>57760.111111111401</v>
      </c>
      <c r="L141" s="42">
        <f t="shared" si="97"/>
        <v>240.33333333333394</v>
      </c>
      <c r="M141" s="43"/>
      <c r="N141" s="42">
        <f t="shared" si="98"/>
        <v>10695.75</v>
      </c>
      <c r="O141" s="42">
        <f t="shared" si="100"/>
        <v>134.25</v>
      </c>
      <c r="P141" s="42">
        <f t="shared" si="101"/>
        <v>18023.0625</v>
      </c>
      <c r="Q141" s="42">
        <f t="shared" si="99"/>
        <v>134.25</v>
      </c>
      <c r="R141" s="43"/>
      <c r="S141" s="42">
        <f t="shared" si="102"/>
        <v>10268.799999999999</v>
      </c>
      <c r="T141" s="42">
        <f t="shared" si="104"/>
        <v>561.20000000000073</v>
      </c>
      <c r="U141" s="42">
        <f t="shared" si="105"/>
        <v>314945.44000000082</v>
      </c>
      <c r="V141" s="42">
        <f t="shared" si="103"/>
        <v>561.20000000000073</v>
      </c>
      <c r="W141" s="43"/>
      <c r="X141" s="42">
        <f t="shared" si="106"/>
        <v>10781.333333333334</v>
      </c>
      <c r="Y141" s="42">
        <f t="shared" si="108"/>
        <v>48.66666666666606</v>
      </c>
      <c r="Z141" s="42">
        <f t="shared" si="109"/>
        <v>2368.4444444443852</v>
      </c>
      <c r="AA141" s="42">
        <f t="shared" si="107"/>
        <v>48.66666666666606</v>
      </c>
      <c r="AB141" s="43"/>
      <c r="AC141" s="42">
        <f t="shared" si="110"/>
        <v>10809</v>
      </c>
      <c r="AD141" s="42">
        <f t="shared" ref="AD141:AD204" si="112">$B141-AC141</f>
        <v>21</v>
      </c>
      <c r="AE141" s="42">
        <f t="shared" ref="AE141:AE204" si="113">AD141^2</f>
        <v>441</v>
      </c>
      <c r="AF141" s="42">
        <f t="shared" si="111"/>
        <v>21</v>
      </c>
      <c r="AG141" s="43"/>
      <c r="AH141" s="42">
        <f t="shared" ref="AH141:AH204" si="114">AVERAGE(B133:B140)</f>
        <v>11072</v>
      </c>
      <c r="AI141" s="42">
        <f t="shared" si="73"/>
        <v>-242</v>
      </c>
      <c r="AJ141" s="42">
        <f t="shared" ref="AJ141:AJ204" si="115">AI141^2</f>
        <v>58564</v>
      </c>
      <c r="AK141" s="42">
        <f t="shared" ref="AK141:AK204" si="116">ABS(AI141)</f>
        <v>242</v>
      </c>
      <c r="AL141" s="43"/>
      <c r="AM141" s="42">
        <f t="shared" si="74"/>
        <v>10979.333333333334</v>
      </c>
      <c r="AN141" s="42">
        <f t="shared" si="77"/>
        <v>-149.33333333333394</v>
      </c>
      <c r="AO141" s="42">
        <f t="shared" si="75"/>
        <v>22300.444444444627</v>
      </c>
      <c r="AP141" s="42">
        <f t="shared" si="76"/>
        <v>149.33333333333394</v>
      </c>
      <c r="AQ141" s="43"/>
      <c r="AR141" s="42">
        <f t="shared" si="78"/>
        <v>10901.6</v>
      </c>
      <c r="AS141" s="42">
        <f t="shared" si="79"/>
        <v>-71.600000000000364</v>
      </c>
      <c r="AT141" s="42">
        <f t="shared" si="80"/>
        <v>5126.5600000000522</v>
      </c>
      <c r="AU141" s="42">
        <f t="shared" si="89"/>
        <v>71.600000000000364</v>
      </c>
      <c r="AV141" s="43"/>
      <c r="AW141" s="42">
        <f t="shared" si="81"/>
        <v>10781.818181818182</v>
      </c>
      <c r="AX141" s="42">
        <f t="shared" si="84"/>
        <v>48.181818181818016</v>
      </c>
      <c r="AY141" s="42">
        <f t="shared" si="82"/>
        <v>2321.487603305769</v>
      </c>
      <c r="AZ141" s="42">
        <f t="shared" si="83"/>
        <v>48.181818181818016</v>
      </c>
      <c r="BA141" s="43"/>
      <c r="BB141" s="44">
        <f t="shared" si="90"/>
        <v>10641.083333333334</v>
      </c>
      <c r="BC141" s="42">
        <f t="shared" si="87"/>
        <v>188.91666666666606</v>
      </c>
      <c r="BD141" s="42">
        <f t="shared" si="85"/>
        <v>35689.506944444212</v>
      </c>
      <c r="BE141" s="42">
        <f t="shared" si="86"/>
        <v>188.91666666666606</v>
      </c>
    </row>
    <row r="142" spans="1:57" ht="18" x14ac:dyDescent="0.2">
      <c r="A142" s="7">
        <v>42552</v>
      </c>
      <c r="B142" s="17">
        <v>10350</v>
      </c>
      <c r="D142" s="42">
        <f t="shared" si="91"/>
        <v>11039</v>
      </c>
      <c r="E142" s="42">
        <f t="shared" si="88"/>
        <v>-689</v>
      </c>
      <c r="F142" s="42">
        <f t="shared" si="92"/>
        <v>474721</v>
      </c>
      <c r="G142" s="42">
        <f t="shared" si="93"/>
        <v>689</v>
      </c>
      <c r="H142" s="43"/>
      <c r="I142" s="42">
        <f t="shared" si="94"/>
        <v>11149.333333333334</v>
      </c>
      <c r="J142" s="42">
        <f t="shared" si="95"/>
        <v>-799.33333333333394</v>
      </c>
      <c r="K142" s="42">
        <f t="shared" si="96"/>
        <v>638933.7777777788</v>
      </c>
      <c r="L142" s="42">
        <f t="shared" si="97"/>
        <v>799.33333333333394</v>
      </c>
      <c r="M142" s="43"/>
      <c r="N142" s="42">
        <f t="shared" si="98"/>
        <v>11010.25</v>
      </c>
      <c r="O142" s="42">
        <f t="shared" si="100"/>
        <v>-660.25</v>
      </c>
      <c r="P142" s="42">
        <f t="shared" si="101"/>
        <v>435930.0625</v>
      </c>
      <c r="Q142" s="42">
        <f t="shared" si="99"/>
        <v>660.25</v>
      </c>
      <c r="R142" s="43"/>
      <c r="S142" s="42">
        <f t="shared" si="102"/>
        <v>10722.6</v>
      </c>
      <c r="T142" s="42">
        <f t="shared" si="104"/>
        <v>-372.60000000000036</v>
      </c>
      <c r="U142" s="42">
        <f t="shared" si="105"/>
        <v>138830.76000000027</v>
      </c>
      <c r="V142" s="42">
        <f t="shared" si="103"/>
        <v>372.60000000000036</v>
      </c>
      <c r="W142" s="43"/>
      <c r="X142" s="42">
        <f t="shared" si="106"/>
        <v>10362.333333333334</v>
      </c>
      <c r="Y142" s="42">
        <f t="shared" si="108"/>
        <v>-12.33333333333394</v>
      </c>
      <c r="Z142" s="42">
        <f t="shared" si="109"/>
        <v>152.11111111112606</v>
      </c>
      <c r="AA142" s="42">
        <f t="shared" si="107"/>
        <v>12.33333333333394</v>
      </c>
      <c r="AB142" s="43"/>
      <c r="AC142" s="42">
        <f t="shared" si="110"/>
        <v>10788.285714285714</v>
      </c>
      <c r="AD142" s="42">
        <f t="shared" si="112"/>
        <v>-438.28571428571377</v>
      </c>
      <c r="AE142" s="42">
        <f t="shared" si="113"/>
        <v>192094.36734693832</v>
      </c>
      <c r="AF142" s="42">
        <f t="shared" si="111"/>
        <v>438.28571428571377</v>
      </c>
      <c r="AG142" s="43"/>
      <c r="AH142" s="42">
        <f t="shared" si="114"/>
        <v>10811.625</v>
      </c>
      <c r="AI142" s="42">
        <f t="shared" ref="AI142:AI205" si="117">$B142-AH142</f>
        <v>-461.625</v>
      </c>
      <c r="AJ142" s="42">
        <f t="shared" si="115"/>
        <v>213097.640625</v>
      </c>
      <c r="AK142" s="42">
        <f t="shared" si="116"/>
        <v>461.625</v>
      </c>
      <c r="AL142" s="43"/>
      <c r="AM142" s="42">
        <f t="shared" ref="AM142:AM205" si="118">AVERAGE(B133:B141)</f>
        <v>11045.111111111111</v>
      </c>
      <c r="AN142" s="42">
        <f t="shared" si="77"/>
        <v>-695.11111111111131</v>
      </c>
      <c r="AO142" s="42">
        <f t="shared" ref="AO142:AO205" si="119">AN142^2</f>
        <v>483179.45679012372</v>
      </c>
      <c r="AP142" s="42">
        <f t="shared" ref="AP142:AP205" si="120">ABS(AN142)</f>
        <v>695.11111111111131</v>
      </c>
      <c r="AQ142" s="43"/>
      <c r="AR142" s="42">
        <f t="shared" si="78"/>
        <v>10964.4</v>
      </c>
      <c r="AS142" s="42">
        <f t="shared" si="79"/>
        <v>-614.39999999999964</v>
      </c>
      <c r="AT142" s="42">
        <f t="shared" si="80"/>
        <v>377487.35999999958</v>
      </c>
      <c r="AU142" s="42">
        <f t="shared" si="89"/>
        <v>614.39999999999964</v>
      </c>
      <c r="AV142" s="43"/>
      <c r="AW142" s="42">
        <f t="shared" si="81"/>
        <v>10895.09090909091</v>
      </c>
      <c r="AX142" s="42">
        <f t="shared" si="84"/>
        <v>-545.09090909090992</v>
      </c>
      <c r="AY142" s="42">
        <f t="shared" si="82"/>
        <v>297124.09917355463</v>
      </c>
      <c r="AZ142" s="42">
        <f t="shared" si="83"/>
        <v>545.09090909090992</v>
      </c>
      <c r="BA142" s="43"/>
      <c r="BB142" s="44">
        <f t="shared" si="90"/>
        <v>10785.833333333334</v>
      </c>
      <c r="BC142" s="42">
        <f t="shared" si="87"/>
        <v>-435.83333333333394</v>
      </c>
      <c r="BD142" s="42">
        <f t="shared" si="85"/>
        <v>189950.69444444496</v>
      </c>
      <c r="BE142" s="42">
        <f t="shared" si="86"/>
        <v>435.83333333333394</v>
      </c>
    </row>
    <row r="143" spans="1:57" ht="18" x14ac:dyDescent="0.2">
      <c r="A143" s="7">
        <v>42583</v>
      </c>
      <c r="B143" s="17">
        <v>9269</v>
      </c>
      <c r="D143" s="42">
        <f t="shared" si="91"/>
        <v>10590</v>
      </c>
      <c r="E143" s="42">
        <f t="shared" si="88"/>
        <v>-1321</v>
      </c>
      <c r="F143" s="42">
        <f t="shared" si="92"/>
        <v>1745041</v>
      </c>
      <c r="G143" s="42">
        <f t="shared" si="93"/>
        <v>1321</v>
      </c>
      <c r="H143" s="43"/>
      <c r="I143" s="42">
        <f t="shared" si="94"/>
        <v>10809.333333333334</v>
      </c>
      <c r="J143" s="42">
        <f t="shared" si="95"/>
        <v>-1540.3333333333339</v>
      </c>
      <c r="K143" s="42">
        <f t="shared" si="96"/>
        <v>2372626.7777777798</v>
      </c>
      <c r="L143" s="42">
        <f t="shared" si="97"/>
        <v>1540.3333333333339</v>
      </c>
      <c r="M143" s="43"/>
      <c r="N143" s="42">
        <f t="shared" si="98"/>
        <v>10949.5</v>
      </c>
      <c r="O143" s="42">
        <f t="shared" si="100"/>
        <v>-1680.5</v>
      </c>
      <c r="P143" s="42">
        <f t="shared" si="101"/>
        <v>2824080.25</v>
      </c>
      <c r="Q143" s="42">
        <f t="shared" si="99"/>
        <v>1680.5</v>
      </c>
      <c r="R143" s="43"/>
      <c r="S143" s="42">
        <f t="shared" si="102"/>
        <v>10878.2</v>
      </c>
      <c r="T143" s="42">
        <f t="shared" si="104"/>
        <v>-1609.2000000000007</v>
      </c>
      <c r="U143" s="42">
        <f t="shared" si="105"/>
        <v>2589524.6400000025</v>
      </c>
      <c r="V143" s="42">
        <f t="shared" si="103"/>
        <v>1609.2000000000007</v>
      </c>
      <c r="W143" s="43"/>
      <c r="X143" s="42">
        <f t="shared" si="106"/>
        <v>10660.5</v>
      </c>
      <c r="Y143" s="42">
        <f t="shared" si="108"/>
        <v>-1391.5</v>
      </c>
      <c r="Z143" s="42">
        <f t="shared" si="109"/>
        <v>1936272.25</v>
      </c>
      <c r="AA143" s="42">
        <f t="shared" si="107"/>
        <v>1391.5</v>
      </c>
      <c r="AB143" s="43"/>
      <c r="AC143" s="42">
        <f t="shared" si="110"/>
        <v>10360.571428571429</v>
      </c>
      <c r="AD143" s="42">
        <f t="shared" si="112"/>
        <v>-1091.5714285714294</v>
      </c>
      <c r="AE143" s="42">
        <f t="shared" si="113"/>
        <v>1191528.183673471</v>
      </c>
      <c r="AF143" s="42">
        <f t="shared" si="111"/>
        <v>1091.5714285714294</v>
      </c>
      <c r="AG143" s="43"/>
      <c r="AH143" s="42">
        <f t="shared" si="114"/>
        <v>10733.5</v>
      </c>
      <c r="AI143" s="42">
        <f t="shared" si="117"/>
        <v>-1464.5</v>
      </c>
      <c r="AJ143" s="42">
        <f t="shared" si="115"/>
        <v>2144760.25</v>
      </c>
      <c r="AK143" s="42">
        <f t="shared" si="116"/>
        <v>1464.5</v>
      </c>
      <c r="AL143" s="43"/>
      <c r="AM143" s="42">
        <f t="shared" si="118"/>
        <v>10760.333333333334</v>
      </c>
      <c r="AN143" s="42">
        <f t="shared" ref="AN143:AN206" si="121">$B143-AM143</f>
        <v>-1491.3333333333339</v>
      </c>
      <c r="AO143" s="42">
        <f t="shared" si="119"/>
        <v>2224075.1111111129</v>
      </c>
      <c r="AP143" s="42">
        <f t="shared" si="120"/>
        <v>1491.3333333333339</v>
      </c>
      <c r="AQ143" s="43"/>
      <c r="AR143" s="42">
        <f t="shared" ref="AR143:AR206" si="122">AVERAGE(B133:B142)</f>
        <v>10975.6</v>
      </c>
      <c r="AS143" s="42">
        <f t="shared" si="79"/>
        <v>-1706.6000000000004</v>
      </c>
      <c r="AT143" s="42">
        <f t="shared" si="80"/>
        <v>2912483.5600000015</v>
      </c>
      <c r="AU143" s="42">
        <f t="shared" si="89"/>
        <v>1706.6000000000004</v>
      </c>
      <c r="AV143" s="43"/>
      <c r="AW143" s="42">
        <f t="shared" si="81"/>
        <v>10908.545454545454</v>
      </c>
      <c r="AX143" s="42">
        <f t="shared" si="84"/>
        <v>-1639.545454545454</v>
      </c>
      <c r="AY143" s="42">
        <f t="shared" si="82"/>
        <v>2688109.2975206594</v>
      </c>
      <c r="AZ143" s="42">
        <f t="shared" si="83"/>
        <v>1639.545454545454</v>
      </c>
      <c r="BA143" s="43"/>
      <c r="BB143" s="44">
        <f t="shared" si="90"/>
        <v>10849.666666666666</v>
      </c>
      <c r="BC143" s="42">
        <f t="shared" si="87"/>
        <v>-1580.6666666666661</v>
      </c>
      <c r="BD143" s="42">
        <f t="shared" si="85"/>
        <v>2498507.1111111091</v>
      </c>
      <c r="BE143" s="42">
        <f t="shared" si="86"/>
        <v>1580.6666666666661</v>
      </c>
    </row>
    <row r="144" spans="1:57" ht="18" x14ac:dyDescent="0.2">
      <c r="A144" s="7">
        <v>42614</v>
      </c>
      <c r="B144" s="17">
        <v>9206</v>
      </c>
      <c r="D144" s="42">
        <f t="shared" si="91"/>
        <v>9809.5</v>
      </c>
      <c r="E144" s="42">
        <f t="shared" si="88"/>
        <v>-603.5</v>
      </c>
      <c r="F144" s="42">
        <f t="shared" si="92"/>
        <v>364212.25</v>
      </c>
      <c r="G144" s="42">
        <f t="shared" si="93"/>
        <v>603.5</v>
      </c>
      <c r="H144" s="43"/>
      <c r="I144" s="42">
        <f t="shared" si="94"/>
        <v>10149.666666666666</v>
      </c>
      <c r="J144" s="42">
        <f t="shared" si="95"/>
        <v>-943.66666666666606</v>
      </c>
      <c r="K144" s="42">
        <f t="shared" si="96"/>
        <v>890506.77777777659</v>
      </c>
      <c r="L144" s="42">
        <f t="shared" si="97"/>
        <v>943.66666666666606</v>
      </c>
      <c r="M144" s="43"/>
      <c r="N144" s="42">
        <f t="shared" si="98"/>
        <v>10424.25</v>
      </c>
      <c r="O144" s="42">
        <f t="shared" si="100"/>
        <v>-1218.25</v>
      </c>
      <c r="P144" s="42">
        <f t="shared" si="101"/>
        <v>1484133.0625</v>
      </c>
      <c r="Q144" s="42">
        <f t="shared" si="99"/>
        <v>1218.25</v>
      </c>
      <c r="R144" s="43"/>
      <c r="S144" s="42">
        <f t="shared" si="102"/>
        <v>10613.4</v>
      </c>
      <c r="T144" s="42">
        <f t="shared" si="104"/>
        <v>-1407.3999999999996</v>
      </c>
      <c r="U144" s="42">
        <f t="shared" si="105"/>
        <v>1980774.7599999991</v>
      </c>
      <c r="V144" s="42">
        <f t="shared" si="103"/>
        <v>1407.3999999999996</v>
      </c>
      <c r="W144" s="43"/>
      <c r="X144" s="42">
        <f t="shared" si="106"/>
        <v>10610</v>
      </c>
      <c r="Y144" s="42">
        <f t="shared" si="108"/>
        <v>-1404</v>
      </c>
      <c r="Z144" s="42">
        <f t="shared" si="109"/>
        <v>1971216</v>
      </c>
      <c r="AA144" s="42">
        <f t="shared" si="107"/>
        <v>1404</v>
      </c>
      <c r="AB144" s="43"/>
      <c r="AC144" s="42">
        <f t="shared" si="110"/>
        <v>10461.714285714286</v>
      </c>
      <c r="AD144" s="42">
        <f t="shared" si="112"/>
        <v>-1255.7142857142862</v>
      </c>
      <c r="AE144" s="42">
        <f t="shared" si="113"/>
        <v>1576818.3673469401</v>
      </c>
      <c r="AF144" s="42">
        <f t="shared" si="111"/>
        <v>1255.7142857142862</v>
      </c>
      <c r="AG144" s="43"/>
      <c r="AH144" s="42">
        <f t="shared" si="114"/>
        <v>10224.125</v>
      </c>
      <c r="AI144" s="42">
        <f t="shared" si="117"/>
        <v>-1018.125</v>
      </c>
      <c r="AJ144" s="42">
        <f t="shared" si="115"/>
        <v>1036578.515625</v>
      </c>
      <c r="AK144" s="42">
        <f t="shared" si="116"/>
        <v>1018.125</v>
      </c>
      <c r="AL144" s="43"/>
      <c r="AM144" s="42">
        <f t="shared" si="118"/>
        <v>10570.777777777777</v>
      </c>
      <c r="AN144" s="42">
        <f t="shared" si="121"/>
        <v>-1364.7777777777774</v>
      </c>
      <c r="AO144" s="42">
        <f t="shared" si="119"/>
        <v>1862618.3827160483</v>
      </c>
      <c r="AP144" s="42">
        <f t="shared" si="120"/>
        <v>1364.7777777777774</v>
      </c>
      <c r="AQ144" s="43"/>
      <c r="AR144" s="42">
        <f t="shared" si="122"/>
        <v>10611.2</v>
      </c>
      <c r="AS144" s="42">
        <f t="shared" ref="AS144:AS207" si="123">$B144-AR144</f>
        <v>-1405.2000000000007</v>
      </c>
      <c r="AT144" s="42">
        <f t="shared" ref="AT144:AT207" si="124">AS144^2</f>
        <v>1974587.0400000021</v>
      </c>
      <c r="AU144" s="42">
        <f t="shared" si="89"/>
        <v>1405.2000000000007</v>
      </c>
      <c r="AV144" s="43"/>
      <c r="AW144" s="42">
        <f t="shared" ref="AW144:AW207" si="125">AVERAGE(B133:B143)</f>
        <v>10820.454545454546</v>
      </c>
      <c r="AX144" s="42">
        <f t="shared" si="84"/>
        <v>-1614.454545454546</v>
      </c>
      <c r="AY144" s="42">
        <f t="shared" ref="AY144:AY207" si="126">AX144^2</f>
        <v>2606463.4793388448</v>
      </c>
      <c r="AZ144" s="42">
        <f t="shared" ref="AZ144:AZ207" si="127">ABS(AX144)</f>
        <v>1614.454545454546</v>
      </c>
      <c r="BA144" s="43"/>
      <c r="BB144" s="44">
        <f t="shared" si="90"/>
        <v>10771.916666666666</v>
      </c>
      <c r="BC144" s="42">
        <f t="shared" si="87"/>
        <v>-1565.9166666666661</v>
      </c>
      <c r="BD144" s="42">
        <f t="shared" si="85"/>
        <v>2452095.0069444426</v>
      </c>
      <c r="BE144" s="42">
        <f t="shared" si="86"/>
        <v>1565.9166666666661</v>
      </c>
    </row>
    <row r="145" spans="1:57" ht="18" x14ac:dyDescent="0.2">
      <c r="A145" s="7">
        <v>42644</v>
      </c>
      <c r="B145" s="17">
        <v>8677</v>
      </c>
      <c r="D145" s="42">
        <f t="shared" si="91"/>
        <v>9237.5</v>
      </c>
      <c r="E145" s="42">
        <f t="shared" si="88"/>
        <v>-560.5</v>
      </c>
      <c r="F145" s="42">
        <f t="shared" si="92"/>
        <v>314160.25</v>
      </c>
      <c r="G145" s="42">
        <f t="shared" si="93"/>
        <v>560.5</v>
      </c>
      <c r="H145" s="43"/>
      <c r="I145" s="42">
        <f t="shared" si="94"/>
        <v>9608.3333333333339</v>
      </c>
      <c r="J145" s="42">
        <f t="shared" si="95"/>
        <v>-931.33333333333394</v>
      </c>
      <c r="K145" s="42">
        <f t="shared" si="96"/>
        <v>867381.77777777892</v>
      </c>
      <c r="L145" s="42">
        <f t="shared" si="97"/>
        <v>931.33333333333394</v>
      </c>
      <c r="M145" s="43"/>
      <c r="N145" s="42">
        <f t="shared" si="98"/>
        <v>9913.75</v>
      </c>
      <c r="O145" s="42">
        <f t="shared" si="100"/>
        <v>-1236.75</v>
      </c>
      <c r="P145" s="42">
        <f t="shared" si="101"/>
        <v>1529550.5625</v>
      </c>
      <c r="Q145" s="42">
        <f t="shared" si="99"/>
        <v>1236.75</v>
      </c>
      <c r="R145" s="43"/>
      <c r="S145" s="42">
        <f t="shared" si="102"/>
        <v>10180.6</v>
      </c>
      <c r="T145" s="42">
        <f t="shared" si="104"/>
        <v>-1503.6000000000004</v>
      </c>
      <c r="U145" s="42">
        <f t="shared" si="105"/>
        <v>2260812.9600000009</v>
      </c>
      <c r="V145" s="42">
        <f t="shared" si="103"/>
        <v>1503.6000000000004</v>
      </c>
      <c r="W145" s="43"/>
      <c r="X145" s="42">
        <f t="shared" si="106"/>
        <v>10378.833333333334</v>
      </c>
      <c r="Y145" s="42">
        <f t="shared" si="108"/>
        <v>-1701.8333333333339</v>
      </c>
      <c r="Z145" s="42">
        <f t="shared" si="109"/>
        <v>2896236.6944444464</v>
      </c>
      <c r="AA145" s="42">
        <f t="shared" si="107"/>
        <v>1701.8333333333339</v>
      </c>
      <c r="AB145" s="43"/>
      <c r="AC145" s="42">
        <f t="shared" si="110"/>
        <v>10409.428571428571</v>
      </c>
      <c r="AD145" s="42">
        <f t="shared" si="112"/>
        <v>-1732.4285714285706</v>
      </c>
      <c r="AE145" s="42">
        <f t="shared" si="113"/>
        <v>3001308.7551020379</v>
      </c>
      <c r="AF145" s="42">
        <f t="shared" si="111"/>
        <v>1732.4285714285706</v>
      </c>
      <c r="AG145" s="43"/>
      <c r="AH145" s="42">
        <f t="shared" si="114"/>
        <v>10304.75</v>
      </c>
      <c r="AI145" s="42">
        <f t="shared" si="117"/>
        <v>-1627.75</v>
      </c>
      <c r="AJ145" s="42">
        <f t="shared" si="115"/>
        <v>2649570.0625</v>
      </c>
      <c r="AK145" s="42">
        <f t="shared" si="116"/>
        <v>1627.75</v>
      </c>
      <c r="AL145" s="43"/>
      <c r="AM145" s="42">
        <f t="shared" si="118"/>
        <v>10111</v>
      </c>
      <c r="AN145" s="42">
        <f t="shared" si="121"/>
        <v>-1434</v>
      </c>
      <c r="AO145" s="42">
        <f t="shared" si="119"/>
        <v>2056356</v>
      </c>
      <c r="AP145" s="42">
        <f t="shared" si="120"/>
        <v>1434</v>
      </c>
      <c r="AQ145" s="43"/>
      <c r="AR145" s="42">
        <f t="shared" si="122"/>
        <v>10434.299999999999</v>
      </c>
      <c r="AS145" s="42">
        <f t="shared" si="123"/>
        <v>-1757.2999999999993</v>
      </c>
      <c r="AT145" s="42">
        <f t="shared" si="124"/>
        <v>3088103.2899999972</v>
      </c>
      <c r="AU145" s="42">
        <f t="shared" si="89"/>
        <v>1757.2999999999993</v>
      </c>
      <c r="AV145" s="43"/>
      <c r="AW145" s="42">
        <f t="shared" si="125"/>
        <v>10483.454545454546</v>
      </c>
      <c r="AX145" s="42">
        <f t="shared" ref="AX145:AX208" si="128">$B145-AW145</f>
        <v>-1806.454545454546</v>
      </c>
      <c r="AY145" s="42">
        <f t="shared" si="126"/>
        <v>3263278.0247933902</v>
      </c>
      <c r="AZ145" s="42">
        <f t="shared" si="127"/>
        <v>1806.454545454546</v>
      </c>
      <c r="BA145" s="43"/>
      <c r="BB145" s="44">
        <f t="shared" si="90"/>
        <v>10685.916666666666</v>
      </c>
      <c r="BC145" s="42">
        <f t="shared" si="87"/>
        <v>-2008.9166666666661</v>
      </c>
      <c r="BD145" s="42">
        <f t="shared" ref="BD145:BD208" si="129">BC145^2</f>
        <v>4035746.1736111087</v>
      </c>
      <c r="BE145" s="42">
        <f t="shared" ref="BE145:BE208" si="130">ABS(BC145)</f>
        <v>2008.9166666666661</v>
      </c>
    </row>
    <row r="146" spans="1:57" ht="18" x14ac:dyDescent="0.2">
      <c r="A146" s="7">
        <v>42675</v>
      </c>
      <c r="B146" s="17">
        <v>9024</v>
      </c>
      <c r="D146" s="42">
        <f t="shared" si="91"/>
        <v>8941.5</v>
      </c>
      <c r="E146" s="42">
        <f t="shared" si="88"/>
        <v>82.5</v>
      </c>
      <c r="F146" s="42">
        <f t="shared" si="92"/>
        <v>6806.25</v>
      </c>
      <c r="G146" s="42">
        <f t="shared" si="93"/>
        <v>82.5</v>
      </c>
      <c r="H146" s="43"/>
      <c r="I146" s="42">
        <f t="shared" si="94"/>
        <v>9050.6666666666661</v>
      </c>
      <c r="J146" s="42">
        <f t="shared" si="95"/>
        <v>-26.66666666666606</v>
      </c>
      <c r="K146" s="42">
        <f t="shared" si="96"/>
        <v>711.1111111110788</v>
      </c>
      <c r="L146" s="42">
        <f t="shared" si="97"/>
        <v>26.66666666666606</v>
      </c>
      <c r="M146" s="43"/>
      <c r="N146" s="42">
        <f t="shared" si="98"/>
        <v>9375.5</v>
      </c>
      <c r="O146" s="42">
        <f t="shared" si="100"/>
        <v>-351.5</v>
      </c>
      <c r="P146" s="42">
        <f t="shared" si="101"/>
        <v>123552.25</v>
      </c>
      <c r="Q146" s="42">
        <f t="shared" si="99"/>
        <v>351.5</v>
      </c>
      <c r="R146" s="43"/>
      <c r="S146" s="42">
        <f t="shared" si="102"/>
        <v>9666.4</v>
      </c>
      <c r="T146" s="42">
        <f t="shared" si="104"/>
        <v>-642.39999999999964</v>
      </c>
      <c r="U146" s="42">
        <f t="shared" si="105"/>
        <v>412677.75999999954</v>
      </c>
      <c r="V146" s="42">
        <f t="shared" si="103"/>
        <v>642.39999999999964</v>
      </c>
      <c r="W146" s="43"/>
      <c r="X146" s="42">
        <f t="shared" si="106"/>
        <v>9930</v>
      </c>
      <c r="Y146" s="42">
        <f t="shared" si="108"/>
        <v>-906</v>
      </c>
      <c r="Z146" s="42">
        <f t="shared" si="109"/>
        <v>820836</v>
      </c>
      <c r="AA146" s="42">
        <f t="shared" si="107"/>
        <v>906</v>
      </c>
      <c r="AB146" s="43"/>
      <c r="AC146" s="42">
        <f t="shared" si="110"/>
        <v>10135.714285714286</v>
      </c>
      <c r="AD146" s="42">
        <f t="shared" si="112"/>
        <v>-1111.7142857142862</v>
      </c>
      <c r="AE146" s="42">
        <f t="shared" si="113"/>
        <v>1235908.6530612255</v>
      </c>
      <c r="AF146" s="42">
        <f t="shared" si="111"/>
        <v>1111.7142857142862</v>
      </c>
      <c r="AG146" s="43"/>
      <c r="AH146" s="42">
        <f t="shared" si="114"/>
        <v>10192.875</v>
      </c>
      <c r="AI146" s="42">
        <f t="shared" si="117"/>
        <v>-1168.875</v>
      </c>
      <c r="AJ146" s="42">
        <f t="shared" si="115"/>
        <v>1366268.765625</v>
      </c>
      <c r="AK146" s="42">
        <f t="shared" si="116"/>
        <v>1168.875</v>
      </c>
      <c r="AL146" s="43"/>
      <c r="AM146" s="42">
        <f t="shared" si="118"/>
        <v>10123.888888888889</v>
      </c>
      <c r="AN146" s="42">
        <f t="shared" si="121"/>
        <v>-1099.8888888888887</v>
      </c>
      <c r="AO146" s="42">
        <f t="shared" si="119"/>
        <v>1209755.5679012341</v>
      </c>
      <c r="AP146" s="42">
        <f t="shared" si="120"/>
        <v>1099.8888888888887</v>
      </c>
      <c r="AQ146" s="43"/>
      <c r="AR146" s="42">
        <f t="shared" si="122"/>
        <v>9967.6</v>
      </c>
      <c r="AS146" s="42">
        <f t="shared" si="123"/>
        <v>-943.60000000000036</v>
      </c>
      <c r="AT146" s="42">
        <f t="shared" si="124"/>
        <v>890380.96000000066</v>
      </c>
      <c r="AU146" s="42">
        <f t="shared" si="89"/>
        <v>943.60000000000036</v>
      </c>
      <c r="AV146" s="43"/>
      <c r="AW146" s="42">
        <f t="shared" si="125"/>
        <v>10274.545454545454</v>
      </c>
      <c r="AX146" s="42">
        <f t="shared" si="128"/>
        <v>-1250.545454545454</v>
      </c>
      <c r="AY146" s="42">
        <f t="shared" si="126"/>
        <v>1563863.9338842963</v>
      </c>
      <c r="AZ146" s="42">
        <f t="shared" si="127"/>
        <v>1250.545454545454</v>
      </c>
      <c r="BA146" s="43"/>
      <c r="BB146" s="44">
        <f t="shared" si="90"/>
        <v>10332.916666666666</v>
      </c>
      <c r="BC146" s="42">
        <f t="shared" ref="BC146:BC209" si="131">$B146-BB146</f>
        <v>-1308.9166666666661</v>
      </c>
      <c r="BD146" s="42">
        <f t="shared" si="129"/>
        <v>1713262.8402777761</v>
      </c>
      <c r="BE146" s="42">
        <f t="shared" si="130"/>
        <v>1308.9166666666661</v>
      </c>
    </row>
    <row r="147" spans="1:57" ht="18" x14ac:dyDescent="0.2">
      <c r="A147" s="7">
        <v>42705</v>
      </c>
      <c r="B147" s="17">
        <v>12072</v>
      </c>
      <c r="D147" s="42">
        <f t="shared" si="91"/>
        <v>8850.5</v>
      </c>
      <c r="E147" s="42">
        <f t="shared" si="88"/>
        <v>3221.5</v>
      </c>
      <c r="F147" s="42">
        <f t="shared" si="92"/>
        <v>10378062.25</v>
      </c>
      <c r="G147" s="42">
        <f t="shared" si="93"/>
        <v>3221.5</v>
      </c>
      <c r="H147" s="43"/>
      <c r="I147" s="42">
        <f t="shared" si="94"/>
        <v>8969</v>
      </c>
      <c r="J147" s="42">
        <f t="shared" si="95"/>
        <v>3103</v>
      </c>
      <c r="K147" s="42">
        <f t="shared" si="96"/>
        <v>9628609</v>
      </c>
      <c r="L147" s="42">
        <f t="shared" si="97"/>
        <v>3103</v>
      </c>
      <c r="M147" s="43"/>
      <c r="N147" s="42">
        <f t="shared" si="98"/>
        <v>9044</v>
      </c>
      <c r="O147" s="42">
        <f t="shared" si="100"/>
        <v>3028</v>
      </c>
      <c r="P147" s="42">
        <f t="shared" si="101"/>
        <v>9168784</v>
      </c>
      <c r="Q147" s="42">
        <f t="shared" si="99"/>
        <v>3028</v>
      </c>
      <c r="R147" s="43"/>
      <c r="S147" s="42">
        <f t="shared" si="102"/>
        <v>9305.2000000000007</v>
      </c>
      <c r="T147" s="42">
        <f t="shared" si="104"/>
        <v>2766.7999999999993</v>
      </c>
      <c r="U147" s="42">
        <f t="shared" si="105"/>
        <v>7655182.2399999956</v>
      </c>
      <c r="V147" s="42">
        <f t="shared" si="103"/>
        <v>2766.7999999999993</v>
      </c>
      <c r="W147" s="43"/>
      <c r="X147" s="42">
        <f t="shared" si="106"/>
        <v>9559.3333333333339</v>
      </c>
      <c r="Y147" s="42">
        <f t="shared" si="108"/>
        <v>2512.6666666666661</v>
      </c>
      <c r="Z147" s="42">
        <f t="shared" si="109"/>
        <v>6313493.7777777752</v>
      </c>
      <c r="AA147" s="42">
        <f t="shared" si="107"/>
        <v>2512.6666666666661</v>
      </c>
      <c r="AB147" s="43"/>
      <c r="AC147" s="42">
        <f t="shared" si="110"/>
        <v>9800.5714285714294</v>
      </c>
      <c r="AD147" s="42">
        <f t="shared" si="112"/>
        <v>2271.4285714285706</v>
      </c>
      <c r="AE147" s="42">
        <f t="shared" si="113"/>
        <v>5159387.7551020375</v>
      </c>
      <c r="AF147" s="42">
        <f t="shared" si="111"/>
        <v>2271.4285714285706</v>
      </c>
      <c r="AG147" s="43"/>
      <c r="AH147" s="42">
        <f t="shared" si="114"/>
        <v>9996.75</v>
      </c>
      <c r="AI147" s="42">
        <f t="shared" si="117"/>
        <v>2075.25</v>
      </c>
      <c r="AJ147" s="42">
        <f t="shared" si="115"/>
        <v>4306662.5625</v>
      </c>
      <c r="AK147" s="42">
        <f t="shared" si="116"/>
        <v>2075.25</v>
      </c>
      <c r="AL147" s="43"/>
      <c r="AM147" s="42">
        <f t="shared" si="118"/>
        <v>10063</v>
      </c>
      <c r="AN147" s="42">
        <f t="shared" si="121"/>
        <v>2009</v>
      </c>
      <c r="AO147" s="42">
        <f t="shared" si="119"/>
        <v>4036081</v>
      </c>
      <c r="AP147" s="42">
        <f t="shared" si="120"/>
        <v>2009</v>
      </c>
      <c r="AQ147" s="43"/>
      <c r="AR147" s="42">
        <f t="shared" si="122"/>
        <v>10013.9</v>
      </c>
      <c r="AS147" s="42">
        <f t="shared" si="123"/>
        <v>2058.1000000000004</v>
      </c>
      <c r="AT147" s="42">
        <f t="shared" si="124"/>
        <v>4235775.6100000013</v>
      </c>
      <c r="AU147" s="42">
        <f t="shared" si="89"/>
        <v>2058.1000000000004</v>
      </c>
      <c r="AV147" s="43"/>
      <c r="AW147" s="42">
        <f t="shared" si="125"/>
        <v>9881.818181818182</v>
      </c>
      <c r="AX147" s="42">
        <f t="shared" si="128"/>
        <v>2190.181818181818</v>
      </c>
      <c r="AY147" s="42">
        <f t="shared" si="126"/>
        <v>4796896.3966942141</v>
      </c>
      <c r="AZ147" s="42">
        <f t="shared" si="127"/>
        <v>2190.181818181818</v>
      </c>
      <c r="BA147" s="43"/>
      <c r="BB147" s="44">
        <f t="shared" si="90"/>
        <v>10170.333333333334</v>
      </c>
      <c r="BC147" s="42">
        <f t="shared" si="131"/>
        <v>1901.6666666666661</v>
      </c>
      <c r="BD147" s="42">
        <f t="shared" si="129"/>
        <v>3616336.1111111087</v>
      </c>
      <c r="BE147" s="42">
        <f t="shared" si="130"/>
        <v>1901.6666666666661</v>
      </c>
    </row>
    <row r="148" spans="1:57" ht="18" x14ac:dyDescent="0.2">
      <c r="A148" s="7">
        <v>42736</v>
      </c>
      <c r="B148" s="17">
        <v>7180</v>
      </c>
      <c r="D148" s="42">
        <f t="shared" si="91"/>
        <v>10548</v>
      </c>
      <c r="E148" s="42">
        <f t="shared" si="88"/>
        <v>-3368</v>
      </c>
      <c r="F148" s="42">
        <f t="shared" si="92"/>
        <v>11343424</v>
      </c>
      <c r="G148" s="42">
        <f t="shared" si="93"/>
        <v>3368</v>
      </c>
      <c r="H148" s="43"/>
      <c r="I148" s="42">
        <f t="shared" si="94"/>
        <v>9924.3333333333339</v>
      </c>
      <c r="J148" s="42">
        <f t="shared" si="95"/>
        <v>-2744.3333333333339</v>
      </c>
      <c r="K148" s="42">
        <f t="shared" si="96"/>
        <v>7531365.4444444478</v>
      </c>
      <c r="L148" s="42">
        <f t="shared" si="97"/>
        <v>2744.3333333333339</v>
      </c>
      <c r="M148" s="43"/>
      <c r="N148" s="42">
        <f t="shared" si="98"/>
        <v>9744.75</v>
      </c>
      <c r="O148" s="42">
        <f t="shared" si="100"/>
        <v>-2564.75</v>
      </c>
      <c r="P148" s="42">
        <f t="shared" si="101"/>
        <v>6577942.5625</v>
      </c>
      <c r="Q148" s="42">
        <f t="shared" si="99"/>
        <v>2564.75</v>
      </c>
      <c r="R148" s="43"/>
      <c r="S148" s="42">
        <f t="shared" si="102"/>
        <v>9649.6</v>
      </c>
      <c r="T148" s="42">
        <f t="shared" si="104"/>
        <v>-2469.6000000000004</v>
      </c>
      <c r="U148" s="42">
        <f t="shared" si="105"/>
        <v>6098924.160000002</v>
      </c>
      <c r="V148" s="42">
        <f t="shared" si="103"/>
        <v>2469.6000000000004</v>
      </c>
      <c r="W148" s="43"/>
      <c r="X148" s="42">
        <f t="shared" si="106"/>
        <v>9766.3333333333339</v>
      </c>
      <c r="Y148" s="42">
        <f t="shared" si="108"/>
        <v>-2586.3333333333339</v>
      </c>
      <c r="Z148" s="42">
        <f t="shared" si="109"/>
        <v>6689120.1111111138</v>
      </c>
      <c r="AA148" s="42">
        <f t="shared" si="107"/>
        <v>2586.3333333333339</v>
      </c>
      <c r="AB148" s="43"/>
      <c r="AC148" s="42">
        <f t="shared" si="110"/>
        <v>9918.2857142857138</v>
      </c>
      <c r="AD148" s="42">
        <f t="shared" si="112"/>
        <v>-2738.2857142857138</v>
      </c>
      <c r="AE148" s="42">
        <f t="shared" si="113"/>
        <v>7498208.6530612214</v>
      </c>
      <c r="AF148" s="42">
        <f t="shared" si="111"/>
        <v>2738.2857142857138</v>
      </c>
      <c r="AG148" s="43"/>
      <c r="AH148" s="42">
        <f t="shared" si="114"/>
        <v>10084.5</v>
      </c>
      <c r="AI148" s="42">
        <f t="shared" si="117"/>
        <v>-2904.5</v>
      </c>
      <c r="AJ148" s="42">
        <f t="shared" si="115"/>
        <v>8436120.25</v>
      </c>
      <c r="AK148" s="42">
        <f t="shared" si="116"/>
        <v>2904.5</v>
      </c>
      <c r="AL148" s="43"/>
      <c r="AM148" s="42">
        <f t="shared" si="118"/>
        <v>10227.333333333334</v>
      </c>
      <c r="AN148" s="42">
        <f t="shared" si="121"/>
        <v>-3047.3333333333339</v>
      </c>
      <c r="AO148" s="42">
        <f t="shared" si="119"/>
        <v>9286240.4444444478</v>
      </c>
      <c r="AP148" s="42">
        <f t="shared" si="120"/>
        <v>3047.3333333333339</v>
      </c>
      <c r="AQ148" s="43"/>
      <c r="AR148" s="42">
        <f t="shared" si="122"/>
        <v>10263.9</v>
      </c>
      <c r="AS148" s="42">
        <f t="shared" si="123"/>
        <v>-3083.8999999999996</v>
      </c>
      <c r="AT148" s="42">
        <f t="shared" si="124"/>
        <v>9510439.2099999972</v>
      </c>
      <c r="AU148" s="42">
        <f t="shared" si="89"/>
        <v>3083.8999999999996</v>
      </c>
      <c r="AV148" s="43"/>
      <c r="AW148" s="42">
        <f t="shared" si="125"/>
        <v>10201</v>
      </c>
      <c r="AX148" s="42">
        <f t="shared" si="128"/>
        <v>-3021</v>
      </c>
      <c r="AY148" s="42">
        <f t="shared" si="126"/>
        <v>9126441</v>
      </c>
      <c r="AZ148" s="42">
        <f t="shared" si="127"/>
        <v>3021</v>
      </c>
      <c r="BA148" s="43"/>
      <c r="BB148" s="44">
        <f t="shared" si="90"/>
        <v>10064.333333333334</v>
      </c>
      <c r="BC148" s="42">
        <f t="shared" si="131"/>
        <v>-2884.3333333333339</v>
      </c>
      <c r="BD148" s="42">
        <f t="shared" si="129"/>
        <v>8319378.7777777817</v>
      </c>
      <c r="BE148" s="42">
        <f t="shared" si="130"/>
        <v>2884.3333333333339</v>
      </c>
    </row>
    <row r="149" spans="1:57" ht="18" x14ac:dyDescent="0.2">
      <c r="A149" s="7">
        <v>42767</v>
      </c>
      <c r="B149" s="17">
        <v>8099</v>
      </c>
      <c r="D149" s="42">
        <f t="shared" si="91"/>
        <v>9626</v>
      </c>
      <c r="E149" s="42">
        <f t="shared" si="88"/>
        <v>-1527</v>
      </c>
      <c r="F149" s="42">
        <f t="shared" si="92"/>
        <v>2331729</v>
      </c>
      <c r="G149" s="42">
        <f t="shared" si="93"/>
        <v>1527</v>
      </c>
      <c r="H149" s="43"/>
      <c r="I149" s="42">
        <f t="shared" si="94"/>
        <v>9425.3333333333339</v>
      </c>
      <c r="J149" s="42">
        <f t="shared" si="95"/>
        <v>-1326.3333333333339</v>
      </c>
      <c r="K149" s="42">
        <f t="shared" si="96"/>
        <v>1759160.1111111126</v>
      </c>
      <c r="L149" s="42">
        <f t="shared" si="97"/>
        <v>1326.3333333333339</v>
      </c>
      <c r="M149" s="43"/>
      <c r="N149" s="42">
        <f t="shared" si="98"/>
        <v>9238.25</v>
      </c>
      <c r="O149" s="42">
        <f t="shared" si="100"/>
        <v>-1139.25</v>
      </c>
      <c r="P149" s="42">
        <f t="shared" si="101"/>
        <v>1297890.5625</v>
      </c>
      <c r="Q149" s="42">
        <f t="shared" si="99"/>
        <v>1139.25</v>
      </c>
      <c r="R149" s="43"/>
      <c r="S149" s="42">
        <f t="shared" si="102"/>
        <v>9231.7999999999993</v>
      </c>
      <c r="T149" s="42">
        <f t="shared" si="104"/>
        <v>-1132.7999999999993</v>
      </c>
      <c r="U149" s="42">
        <f t="shared" si="105"/>
        <v>1283235.8399999985</v>
      </c>
      <c r="V149" s="42">
        <f t="shared" si="103"/>
        <v>1132.7999999999993</v>
      </c>
      <c r="W149" s="43"/>
      <c r="X149" s="42">
        <f t="shared" si="106"/>
        <v>9238</v>
      </c>
      <c r="Y149" s="42">
        <f t="shared" si="108"/>
        <v>-1139</v>
      </c>
      <c r="Z149" s="42">
        <f t="shared" si="109"/>
        <v>1297321</v>
      </c>
      <c r="AA149" s="42">
        <f t="shared" si="107"/>
        <v>1139</v>
      </c>
      <c r="AB149" s="43"/>
      <c r="AC149" s="42">
        <f t="shared" si="110"/>
        <v>9396.8571428571431</v>
      </c>
      <c r="AD149" s="42">
        <f t="shared" si="112"/>
        <v>-1297.8571428571431</v>
      </c>
      <c r="AE149" s="42">
        <f t="shared" si="113"/>
        <v>1684433.1632653067</v>
      </c>
      <c r="AF149" s="42">
        <f t="shared" si="111"/>
        <v>1297.8571428571431</v>
      </c>
      <c r="AG149" s="43"/>
      <c r="AH149" s="42">
        <f t="shared" si="114"/>
        <v>9576</v>
      </c>
      <c r="AI149" s="42">
        <f t="shared" si="117"/>
        <v>-1477</v>
      </c>
      <c r="AJ149" s="42">
        <f t="shared" si="115"/>
        <v>2181529</v>
      </c>
      <c r="AK149" s="42">
        <f t="shared" si="116"/>
        <v>1477</v>
      </c>
      <c r="AL149" s="43"/>
      <c r="AM149" s="42">
        <f t="shared" si="118"/>
        <v>9761.7777777777774</v>
      </c>
      <c r="AN149" s="42">
        <f t="shared" si="121"/>
        <v>-1662.7777777777774</v>
      </c>
      <c r="AO149" s="42">
        <f t="shared" si="119"/>
        <v>2764829.9382716035</v>
      </c>
      <c r="AP149" s="42">
        <f t="shared" si="120"/>
        <v>1662.7777777777774</v>
      </c>
      <c r="AQ149" s="43"/>
      <c r="AR149" s="42">
        <f t="shared" si="122"/>
        <v>9922.6</v>
      </c>
      <c r="AS149" s="42">
        <f t="shared" si="123"/>
        <v>-1823.6000000000004</v>
      </c>
      <c r="AT149" s="42">
        <f t="shared" si="124"/>
        <v>3325516.9600000014</v>
      </c>
      <c r="AU149" s="42">
        <f t="shared" si="89"/>
        <v>1823.6000000000004</v>
      </c>
      <c r="AV149" s="43"/>
      <c r="AW149" s="42">
        <f t="shared" si="125"/>
        <v>9983.545454545454</v>
      </c>
      <c r="AX149" s="42">
        <f t="shared" si="128"/>
        <v>-1884.545454545454</v>
      </c>
      <c r="AY149" s="42">
        <f t="shared" si="126"/>
        <v>3551511.5702479319</v>
      </c>
      <c r="AZ149" s="42">
        <f t="shared" si="127"/>
        <v>1884.545454545454</v>
      </c>
      <c r="BA149" s="43"/>
      <c r="BB149" s="44">
        <f t="shared" si="90"/>
        <v>9949.25</v>
      </c>
      <c r="BC149" s="42">
        <f t="shared" si="131"/>
        <v>-1850.25</v>
      </c>
      <c r="BD149" s="42">
        <f t="shared" si="129"/>
        <v>3423425.0625</v>
      </c>
      <c r="BE149" s="42">
        <f t="shared" si="130"/>
        <v>1850.25</v>
      </c>
    </row>
    <row r="150" spans="1:57" ht="18" x14ac:dyDescent="0.2">
      <c r="A150" s="7">
        <v>42795</v>
      </c>
      <c r="B150" s="17">
        <v>9945</v>
      </c>
      <c r="D150" s="42">
        <f t="shared" si="91"/>
        <v>7639.5</v>
      </c>
      <c r="E150" s="42">
        <f t="shared" si="88"/>
        <v>2305.5</v>
      </c>
      <c r="F150" s="42">
        <f t="shared" si="92"/>
        <v>5315330.25</v>
      </c>
      <c r="G150" s="42">
        <f t="shared" si="93"/>
        <v>2305.5</v>
      </c>
      <c r="H150" s="43"/>
      <c r="I150" s="42">
        <f t="shared" si="94"/>
        <v>9117</v>
      </c>
      <c r="J150" s="42">
        <f t="shared" si="95"/>
        <v>828</v>
      </c>
      <c r="K150" s="42">
        <f t="shared" si="96"/>
        <v>685584</v>
      </c>
      <c r="L150" s="42">
        <f t="shared" si="97"/>
        <v>828</v>
      </c>
      <c r="M150" s="43"/>
      <c r="N150" s="42">
        <f t="shared" si="98"/>
        <v>9093.75</v>
      </c>
      <c r="O150" s="42">
        <f t="shared" si="100"/>
        <v>851.25</v>
      </c>
      <c r="P150" s="42">
        <f t="shared" si="101"/>
        <v>724626.5625</v>
      </c>
      <c r="Q150" s="42">
        <f t="shared" si="99"/>
        <v>851.25</v>
      </c>
      <c r="R150" s="43"/>
      <c r="S150" s="42">
        <f t="shared" si="102"/>
        <v>9010.4</v>
      </c>
      <c r="T150" s="42">
        <f t="shared" si="104"/>
        <v>934.60000000000036</v>
      </c>
      <c r="U150" s="42">
        <f t="shared" si="105"/>
        <v>873477.16000000073</v>
      </c>
      <c r="V150" s="42">
        <f t="shared" si="103"/>
        <v>934.60000000000036</v>
      </c>
      <c r="W150" s="43"/>
      <c r="X150" s="42">
        <f t="shared" si="106"/>
        <v>9043</v>
      </c>
      <c r="Y150" s="42">
        <f t="shared" si="108"/>
        <v>902</v>
      </c>
      <c r="Z150" s="42">
        <f t="shared" si="109"/>
        <v>813604</v>
      </c>
      <c r="AA150" s="42">
        <f t="shared" si="107"/>
        <v>902</v>
      </c>
      <c r="AB150" s="43"/>
      <c r="AC150" s="42">
        <f t="shared" si="110"/>
        <v>9075.2857142857138</v>
      </c>
      <c r="AD150" s="42">
        <f t="shared" si="112"/>
        <v>869.71428571428623</v>
      </c>
      <c r="AE150" s="42">
        <f t="shared" si="113"/>
        <v>756402.93877551111</v>
      </c>
      <c r="AF150" s="42">
        <f t="shared" si="111"/>
        <v>869.71428571428623</v>
      </c>
      <c r="AG150" s="43"/>
      <c r="AH150" s="42">
        <f t="shared" si="114"/>
        <v>9234.625</v>
      </c>
      <c r="AI150" s="42">
        <f t="shared" si="117"/>
        <v>710.375</v>
      </c>
      <c r="AJ150" s="42">
        <f t="shared" si="115"/>
        <v>504632.640625</v>
      </c>
      <c r="AK150" s="42">
        <f t="shared" si="116"/>
        <v>710.375</v>
      </c>
      <c r="AL150" s="43"/>
      <c r="AM150" s="42">
        <f t="shared" si="118"/>
        <v>9411.8888888888887</v>
      </c>
      <c r="AN150" s="42">
        <f t="shared" si="121"/>
        <v>533.11111111111131</v>
      </c>
      <c r="AO150" s="42">
        <f t="shared" si="119"/>
        <v>284207.45679012366</v>
      </c>
      <c r="AP150" s="42">
        <f t="shared" si="120"/>
        <v>533.11111111111131</v>
      </c>
      <c r="AQ150" s="43"/>
      <c r="AR150" s="42">
        <f t="shared" si="122"/>
        <v>9595.5</v>
      </c>
      <c r="AS150" s="42">
        <f t="shared" si="123"/>
        <v>349.5</v>
      </c>
      <c r="AT150" s="42">
        <f t="shared" si="124"/>
        <v>122150.25</v>
      </c>
      <c r="AU150" s="42">
        <f t="shared" si="89"/>
        <v>349.5</v>
      </c>
      <c r="AV150" s="43"/>
      <c r="AW150" s="42">
        <f t="shared" si="125"/>
        <v>9756.818181818182</v>
      </c>
      <c r="AX150" s="42">
        <f t="shared" si="128"/>
        <v>188.18181818181802</v>
      </c>
      <c r="AY150" s="42">
        <f t="shared" si="126"/>
        <v>35412.396694214811</v>
      </c>
      <c r="AZ150" s="42">
        <f t="shared" si="127"/>
        <v>188.18181818181802</v>
      </c>
      <c r="BA150" s="43"/>
      <c r="BB150" s="44">
        <f t="shared" si="90"/>
        <v>9826.5</v>
      </c>
      <c r="BC150" s="42">
        <f t="shared" si="131"/>
        <v>118.5</v>
      </c>
      <c r="BD150" s="42">
        <f t="shared" si="129"/>
        <v>14042.25</v>
      </c>
      <c r="BE150" s="42">
        <f t="shared" si="130"/>
        <v>118.5</v>
      </c>
    </row>
    <row r="151" spans="1:57" ht="18" x14ac:dyDescent="0.2">
      <c r="A151" s="7">
        <v>42826</v>
      </c>
      <c r="B151" s="17">
        <v>9746</v>
      </c>
      <c r="D151" s="42">
        <f t="shared" si="91"/>
        <v>9022</v>
      </c>
      <c r="E151" s="42">
        <f t="shared" si="88"/>
        <v>724</v>
      </c>
      <c r="F151" s="42">
        <f t="shared" si="92"/>
        <v>524176</v>
      </c>
      <c r="G151" s="42">
        <f t="shared" si="93"/>
        <v>724</v>
      </c>
      <c r="H151" s="43"/>
      <c r="I151" s="42">
        <f t="shared" si="94"/>
        <v>8408</v>
      </c>
      <c r="J151" s="42">
        <f t="shared" si="95"/>
        <v>1338</v>
      </c>
      <c r="K151" s="42">
        <f t="shared" si="96"/>
        <v>1790244</v>
      </c>
      <c r="L151" s="42">
        <f t="shared" si="97"/>
        <v>1338</v>
      </c>
      <c r="M151" s="43"/>
      <c r="N151" s="42">
        <f t="shared" si="98"/>
        <v>9324</v>
      </c>
      <c r="O151" s="42">
        <f t="shared" si="100"/>
        <v>422</v>
      </c>
      <c r="P151" s="42">
        <f t="shared" si="101"/>
        <v>178084</v>
      </c>
      <c r="Q151" s="42">
        <f t="shared" si="99"/>
        <v>422</v>
      </c>
      <c r="R151" s="43"/>
      <c r="S151" s="42">
        <f t="shared" si="102"/>
        <v>9264</v>
      </c>
      <c r="T151" s="42">
        <f t="shared" si="104"/>
        <v>482</v>
      </c>
      <c r="U151" s="42">
        <f t="shared" si="105"/>
        <v>232324</v>
      </c>
      <c r="V151" s="42">
        <f t="shared" si="103"/>
        <v>482</v>
      </c>
      <c r="W151" s="43"/>
      <c r="X151" s="42">
        <f t="shared" si="106"/>
        <v>9166.1666666666661</v>
      </c>
      <c r="Y151" s="42">
        <f t="shared" si="108"/>
        <v>579.83333333333394</v>
      </c>
      <c r="Z151" s="42">
        <f t="shared" si="109"/>
        <v>336206.69444444514</v>
      </c>
      <c r="AA151" s="42">
        <f t="shared" si="107"/>
        <v>579.83333333333394</v>
      </c>
      <c r="AB151" s="43"/>
      <c r="AC151" s="42">
        <f t="shared" si="110"/>
        <v>9171.8571428571431</v>
      </c>
      <c r="AD151" s="42">
        <f t="shared" si="112"/>
        <v>574.14285714285688</v>
      </c>
      <c r="AE151" s="42">
        <f t="shared" si="113"/>
        <v>329640.02040816296</v>
      </c>
      <c r="AF151" s="42">
        <f t="shared" si="111"/>
        <v>574.14285714285688</v>
      </c>
      <c r="AG151" s="43"/>
      <c r="AH151" s="42">
        <f t="shared" si="114"/>
        <v>9184</v>
      </c>
      <c r="AI151" s="42">
        <f t="shared" si="117"/>
        <v>562</v>
      </c>
      <c r="AJ151" s="42">
        <f t="shared" si="115"/>
        <v>315844</v>
      </c>
      <c r="AK151" s="42">
        <f t="shared" si="116"/>
        <v>562</v>
      </c>
      <c r="AL151" s="43"/>
      <c r="AM151" s="42">
        <f t="shared" si="118"/>
        <v>9313.5555555555547</v>
      </c>
      <c r="AN151" s="42">
        <f t="shared" si="121"/>
        <v>432.44444444444525</v>
      </c>
      <c r="AO151" s="42">
        <f t="shared" si="119"/>
        <v>187008.19753086488</v>
      </c>
      <c r="AP151" s="42">
        <f t="shared" si="120"/>
        <v>432.44444444444525</v>
      </c>
      <c r="AQ151" s="43"/>
      <c r="AR151" s="42">
        <f t="shared" si="122"/>
        <v>9465.2000000000007</v>
      </c>
      <c r="AS151" s="42">
        <f t="shared" si="123"/>
        <v>280.79999999999927</v>
      </c>
      <c r="AT151" s="42">
        <f t="shared" si="124"/>
        <v>78848.639999999592</v>
      </c>
      <c r="AU151" s="42">
        <f t="shared" si="89"/>
        <v>280.79999999999927</v>
      </c>
      <c r="AV151" s="43"/>
      <c r="AW151" s="42">
        <f t="shared" si="125"/>
        <v>9627.2727272727279</v>
      </c>
      <c r="AX151" s="42">
        <f t="shared" si="128"/>
        <v>118.72727272727207</v>
      </c>
      <c r="AY151" s="42">
        <f t="shared" si="126"/>
        <v>14096.165289256041</v>
      </c>
      <c r="AZ151" s="42">
        <f t="shared" si="127"/>
        <v>118.72727272727207</v>
      </c>
      <c r="BA151" s="43"/>
      <c r="BB151" s="44">
        <f t="shared" si="90"/>
        <v>9772.5</v>
      </c>
      <c r="BC151" s="42">
        <f t="shared" si="131"/>
        <v>-26.5</v>
      </c>
      <c r="BD151" s="42">
        <f t="shared" si="129"/>
        <v>702.25</v>
      </c>
      <c r="BE151" s="42">
        <f t="shared" si="130"/>
        <v>26.5</v>
      </c>
    </row>
    <row r="152" spans="1:57" ht="18" x14ac:dyDescent="0.2">
      <c r="A152" s="7">
        <v>42856</v>
      </c>
      <c r="B152" s="17">
        <v>9976</v>
      </c>
      <c r="D152" s="42">
        <f t="shared" si="91"/>
        <v>9845.5</v>
      </c>
      <c r="E152" s="42">
        <f t="shared" si="88"/>
        <v>130.5</v>
      </c>
      <c r="F152" s="42">
        <f t="shared" si="92"/>
        <v>17030.25</v>
      </c>
      <c r="G152" s="42">
        <f t="shared" si="93"/>
        <v>130.5</v>
      </c>
      <c r="H152" s="43"/>
      <c r="I152" s="42">
        <f t="shared" si="94"/>
        <v>9263.3333333333339</v>
      </c>
      <c r="J152" s="42">
        <f t="shared" si="95"/>
        <v>712.66666666666606</v>
      </c>
      <c r="K152" s="42">
        <f t="shared" si="96"/>
        <v>507893.77777777694</v>
      </c>
      <c r="L152" s="42">
        <f t="shared" si="97"/>
        <v>712.66666666666606</v>
      </c>
      <c r="M152" s="43"/>
      <c r="N152" s="42">
        <f t="shared" si="98"/>
        <v>8742.5</v>
      </c>
      <c r="O152" s="42">
        <f t="shared" si="100"/>
        <v>1233.5</v>
      </c>
      <c r="P152" s="42">
        <f t="shared" si="101"/>
        <v>1521522.25</v>
      </c>
      <c r="Q152" s="42">
        <f t="shared" si="99"/>
        <v>1233.5</v>
      </c>
      <c r="R152" s="43"/>
      <c r="S152" s="42">
        <f t="shared" si="102"/>
        <v>9408.4</v>
      </c>
      <c r="T152" s="42">
        <f t="shared" si="104"/>
        <v>567.60000000000036</v>
      </c>
      <c r="U152" s="42">
        <f t="shared" si="105"/>
        <v>322169.76000000042</v>
      </c>
      <c r="V152" s="42">
        <f t="shared" si="103"/>
        <v>567.60000000000036</v>
      </c>
      <c r="W152" s="43"/>
      <c r="X152" s="42">
        <f t="shared" si="106"/>
        <v>9344.3333333333339</v>
      </c>
      <c r="Y152" s="42">
        <f t="shared" si="108"/>
        <v>631.66666666666606</v>
      </c>
      <c r="Z152" s="42">
        <f t="shared" si="109"/>
        <v>399002.777777777</v>
      </c>
      <c r="AA152" s="42">
        <f t="shared" si="107"/>
        <v>631.66666666666606</v>
      </c>
      <c r="AB152" s="43"/>
      <c r="AC152" s="42">
        <f t="shared" si="110"/>
        <v>9249</v>
      </c>
      <c r="AD152" s="42">
        <f t="shared" si="112"/>
        <v>727</v>
      </c>
      <c r="AE152" s="42">
        <f t="shared" si="113"/>
        <v>528529</v>
      </c>
      <c r="AF152" s="42">
        <f t="shared" si="111"/>
        <v>727</v>
      </c>
      <c r="AG152" s="43"/>
      <c r="AH152" s="42">
        <f t="shared" si="114"/>
        <v>9243.625</v>
      </c>
      <c r="AI152" s="42">
        <f t="shared" si="117"/>
        <v>732.375</v>
      </c>
      <c r="AJ152" s="42">
        <f t="shared" si="115"/>
        <v>536373.140625</v>
      </c>
      <c r="AK152" s="42">
        <f t="shared" si="116"/>
        <v>732.375</v>
      </c>
      <c r="AL152" s="43"/>
      <c r="AM152" s="42">
        <f t="shared" si="118"/>
        <v>9246.4444444444453</v>
      </c>
      <c r="AN152" s="42">
        <f t="shared" si="121"/>
        <v>729.55555555555475</v>
      </c>
      <c r="AO152" s="42">
        <f t="shared" si="119"/>
        <v>532251.30864197412</v>
      </c>
      <c r="AP152" s="42">
        <f t="shared" si="120"/>
        <v>729.55555555555475</v>
      </c>
      <c r="AQ152" s="43"/>
      <c r="AR152" s="42">
        <f t="shared" si="122"/>
        <v>9356.7999999999993</v>
      </c>
      <c r="AS152" s="42">
        <f t="shared" si="123"/>
        <v>619.20000000000073</v>
      </c>
      <c r="AT152" s="42">
        <f t="shared" si="124"/>
        <v>383408.64000000089</v>
      </c>
      <c r="AU152" s="42">
        <f t="shared" si="89"/>
        <v>619.20000000000073</v>
      </c>
      <c r="AV152" s="43"/>
      <c r="AW152" s="42">
        <f t="shared" si="125"/>
        <v>9490.7272727272721</v>
      </c>
      <c r="AX152" s="42">
        <f t="shared" si="128"/>
        <v>485.27272727272793</v>
      </c>
      <c r="AY152" s="42">
        <f t="shared" si="126"/>
        <v>235489.6198347114</v>
      </c>
      <c r="AZ152" s="42">
        <f t="shared" si="127"/>
        <v>485.27272727272793</v>
      </c>
      <c r="BA152" s="43"/>
      <c r="BB152" s="44">
        <f t="shared" si="90"/>
        <v>9637.1666666666661</v>
      </c>
      <c r="BC152" s="42">
        <f t="shared" si="131"/>
        <v>338.83333333333394</v>
      </c>
      <c r="BD152" s="42">
        <f t="shared" si="129"/>
        <v>114808.02777777819</v>
      </c>
      <c r="BE152" s="42">
        <f t="shared" si="130"/>
        <v>338.83333333333394</v>
      </c>
    </row>
    <row r="153" spans="1:57" ht="18" x14ac:dyDescent="0.2">
      <c r="A153" s="7">
        <v>42887</v>
      </c>
      <c r="B153" s="17">
        <v>9409</v>
      </c>
      <c r="D153" s="42">
        <f t="shared" si="91"/>
        <v>9861</v>
      </c>
      <c r="E153" s="42">
        <f t="shared" si="88"/>
        <v>-452</v>
      </c>
      <c r="F153" s="42">
        <f t="shared" si="92"/>
        <v>204304</v>
      </c>
      <c r="G153" s="42">
        <f t="shared" si="93"/>
        <v>452</v>
      </c>
      <c r="H153" s="43"/>
      <c r="I153" s="42">
        <f t="shared" si="94"/>
        <v>9889</v>
      </c>
      <c r="J153" s="42">
        <f t="shared" si="95"/>
        <v>-480</v>
      </c>
      <c r="K153" s="42">
        <f t="shared" si="96"/>
        <v>230400</v>
      </c>
      <c r="L153" s="42">
        <f t="shared" si="97"/>
        <v>480</v>
      </c>
      <c r="M153" s="43"/>
      <c r="N153" s="42">
        <f t="shared" si="98"/>
        <v>9441.5</v>
      </c>
      <c r="O153" s="42">
        <f t="shared" si="100"/>
        <v>-32.5</v>
      </c>
      <c r="P153" s="42">
        <f t="shared" si="101"/>
        <v>1056.25</v>
      </c>
      <c r="Q153" s="42">
        <f t="shared" si="99"/>
        <v>32.5</v>
      </c>
      <c r="R153" s="43"/>
      <c r="S153" s="42">
        <f t="shared" si="102"/>
        <v>8989.2000000000007</v>
      </c>
      <c r="T153" s="42">
        <f t="shared" si="104"/>
        <v>419.79999999999927</v>
      </c>
      <c r="U153" s="42">
        <f t="shared" si="105"/>
        <v>176232.0399999994</v>
      </c>
      <c r="V153" s="42">
        <f t="shared" si="103"/>
        <v>419.79999999999927</v>
      </c>
      <c r="W153" s="43"/>
      <c r="X153" s="42">
        <f t="shared" si="106"/>
        <v>9503</v>
      </c>
      <c r="Y153" s="42">
        <f t="shared" si="108"/>
        <v>-94</v>
      </c>
      <c r="Z153" s="42">
        <f t="shared" si="109"/>
        <v>8836</v>
      </c>
      <c r="AA153" s="42">
        <f t="shared" si="107"/>
        <v>94</v>
      </c>
      <c r="AB153" s="43"/>
      <c r="AC153" s="42">
        <f t="shared" si="110"/>
        <v>9434.5714285714294</v>
      </c>
      <c r="AD153" s="42">
        <f t="shared" si="112"/>
        <v>-25.571428571429351</v>
      </c>
      <c r="AE153" s="42">
        <f t="shared" si="113"/>
        <v>653.89795918371328</v>
      </c>
      <c r="AF153" s="42">
        <f t="shared" si="111"/>
        <v>25.571428571429351</v>
      </c>
      <c r="AG153" s="43"/>
      <c r="AH153" s="42">
        <f t="shared" si="114"/>
        <v>9339.875</v>
      </c>
      <c r="AI153" s="42">
        <f t="shared" si="117"/>
        <v>69.125</v>
      </c>
      <c r="AJ153" s="42">
        <f t="shared" si="115"/>
        <v>4778.265625</v>
      </c>
      <c r="AK153" s="42">
        <f t="shared" si="116"/>
        <v>69.125</v>
      </c>
      <c r="AL153" s="43"/>
      <c r="AM153" s="42">
        <f t="shared" si="118"/>
        <v>9325</v>
      </c>
      <c r="AN153" s="42">
        <f t="shared" si="121"/>
        <v>84</v>
      </c>
      <c r="AO153" s="42">
        <f t="shared" si="119"/>
        <v>7056</v>
      </c>
      <c r="AP153" s="42">
        <f t="shared" si="120"/>
        <v>84</v>
      </c>
      <c r="AQ153" s="43"/>
      <c r="AR153" s="42">
        <f t="shared" si="122"/>
        <v>9319.4</v>
      </c>
      <c r="AS153" s="42">
        <f t="shared" si="123"/>
        <v>89.600000000000364</v>
      </c>
      <c r="AT153" s="42">
        <f t="shared" si="124"/>
        <v>8028.1600000000653</v>
      </c>
      <c r="AU153" s="42">
        <f t="shared" si="89"/>
        <v>89.600000000000364</v>
      </c>
      <c r="AV153" s="43"/>
      <c r="AW153" s="42">
        <f t="shared" si="125"/>
        <v>9413.0909090909099</v>
      </c>
      <c r="AX153" s="42">
        <f t="shared" si="128"/>
        <v>-4.0909090909099177</v>
      </c>
      <c r="AY153" s="42">
        <f t="shared" si="126"/>
        <v>16.73553719008941</v>
      </c>
      <c r="AZ153" s="42">
        <f t="shared" si="127"/>
        <v>4.0909090909099177</v>
      </c>
      <c r="BA153" s="43"/>
      <c r="BB153" s="44">
        <f t="shared" si="90"/>
        <v>9531.1666666666661</v>
      </c>
      <c r="BC153" s="42">
        <f t="shared" si="131"/>
        <v>-122.16666666666606</v>
      </c>
      <c r="BD153" s="42">
        <f t="shared" si="129"/>
        <v>14924.694444444296</v>
      </c>
      <c r="BE153" s="42">
        <f t="shared" si="130"/>
        <v>122.16666666666606</v>
      </c>
    </row>
    <row r="154" spans="1:57" ht="18" x14ac:dyDescent="0.2">
      <c r="A154" s="7">
        <v>42917</v>
      </c>
      <c r="B154" s="17">
        <v>9985</v>
      </c>
      <c r="D154" s="42">
        <f t="shared" si="91"/>
        <v>9692.5</v>
      </c>
      <c r="E154" s="42">
        <f t="shared" si="88"/>
        <v>292.5</v>
      </c>
      <c r="F154" s="42">
        <f t="shared" si="92"/>
        <v>85556.25</v>
      </c>
      <c r="G154" s="42">
        <f t="shared" si="93"/>
        <v>292.5</v>
      </c>
      <c r="H154" s="43"/>
      <c r="I154" s="42">
        <f t="shared" si="94"/>
        <v>9710.3333333333339</v>
      </c>
      <c r="J154" s="42">
        <f t="shared" si="95"/>
        <v>274.66666666666606</v>
      </c>
      <c r="K154" s="42">
        <f t="shared" si="96"/>
        <v>75441.777777777446</v>
      </c>
      <c r="L154" s="42">
        <f t="shared" si="97"/>
        <v>274.66666666666606</v>
      </c>
      <c r="M154" s="43"/>
      <c r="N154" s="42">
        <f t="shared" si="98"/>
        <v>9769</v>
      </c>
      <c r="O154" s="42">
        <f t="shared" si="100"/>
        <v>216</v>
      </c>
      <c r="P154" s="42">
        <f t="shared" si="101"/>
        <v>46656</v>
      </c>
      <c r="Q154" s="42">
        <f t="shared" si="99"/>
        <v>216</v>
      </c>
      <c r="R154" s="43"/>
      <c r="S154" s="42">
        <f t="shared" si="102"/>
        <v>9435</v>
      </c>
      <c r="T154" s="42">
        <f t="shared" si="104"/>
        <v>550</v>
      </c>
      <c r="U154" s="42">
        <f t="shared" si="105"/>
        <v>302500</v>
      </c>
      <c r="V154" s="42">
        <f t="shared" si="103"/>
        <v>550</v>
      </c>
      <c r="W154" s="43"/>
      <c r="X154" s="42">
        <f t="shared" si="106"/>
        <v>9059.1666666666661</v>
      </c>
      <c r="Y154" s="42">
        <f t="shared" si="108"/>
        <v>925.83333333333394</v>
      </c>
      <c r="Z154" s="42">
        <f t="shared" si="109"/>
        <v>857167.36111111229</v>
      </c>
      <c r="AA154" s="42">
        <f t="shared" si="107"/>
        <v>925.83333333333394</v>
      </c>
      <c r="AB154" s="43"/>
      <c r="AC154" s="42">
        <f t="shared" si="110"/>
        <v>9489.5714285714294</v>
      </c>
      <c r="AD154" s="42">
        <f t="shared" si="112"/>
        <v>495.42857142857065</v>
      </c>
      <c r="AE154" s="42">
        <f t="shared" si="113"/>
        <v>245449.46938775433</v>
      </c>
      <c r="AF154" s="42">
        <f t="shared" si="111"/>
        <v>495.42857142857065</v>
      </c>
      <c r="AG154" s="43"/>
      <c r="AH154" s="42">
        <f t="shared" si="114"/>
        <v>9431.375</v>
      </c>
      <c r="AI154" s="42">
        <f t="shared" si="117"/>
        <v>553.625</v>
      </c>
      <c r="AJ154" s="42">
        <f t="shared" si="115"/>
        <v>306500.640625</v>
      </c>
      <c r="AK154" s="42">
        <f t="shared" si="116"/>
        <v>553.625</v>
      </c>
      <c r="AL154" s="43"/>
      <c r="AM154" s="42">
        <f t="shared" si="118"/>
        <v>9347.5555555555547</v>
      </c>
      <c r="AN154" s="42">
        <f t="shared" si="121"/>
        <v>637.44444444444525</v>
      </c>
      <c r="AO154" s="42">
        <f t="shared" si="119"/>
        <v>406335.41975308745</v>
      </c>
      <c r="AP154" s="42">
        <f t="shared" si="120"/>
        <v>637.44444444444525</v>
      </c>
      <c r="AQ154" s="43"/>
      <c r="AR154" s="42">
        <f t="shared" si="122"/>
        <v>9333.4</v>
      </c>
      <c r="AS154" s="42">
        <f t="shared" si="123"/>
        <v>651.60000000000036</v>
      </c>
      <c r="AT154" s="42">
        <f t="shared" si="124"/>
        <v>424582.56000000046</v>
      </c>
      <c r="AU154" s="42">
        <f t="shared" si="89"/>
        <v>651.60000000000036</v>
      </c>
      <c r="AV154" s="43"/>
      <c r="AW154" s="42">
        <f t="shared" si="125"/>
        <v>9327.545454545454</v>
      </c>
      <c r="AX154" s="42">
        <f t="shared" si="128"/>
        <v>657.45454545454595</v>
      </c>
      <c r="AY154" s="42">
        <f t="shared" si="126"/>
        <v>432246.47933884361</v>
      </c>
      <c r="AZ154" s="42">
        <f t="shared" si="127"/>
        <v>657.45454545454595</v>
      </c>
      <c r="BA154" s="43"/>
      <c r="BB154" s="44">
        <f t="shared" si="90"/>
        <v>9412.75</v>
      </c>
      <c r="BC154" s="42">
        <f t="shared" si="131"/>
        <v>572.25</v>
      </c>
      <c r="BD154" s="42">
        <f t="shared" si="129"/>
        <v>327470.0625</v>
      </c>
      <c r="BE154" s="42">
        <f t="shared" si="130"/>
        <v>572.25</v>
      </c>
    </row>
    <row r="155" spans="1:57" ht="18" x14ac:dyDescent="0.2">
      <c r="A155" s="7">
        <v>42948</v>
      </c>
      <c r="B155" s="17">
        <v>9568</v>
      </c>
      <c r="D155" s="42">
        <f t="shared" si="91"/>
        <v>9697</v>
      </c>
      <c r="E155" s="42">
        <f t="shared" si="88"/>
        <v>-129</v>
      </c>
      <c r="F155" s="42">
        <f t="shared" si="92"/>
        <v>16641</v>
      </c>
      <c r="G155" s="42">
        <f t="shared" si="93"/>
        <v>129</v>
      </c>
      <c r="H155" s="43"/>
      <c r="I155" s="42">
        <f t="shared" si="94"/>
        <v>9790</v>
      </c>
      <c r="J155" s="42">
        <f t="shared" si="95"/>
        <v>-222</v>
      </c>
      <c r="K155" s="42">
        <f t="shared" si="96"/>
        <v>49284</v>
      </c>
      <c r="L155" s="42">
        <f t="shared" si="97"/>
        <v>222</v>
      </c>
      <c r="M155" s="43"/>
      <c r="N155" s="42">
        <f t="shared" si="98"/>
        <v>9779</v>
      </c>
      <c r="O155" s="42">
        <f t="shared" si="100"/>
        <v>-211</v>
      </c>
      <c r="P155" s="42">
        <f t="shared" si="101"/>
        <v>44521</v>
      </c>
      <c r="Q155" s="42">
        <f t="shared" si="99"/>
        <v>211</v>
      </c>
      <c r="R155" s="43"/>
      <c r="S155" s="42">
        <f t="shared" si="102"/>
        <v>9812.2000000000007</v>
      </c>
      <c r="T155" s="42">
        <f t="shared" si="104"/>
        <v>-244.20000000000073</v>
      </c>
      <c r="U155" s="42">
        <f t="shared" si="105"/>
        <v>59633.640000000356</v>
      </c>
      <c r="V155" s="42">
        <f t="shared" si="103"/>
        <v>244.20000000000073</v>
      </c>
      <c r="W155" s="43"/>
      <c r="X155" s="42">
        <f t="shared" si="106"/>
        <v>9526.6666666666661</v>
      </c>
      <c r="Y155" s="42">
        <f t="shared" si="108"/>
        <v>41.33333333333394</v>
      </c>
      <c r="Z155" s="42">
        <f t="shared" si="109"/>
        <v>1708.4444444444946</v>
      </c>
      <c r="AA155" s="42">
        <f t="shared" si="107"/>
        <v>41.33333333333394</v>
      </c>
      <c r="AB155" s="43"/>
      <c r="AC155" s="42">
        <f t="shared" si="110"/>
        <v>9191.4285714285706</v>
      </c>
      <c r="AD155" s="42">
        <f t="shared" si="112"/>
        <v>376.57142857142935</v>
      </c>
      <c r="AE155" s="42">
        <f t="shared" si="113"/>
        <v>141806.04081632712</v>
      </c>
      <c r="AF155" s="42">
        <f t="shared" si="111"/>
        <v>376.57142857142935</v>
      </c>
      <c r="AG155" s="43"/>
      <c r="AH155" s="42">
        <f t="shared" si="114"/>
        <v>9551.5</v>
      </c>
      <c r="AI155" s="42">
        <f t="shared" si="117"/>
        <v>16.5</v>
      </c>
      <c r="AJ155" s="42">
        <f t="shared" si="115"/>
        <v>272.25</v>
      </c>
      <c r="AK155" s="42">
        <f t="shared" si="116"/>
        <v>16.5</v>
      </c>
      <c r="AL155" s="43"/>
      <c r="AM155" s="42">
        <f t="shared" si="118"/>
        <v>9492.8888888888887</v>
      </c>
      <c r="AN155" s="42">
        <f t="shared" si="121"/>
        <v>75.111111111111313</v>
      </c>
      <c r="AO155" s="42">
        <f t="shared" si="119"/>
        <v>5641.6790123457095</v>
      </c>
      <c r="AP155" s="42">
        <f t="shared" si="120"/>
        <v>75.111111111111313</v>
      </c>
      <c r="AQ155" s="43"/>
      <c r="AR155" s="42">
        <f t="shared" si="122"/>
        <v>9411.2999999999993</v>
      </c>
      <c r="AS155" s="42">
        <f t="shared" si="123"/>
        <v>156.70000000000073</v>
      </c>
      <c r="AT155" s="42">
        <f t="shared" si="124"/>
        <v>24554.890000000229</v>
      </c>
      <c r="AU155" s="42">
        <f t="shared" si="89"/>
        <v>156.70000000000073</v>
      </c>
      <c r="AV155" s="43"/>
      <c r="AW155" s="42">
        <f t="shared" si="125"/>
        <v>9392.636363636364</v>
      </c>
      <c r="AX155" s="42">
        <f t="shared" si="128"/>
        <v>175.36363636363603</v>
      </c>
      <c r="AY155" s="42">
        <f t="shared" si="126"/>
        <v>30752.404958677569</v>
      </c>
      <c r="AZ155" s="42">
        <f t="shared" si="127"/>
        <v>175.36363636363603</v>
      </c>
      <c r="BA155" s="43"/>
      <c r="BB155" s="44">
        <f t="shared" si="90"/>
        <v>9382.3333333333339</v>
      </c>
      <c r="BC155" s="42">
        <f t="shared" si="131"/>
        <v>185.66666666666606</v>
      </c>
      <c r="BD155" s="42">
        <f t="shared" si="129"/>
        <v>34472.111111110884</v>
      </c>
      <c r="BE155" s="42">
        <f t="shared" si="130"/>
        <v>185.66666666666606</v>
      </c>
    </row>
    <row r="156" spans="1:57" ht="18" x14ac:dyDescent="0.2">
      <c r="A156" s="7">
        <v>42979</v>
      </c>
      <c r="B156" s="17">
        <v>10295</v>
      </c>
      <c r="D156" s="42">
        <f t="shared" si="91"/>
        <v>9776.5</v>
      </c>
      <c r="E156" s="42">
        <f t="shared" si="88"/>
        <v>518.5</v>
      </c>
      <c r="F156" s="42">
        <f t="shared" si="92"/>
        <v>268842.25</v>
      </c>
      <c r="G156" s="42">
        <f t="shared" si="93"/>
        <v>518.5</v>
      </c>
      <c r="H156" s="43"/>
      <c r="I156" s="42">
        <f t="shared" si="94"/>
        <v>9654</v>
      </c>
      <c r="J156" s="42">
        <f t="shared" si="95"/>
        <v>641</v>
      </c>
      <c r="K156" s="42">
        <f t="shared" si="96"/>
        <v>410881</v>
      </c>
      <c r="L156" s="42">
        <f t="shared" si="97"/>
        <v>641</v>
      </c>
      <c r="M156" s="43"/>
      <c r="N156" s="42">
        <f t="shared" si="98"/>
        <v>9734.5</v>
      </c>
      <c r="O156" s="42">
        <f t="shared" si="100"/>
        <v>560.5</v>
      </c>
      <c r="P156" s="42">
        <f t="shared" si="101"/>
        <v>314160.25</v>
      </c>
      <c r="Q156" s="42">
        <f t="shared" si="99"/>
        <v>560.5</v>
      </c>
      <c r="R156" s="43"/>
      <c r="S156" s="42">
        <f t="shared" si="102"/>
        <v>9736.7999999999993</v>
      </c>
      <c r="T156" s="42">
        <f t="shared" si="104"/>
        <v>558.20000000000073</v>
      </c>
      <c r="U156" s="42">
        <f t="shared" si="105"/>
        <v>311587.24000000081</v>
      </c>
      <c r="V156" s="42">
        <f t="shared" si="103"/>
        <v>558.20000000000073</v>
      </c>
      <c r="W156" s="43"/>
      <c r="X156" s="42">
        <f t="shared" si="106"/>
        <v>9771.5</v>
      </c>
      <c r="Y156" s="42">
        <f t="shared" si="108"/>
        <v>523.5</v>
      </c>
      <c r="Z156" s="42">
        <f t="shared" si="109"/>
        <v>274052.25</v>
      </c>
      <c r="AA156" s="42">
        <f t="shared" si="107"/>
        <v>523.5</v>
      </c>
      <c r="AB156" s="43"/>
      <c r="AC156" s="42">
        <f t="shared" si="110"/>
        <v>9532.5714285714294</v>
      </c>
      <c r="AD156" s="42">
        <f t="shared" si="112"/>
        <v>762.42857142857065</v>
      </c>
      <c r="AE156" s="42">
        <f t="shared" si="113"/>
        <v>581297.32653061103</v>
      </c>
      <c r="AF156" s="42">
        <f t="shared" si="111"/>
        <v>762.42857142857065</v>
      </c>
      <c r="AG156" s="43"/>
      <c r="AH156" s="42">
        <f t="shared" si="114"/>
        <v>9238.5</v>
      </c>
      <c r="AI156" s="42">
        <f t="shared" si="117"/>
        <v>1056.5</v>
      </c>
      <c r="AJ156" s="42">
        <f t="shared" si="115"/>
        <v>1116192.25</v>
      </c>
      <c r="AK156" s="42">
        <f t="shared" si="116"/>
        <v>1056.5</v>
      </c>
      <c r="AL156" s="43"/>
      <c r="AM156" s="42">
        <f t="shared" si="118"/>
        <v>9553.3333333333339</v>
      </c>
      <c r="AN156" s="42">
        <f t="shared" si="121"/>
        <v>741.66666666666606</v>
      </c>
      <c r="AO156" s="42">
        <f t="shared" si="119"/>
        <v>550069.44444444356</v>
      </c>
      <c r="AP156" s="42">
        <f t="shared" si="120"/>
        <v>741.66666666666606</v>
      </c>
      <c r="AQ156" s="43"/>
      <c r="AR156" s="42">
        <f t="shared" si="122"/>
        <v>9500.4</v>
      </c>
      <c r="AS156" s="42">
        <f t="shared" si="123"/>
        <v>794.60000000000036</v>
      </c>
      <c r="AT156" s="42">
        <f t="shared" si="124"/>
        <v>631389.16000000061</v>
      </c>
      <c r="AU156" s="42">
        <f t="shared" si="89"/>
        <v>794.60000000000036</v>
      </c>
      <c r="AV156" s="43"/>
      <c r="AW156" s="42">
        <f t="shared" si="125"/>
        <v>9425.545454545454</v>
      </c>
      <c r="AX156" s="42">
        <f t="shared" si="128"/>
        <v>869.45454545454595</v>
      </c>
      <c r="AY156" s="42">
        <f t="shared" si="126"/>
        <v>755951.20661157113</v>
      </c>
      <c r="AZ156" s="42">
        <f t="shared" si="127"/>
        <v>869.45454545454595</v>
      </c>
      <c r="BA156" s="43"/>
      <c r="BB156" s="44">
        <f t="shared" si="90"/>
        <v>9407.25</v>
      </c>
      <c r="BC156" s="42">
        <f t="shared" si="131"/>
        <v>887.75</v>
      </c>
      <c r="BD156" s="42">
        <f t="shared" si="129"/>
        <v>788100.0625</v>
      </c>
      <c r="BE156" s="42">
        <f t="shared" si="130"/>
        <v>887.75</v>
      </c>
    </row>
    <row r="157" spans="1:57" ht="18" x14ac:dyDescent="0.2">
      <c r="A157" s="7">
        <v>43009</v>
      </c>
      <c r="B157" s="17">
        <v>10285</v>
      </c>
      <c r="D157" s="42">
        <f t="shared" si="91"/>
        <v>9931.5</v>
      </c>
      <c r="E157" s="42">
        <f t="shared" si="88"/>
        <v>353.5</v>
      </c>
      <c r="F157" s="42">
        <f t="shared" si="92"/>
        <v>124962.25</v>
      </c>
      <c r="G157" s="42">
        <f t="shared" si="93"/>
        <v>353.5</v>
      </c>
      <c r="H157" s="43"/>
      <c r="I157" s="42">
        <f t="shared" si="94"/>
        <v>9949.3333333333339</v>
      </c>
      <c r="J157" s="42">
        <f t="shared" si="95"/>
        <v>335.66666666666606</v>
      </c>
      <c r="K157" s="42">
        <f t="shared" si="96"/>
        <v>112672.1111111107</v>
      </c>
      <c r="L157" s="42">
        <f t="shared" si="97"/>
        <v>335.66666666666606</v>
      </c>
      <c r="M157" s="43"/>
      <c r="N157" s="42">
        <f t="shared" si="98"/>
        <v>9814.25</v>
      </c>
      <c r="O157" s="42">
        <f t="shared" si="100"/>
        <v>470.75</v>
      </c>
      <c r="P157" s="42">
        <f t="shared" si="101"/>
        <v>221605.5625</v>
      </c>
      <c r="Q157" s="42">
        <f t="shared" si="99"/>
        <v>470.75</v>
      </c>
      <c r="R157" s="43"/>
      <c r="S157" s="42">
        <f t="shared" si="102"/>
        <v>9846.6</v>
      </c>
      <c r="T157" s="42">
        <f t="shared" si="104"/>
        <v>438.39999999999964</v>
      </c>
      <c r="U157" s="42">
        <f t="shared" si="105"/>
        <v>192194.55999999968</v>
      </c>
      <c r="V157" s="42">
        <f t="shared" si="103"/>
        <v>438.39999999999964</v>
      </c>
      <c r="W157" s="43"/>
      <c r="X157" s="42">
        <f t="shared" si="106"/>
        <v>9829.8333333333339</v>
      </c>
      <c r="Y157" s="42">
        <f t="shared" si="108"/>
        <v>455.16666666666606</v>
      </c>
      <c r="Z157" s="42">
        <f t="shared" si="109"/>
        <v>207176.69444444389</v>
      </c>
      <c r="AA157" s="42">
        <f t="shared" si="107"/>
        <v>455.16666666666606</v>
      </c>
      <c r="AB157" s="43"/>
      <c r="AC157" s="42">
        <f t="shared" si="110"/>
        <v>9846.2857142857138</v>
      </c>
      <c r="AD157" s="42">
        <f t="shared" si="112"/>
        <v>438.71428571428623</v>
      </c>
      <c r="AE157" s="42">
        <f t="shared" si="113"/>
        <v>192470.22448979638</v>
      </c>
      <c r="AF157" s="42">
        <f t="shared" si="111"/>
        <v>438.71428571428623</v>
      </c>
      <c r="AG157" s="43"/>
      <c r="AH157" s="42">
        <f t="shared" si="114"/>
        <v>9627.875</v>
      </c>
      <c r="AI157" s="42">
        <f t="shared" si="117"/>
        <v>657.125</v>
      </c>
      <c r="AJ157" s="42">
        <f t="shared" si="115"/>
        <v>431813.265625</v>
      </c>
      <c r="AK157" s="42">
        <f t="shared" si="116"/>
        <v>657.125</v>
      </c>
      <c r="AL157" s="43"/>
      <c r="AM157" s="42">
        <f t="shared" si="118"/>
        <v>9355.8888888888887</v>
      </c>
      <c r="AN157" s="42">
        <f t="shared" si="121"/>
        <v>929.11111111111131</v>
      </c>
      <c r="AO157" s="42">
        <f t="shared" si="119"/>
        <v>863247.45679012383</v>
      </c>
      <c r="AP157" s="42">
        <f t="shared" si="120"/>
        <v>929.11111111111131</v>
      </c>
      <c r="AQ157" s="43"/>
      <c r="AR157" s="42">
        <f t="shared" si="122"/>
        <v>9627.5</v>
      </c>
      <c r="AS157" s="42">
        <f t="shared" si="123"/>
        <v>657.5</v>
      </c>
      <c r="AT157" s="42">
        <f t="shared" si="124"/>
        <v>432306.25</v>
      </c>
      <c r="AU157" s="42">
        <f t="shared" si="89"/>
        <v>657.5</v>
      </c>
      <c r="AV157" s="43"/>
      <c r="AW157" s="42">
        <f t="shared" si="125"/>
        <v>9572.636363636364</v>
      </c>
      <c r="AX157" s="42">
        <f t="shared" si="128"/>
        <v>712.36363636363603</v>
      </c>
      <c r="AY157" s="42">
        <f t="shared" si="126"/>
        <v>507461.95041322266</v>
      </c>
      <c r="AZ157" s="42">
        <f t="shared" si="127"/>
        <v>712.36363636363603</v>
      </c>
      <c r="BA157" s="43"/>
      <c r="BB157" s="44">
        <f t="shared" si="90"/>
        <v>9498</v>
      </c>
      <c r="BC157" s="42">
        <f t="shared" si="131"/>
        <v>787</v>
      </c>
      <c r="BD157" s="42">
        <f t="shared" si="129"/>
        <v>619369</v>
      </c>
      <c r="BE157" s="42">
        <f t="shared" si="130"/>
        <v>787</v>
      </c>
    </row>
    <row r="158" spans="1:57" ht="18" x14ac:dyDescent="0.2">
      <c r="A158" s="7">
        <v>43040</v>
      </c>
      <c r="B158" s="17">
        <v>14189</v>
      </c>
      <c r="D158" s="42">
        <f t="shared" si="91"/>
        <v>10290</v>
      </c>
      <c r="E158" s="42">
        <f t="shared" si="88"/>
        <v>3899</v>
      </c>
      <c r="F158" s="42">
        <f t="shared" si="92"/>
        <v>15202201</v>
      </c>
      <c r="G158" s="42">
        <f t="shared" si="93"/>
        <v>3899</v>
      </c>
      <c r="H158" s="43"/>
      <c r="I158" s="42">
        <f t="shared" si="94"/>
        <v>10049.333333333334</v>
      </c>
      <c r="J158" s="42">
        <f t="shared" si="95"/>
        <v>4139.6666666666661</v>
      </c>
      <c r="K158" s="42">
        <f t="shared" si="96"/>
        <v>17136840.111111104</v>
      </c>
      <c r="L158" s="42">
        <f t="shared" si="97"/>
        <v>4139.6666666666661</v>
      </c>
      <c r="M158" s="43"/>
      <c r="N158" s="42">
        <f t="shared" si="98"/>
        <v>10033.25</v>
      </c>
      <c r="O158" s="42">
        <f t="shared" si="100"/>
        <v>4155.75</v>
      </c>
      <c r="P158" s="42">
        <f t="shared" si="101"/>
        <v>17270258.0625</v>
      </c>
      <c r="Q158" s="42">
        <f t="shared" si="99"/>
        <v>4155.75</v>
      </c>
      <c r="R158" s="43"/>
      <c r="S158" s="42">
        <f t="shared" si="102"/>
        <v>9908.4</v>
      </c>
      <c r="T158" s="42">
        <f t="shared" si="104"/>
        <v>4280.6000000000004</v>
      </c>
      <c r="U158" s="42">
        <f t="shared" si="105"/>
        <v>18323536.360000003</v>
      </c>
      <c r="V158" s="42">
        <f t="shared" si="103"/>
        <v>4280.6000000000004</v>
      </c>
      <c r="W158" s="43"/>
      <c r="X158" s="42">
        <f t="shared" si="106"/>
        <v>9919.6666666666661</v>
      </c>
      <c r="Y158" s="42">
        <f t="shared" si="108"/>
        <v>4269.3333333333339</v>
      </c>
      <c r="Z158" s="42">
        <f t="shared" si="109"/>
        <v>18227207.111111116</v>
      </c>
      <c r="AA158" s="42">
        <f t="shared" si="107"/>
        <v>4269.3333333333339</v>
      </c>
      <c r="AB158" s="43"/>
      <c r="AC158" s="42">
        <f t="shared" si="110"/>
        <v>9894.8571428571431</v>
      </c>
      <c r="AD158" s="42">
        <f t="shared" si="112"/>
        <v>4294.1428571428569</v>
      </c>
      <c r="AE158" s="42">
        <f t="shared" si="113"/>
        <v>18439662.877551019</v>
      </c>
      <c r="AF158" s="42">
        <f t="shared" si="111"/>
        <v>4294.1428571428569</v>
      </c>
      <c r="AG158" s="43"/>
      <c r="AH158" s="42">
        <f t="shared" si="114"/>
        <v>9901.125</v>
      </c>
      <c r="AI158" s="42">
        <f t="shared" si="117"/>
        <v>4287.875</v>
      </c>
      <c r="AJ158" s="42">
        <f t="shared" si="115"/>
        <v>18385872.015625</v>
      </c>
      <c r="AK158" s="42">
        <f t="shared" si="116"/>
        <v>4287.875</v>
      </c>
      <c r="AL158" s="43"/>
      <c r="AM158" s="42">
        <f t="shared" si="118"/>
        <v>9700.8888888888887</v>
      </c>
      <c r="AN158" s="42">
        <f t="shared" si="121"/>
        <v>4488.1111111111113</v>
      </c>
      <c r="AO158" s="42">
        <f t="shared" si="119"/>
        <v>20143141.345679015</v>
      </c>
      <c r="AP158" s="42">
        <f t="shared" si="120"/>
        <v>4488.1111111111113</v>
      </c>
      <c r="AQ158" s="43"/>
      <c r="AR158" s="42">
        <f t="shared" si="122"/>
        <v>9448.7999999999993</v>
      </c>
      <c r="AS158" s="42">
        <f t="shared" si="123"/>
        <v>4740.2000000000007</v>
      </c>
      <c r="AT158" s="42">
        <f t="shared" si="124"/>
        <v>22469496.040000007</v>
      </c>
      <c r="AU158" s="42">
        <f t="shared" si="89"/>
        <v>4740.2000000000007</v>
      </c>
      <c r="AV158" s="43"/>
      <c r="AW158" s="42">
        <f t="shared" si="125"/>
        <v>9687.2727272727279</v>
      </c>
      <c r="AX158" s="42">
        <f t="shared" si="128"/>
        <v>4501.7272727272721</v>
      </c>
      <c r="AY158" s="42">
        <f t="shared" si="126"/>
        <v>20265548.438016523</v>
      </c>
      <c r="AZ158" s="42">
        <f t="shared" si="127"/>
        <v>4501.7272727272721</v>
      </c>
      <c r="BA158" s="43"/>
      <c r="BB158" s="44">
        <f t="shared" si="90"/>
        <v>9632</v>
      </c>
      <c r="BC158" s="42">
        <f t="shared" si="131"/>
        <v>4557</v>
      </c>
      <c r="BD158" s="42">
        <f t="shared" si="129"/>
        <v>20766249</v>
      </c>
      <c r="BE158" s="42">
        <f t="shared" si="130"/>
        <v>4557</v>
      </c>
    </row>
    <row r="159" spans="1:57" ht="18" x14ac:dyDescent="0.2">
      <c r="A159" s="7">
        <v>43070</v>
      </c>
      <c r="B159" s="17">
        <v>18602</v>
      </c>
      <c r="D159" s="42">
        <f t="shared" si="91"/>
        <v>12237</v>
      </c>
      <c r="E159" s="42">
        <f t="shared" si="88"/>
        <v>6365</v>
      </c>
      <c r="F159" s="42">
        <f t="shared" si="92"/>
        <v>40513225</v>
      </c>
      <c r="G159" s="42">
        <f t="shared" si="93"/>
        <v>6365</v>
      </c>
      <c r="H159" s="43"/>
      <c r="I159" s="42">
        <f t="shared" si="94"/>
        <v>11589.666666666666</v>
      </c>
      <c r="J159" s="42">
        <f t="shared" si="95"/>
        <v>7012.3333333333339</v>
      </c>
      <c r="K159" s="42">
        <f t="shared" si="96"/>
        <v>49172818.777777784</v>
      </c>
      <c r="L159" s="42">
        <f t="shared" si="97"/>
        <v>7012.3333333333339</v>
      </c>
      <c r="M159" s="43"/>
      <c r="N159" s="42">
        <f t="shared" si="98"/>
        <v>11084.25</v>
      </c>
      <c r="O159" s="42">
        <f t="shared" si="100"/>
        <v>7517.75</v>
      </c>
      <c r="P159" s="42">
        <f t="shared" si="101"/>
        <v>56516565.0625</v>
      </c>
      <c r="Q159" s="42">
        <f t="shared" si="99"/>
        <v>7517.75</v>
      </c>
      <c r="R159" s="43"/>
      <c r="S159" s="42">
        <f t="shared" si="102"/>
        <v>10864.4</v>
      </c>
      <c r="T159" s="42">
        <f t="shared" si="104"/>
        <v>7737.6</v>
      </c>
      <c r="U159" s="42">
        <f t="shared" si="105"/>
        <v>59870453.760000005</v>
      </c>
      <c r="V159" s="42">
        <f t="shared" si="103"/>
        <v>7737.6</v>
      </c>
      <c r="W159" s="43"/>
      <c r="X159" s="42">
        <f t="shared" si="106"/>
        <v>10621.833333333334</v>
      </c>
      <c r="Y159" s="42">
        <f t="shared" si="108"/>
        <v>7980.1666666666661</v>
      </c>
      <c r="Z159" s="42">
        <f t="shared" si="109"/>
        <v>63683060.027777769</v>
      </c>
      <c r="AA159" s="42">
        <f t="shared" si="107"/>
        <v>7980.1666666666661</v>
      </c>
      <c r="AB159" s="43"/>
      <c r="AC159" s="42">
        <f t="shared" si="110"/>
        <v>10529.571428571429</v>
      </c>
      <c r="AD159" s="42">
        <f t="shared" si="112"/>
        <v>8072.4285714285706</v>
      </c>
      <c r="AE159" s="42">
        <f t="shared" si="113"/>
        <v>65164103.040816315</v>
      </c>
      <c r="AF159" s="42">
        <f t="shared" si="111"/>
        <v>8072.4285714285706</v>
      </c>
      <c r="AG159" s="43"/>
      <c r="AH159" s="42">
        <f t="shared" si="114"/>
        <v>10431.625</v>
      </c>
      <c r="AI159" s="42">
        <f t="shared" si="117"/>
        <v>8170.375</v>
      </c>
      <c r="AJ159" s="42">
        <f t="shared" si="115"/>
        <v>66755027.640625</v>
      </c>
      <c r="AK159" s="42">
        <f t="shared" si="116"/>
        <v>8170.375</v>
      </c>
      <c r="AL159" s="43"/>
      <c r="AM159" s="42">
        <f t="shared" si="118"/>
        <v>10377.555555555555</v>
      </c>
      <c r="AN159" s="42">
        <f t="shared" si="121"/>
        <v>8224.4444444444453</v>
      </c>
      <c r="AO159" s="42">
        <f t="shared" si="119"/>
        <v>67641486.419753104</v>
      </c>
      <c r="AP159" s="42">
        <f t="shared" si="120"/>
        <v>8224.4444444444453</v>
      </c>
      <c r="AQ159" s="43"/>
      <c r="AR159" s="42">
        <f t="shared" si="122"/>
        <v>10149.700000000001</v>
      </c>
      <c r="AS159" s="42">
        <f t="shared" si="123"/>
        <v>8452.2999999999993</v>
      </c>
      <c r="AT159" s="42">
        <f t="shared" si="124"/>
        <v>71441375.289999992</v>
      </c>
      <c r="AU159" s="42">
        <f t="shared" si="89"/>
        <v>8452.2999999999993</v>
      </c>
      <c r="AV159" s="43"/>
      <c r="AW159" s="42">
        <f t="shared" si="125"/>
        <v>9879.7272727272721</v>
      </c>
      <c r="AX159" s="42">
        <f t="shared" si="128"/>
        <v>8722.2727272727279</v>
      </c>
      <c r="AY159" s="42">
        <f t="shared" si="126"/>
        <v>76078041.528925627</v>
      </c>
      <c r="AZ159" s="42">
        <f t="shared" si="127"/>
        <v>8722.2727272727279</v>
      </c>
      <c r="BA159" s="43"/>
      <c r="BB159" s="44">
        <f t="shared" si="90"/>
        <v>10062.416666666666</v>
      </c>
      <c r="BC159" s="42">
        <f t="shared" si="131"/>
        <v>8539.5833333333339</v>
      </c>
      <c r="BD159" s="42">
        <f t="shared" si="129"/>
        <v>72924483.506944448</v>
      </c>
      <c r="BE159" s="42">
        <f t="shared" si="130"/>
        <v>8539.5833333333339</v>
      </c>
    </row>
    <row r="160" spans="1:57" ht="18" x14ac:dyDescent="0.2">
      <c r="A160" s="7">
        <v>43101</v>
      </c>
      <c r="B160" s="17">
        <v>11619</v>
      </c>
      <c r="D160" s="42">
        <f t="shared" si="91"/>
        <v>16395.5</v>
      </c>
      <c r="E160" s="42">
        <f t="shared" si="88"/>
        <v>-4776.5</v>
      </c>
      <c r="F160" s="42">
        <f t="shared" si="92"/>
        <v>22814952.25</v>
      </c>
      <c r="G160" s="42">
        <f t="shared" si="93"/>
        <v>4776.5</v>
      </c>
      <c r="H160" s="43"/>
      <c r="I160" s="42">
        <f t="shared" si="94"/>
        <v>14358.666666666666</v>
      </c>
      <c r="J160" s="42">
        <f t="shared" si="95"/>
        <v>-2739.6666666666661</v>
      </c>
      <c r="K160" s="42">
        <f t="shared" si="96"/>
        <v>7505773.4444444412</v>
      </c>
      <c r="L160" s="42">
        <f t="shared" si="97"/>
        <v>2739.6666666666661</v>
      </c>
      <c r="M160" s="43"/>
      <c r="N160" s="42">
        <f t="shared" si="98"/>
        <v>13342.75</v>
      </c>
      <c r="O160" s="42">
        <f t="shared" si="100"/>
        <v>-1723.75</v>
      </c>
      <c r="P160" s="42">
        <f t="shared" si="101"/>
        <v>2971314.0625</v>
      </c>
      <c r="Q160" s="42">
        <f t="shared" si="99"/>
        <v>1723.75</v>
      </c>
      <c r="R160" s="43"/>
      <c r="S160" s="42">
        <f t="shared" si="102"/>
        <v>12587.8</v>
      </c>
      <c r="T160" s="42">
        <f t="shared" si="104"/>
        <v>-968.79999999999927</v>
      </c>
      <c r="U160" s="42">
        <f t="shared" si="105"/>
        <v>938573.43999999855</v>
      </c>
      <c r="V160" s="42">
        <f t="shared" si="103"/>
        <v>968.79999999999927</v>
      </c>
      <c r="W160" s="43"/>
      <c r="X160" s="42">
        <f t="shared" si="106"/>
        <v>12154</v>
      </c>
      <c r="Y160" s="42">
        <f t="shared" si="108"/>
        <v>-535</v>
      </c>
      <c r="Z160" s="42">
        <f t="shared" si="109"/>
        <v>286225</v>
      </c>
      <c r="AA160" s="42">
        <f t="shared" si="107"/>
        <v>535</v>
      </c>
      <c r="AB160" s="43"/>
      <c r="AC160" s="42">
        <f t="shared" si="110"/>
        <v>11761.857142857143</v>
      </c>
      <c r="AD160" s="42">
        <f t="shared" si="112"/>
        <v>-142.85714285714312</v>
      </c>
      <c r="AE160" s="42">
        <f t="shared" si="113"/>
        <v>20408.163265306197</v>
      </c>
      <c r="AF160" s="42">
        <f t="shared" si="111"/>
        <v>142.85714285714312</v>
      </c>
      <c r="AG160" s="43"/>
      <c r="AH160" s="42">
        <f t="shared" si="114"/>
        <v>11538.625</v>
      </c>
      <c r="AI160" s="42">
        <f t="shared" si="117"/>
        <v>80.375</v>
      </c>
      <c r="AJ160" s="42">
        <f t="shared" si="115"/>
        <v>6460.140625</v>
      </c>
      <c r="AK160" s="42">
        <f t="shared" si="116"/>
        <v>80.375</v>
      </c>
      <c r="AL160" s="43"/>
      <c r="AM160" s="42">
        <f t="shared" si="118"/>
        <v>11339.444444444445</v>
      </c>
      <c r="AN160" s="42">
        <f t="shared" si="121"/>
        <v>279.55555555555475</v>
      </c>
      <c r="AO160" s="42">
        <f t="shared" si="119"/>
        <v>78151.308641974858</v>
      </c>
      <c r="AP160" s="42">
        <f t="shared" si="120"/>
        <v>279.55555555555475</v>
      </c>
      <c r="AQ160" s="43"/>
      <c r="AR160" s="42">
        <f t="shared" si="122"/>
        <v>11200</v>
      </c>
      <c r="AS160" s="42">
        <f t="shared" si="123"/>
        <v>419</v>
      </c>
      <c r="AT160" s="42">
        <f t="shared" si="124"/>
        <v>175561</v>
      </c>
      <c r="AU160" s="42">
        <f t="shared" si="89"/>
        <v>419</v>
      </c>
      <c r="AV160" s="43"/>
      <c r="AW160" s="42">
        <f t="shared" si="125"/>
        <v>10918.09090909091</v>
      </c>
      <c r="AX160" s="42">
        <f t="shared" si="128"/>
        <v>700.90909090909008</v>
      </c>
      <c r="AY160" s="42">
        <f t="shared" si="126"/>
        <v>491273.55371900712</v>
      </c>
      <c r="AZ160" s="42">
        <f t="shared" si="127"/>
        <v>700.90909090909008</v>
      </c>
      <c r="BA160" s="43"/>
      <c r="BB160" s="44">
        <f t="shared" si="90"/>
        <v>10606.583333333334</v>
      </c>
      <c r="BC160" s="42">
        <f t="shared" si="131"/>
        <v>1012.4166666666661</v>
      </c>
      <c r="BD160" s="42">
        <f t="shared" si="129"/>
        <v>1024987.5069444432</v>
      </c>
      <c r="BE160" s="42">
        <f t="shared" si="130"/>
        <v>1012.4166666666661</v>
      </c>
    </row>
    <row r="161" spans="1:57" ht="18" x14ac:dyDescent="0.2">
      <c r="A161" s="7">
        <v>43132</v>
      </c>
      <c r="B161" s="17">
        <v>12056</v>
      </c>
      <c r="D161" s="42">
        <f t="shared" si="91"/>
        <v>15110.5</v>
      </c>
      <c r="E161" s="42">
        <f t="shared" si="88"/>
        <v>-3054.5</v>
      </c>
      <c r="F161" s="42">
        <f t="shared" si="92"/>
        <v>9329970.25</v>
      </c>
      <c r="G161" s="42">
        <f t="shared" si="93"/>
        <v>3054.5</v>
      </c>
      <c r="H161" s="43"/>
      <c r="I161" s="42">
        <f t="shared" si="94"/>
        <v>14803.333333333334</v>
      </c>
      <c r="J161" s="42">
        <f t="shared" si="95"/>
        <v>-2747.3333333333339</v>
      </c>
      <c r="K161" s="42">
        <f t="shared" si="96"/>
        <v>7547840.4444444478</v>
      </c>
      <c r="L161" s="42">
        <f t="shared" si="97"/>
        <v>2747.3333333333339</v>
      </c>
      <c r="M161" s="43"/>
      <c r="N161" s="42">
        <f t="shared" si="98"/>
        <v>13673.75</v>
      </c>
      <c r="O161" s="42">
        <f t="shared" si="100"/>
        <v>-1617.75</v>
      </c>
      <c r="P161" s="42">
        <f t="shared" si="101"/>
        <v>2617115.0625</v>
      </c>
      <c r="Q161" s="42">
        <f t="shared" si="99"/>
        <v>1617.75</v>
      </c>
      <c r="R161" s="43"/>
      <c r="S161" s="42">
        <f t="shared" si="102"/>
        <v>12998</v>
      </c>
      <c r="T161" s="42">
        <f t="shared" si="104"/>
        <v>-942</v>
      </c>
      <c r="U161" s="42">
        <f t="shared" si="105"/>
        <v>887364</v>
      </c>
      <c r="V161" s="42">
        <f t="shared" si="103"/>
        <v>942</v>
      </c>
      <c r="W161" s="43"/>
      <c r="X161" s="42">
        <f t="shared" si="106"/>
        <v>12426.333333333334</v>
      </c>
      <c r="Y161" s="42">
        <f t="shared" si="108"/>
        <v>-370.33333333333394</v>
      </c>
      <c r="Z161" s="42">
        <f t="shared" si="109"/>
        <v>137146.77777777822</v>
      </c>
      <c r="AA161" s="42">
        <f t="shared" si="107"/>
        <v>370.33333333333394</v>
      </c>
      <c r="AB161" s="43"/>
      <c r="AC161" s="42">
        <f t="shared" si="110"/>
        <v>12077.571428571429</v>
      </c>
      <c r="AD161" s="42">
        <f t="shared" si="112"/>
        <v>-21.571428571429351</v>
      </c>
      <c r="AE161" s="42">
        <f t="shared" si="113"/>
        <v>465.32653061227853</v>
      </c>
      <c r="AF161" s="42">
        <f t="shared" si="111"/>
        <v>21.571428571429351</v>
      </c>
      <c r="AG161" s="43"/>
      <c r="AH161" s="42">
        <f t="shared" si="114"/>
        <v>11744</v>
      </c>
      <c r="AI161" s="42">
        <f t="shared" si="117"/>
        <v>312</v>
      </c>
      <c r="AJ161" s="42">
        <f t="shared" si="115"/>
        <v>97344</v>
      </c>
      <c r="AK161" s="42">
        <f t="shared" si="116"/>
        <v>312</v>
      </c>
      <c r="AL161" s="43"/>
      <c r="AM161" s="42">
        <f t="shared" si="118"/>
        <v>11547.555555555555</v>
      </c>
      <c r="AN161" s="42">
        <f t="shared" si="121"/>
        <v>508.44444444444525</v>
      </c>
      <c r="AO161" s="42">
        <f t="shared" si="119"/>
        <v>258515.75308642056</v>
      </c>
      <c r="AP161" s="42">
        <f t="shared" si="120"/>
        <v>508.44444444444525</v>
      </c>
      <c r="AQ161" s="43"/>
      <c r="AR161" s="42">
        <f t="shared" si="122"/>
        <v>11367.4</v>
      </c>
      <c r="AS161" s="42">
        <f t="shared" si="123"/>
        <v>688.60000000000036</v>
      </c>
      <c r="AT161" s="42">
        <f t="shared" si="124"/>
        <v>474169.96000000049</v>
      </c>
      <c r="AU161" s="42">
        <f t="shared" si="89"/>
        <v>688.60000000000036</v>
      </c>
      <c r="AV161" s="43"/>
      <c r="AW161" s="42">
        <f t="shared" si="125"/>
        <v>11238.09090909091</v>
      </c>
      <c r="AX161" s="42">
        <f t="shared" si="128"/>
        <v>817.90909090909008</v>
      </c>
      <c r="AY161" s="42">
        <f t="shared" si="126"/>
        <v>668975.28099173424</v>
      </c>
      <c r="AZ161" s="42">
        <f t="shared" si="127"/>
        <v>817.90909090909008</v>
      </c>
      <c r="BA161" s="43"/>
      <c r="BB161" s="44">
        <f t="shared" si="90"/>
        <v>10976.5</v>
      </c>
      <c r="BC161" s="42">
        <f t="shared" si="131"/>
        <v>1079.5</v>
      </c>
      <c r="BD161" s="42">
        <f t="shared" si="129"/>
        <v>1165320.25</v>
      </c>
      <c r="BE161" s="42">
        <f t="shared" si="130"/>
        <v>1079.5</v>
      </c>
    </row>
    <row r="162" spans="1:57" ht="18" x14ac:dyDescent="0.2">
      <c r="A162" s="7">
        <v>43160</v>
      </c>
      <c r="B162" s="17">
        <v>14158</v>
      </c>
      <c r="D162" s="42">
        <f t="shared" si="91"/>
        <v>11837.5</v>
      </c>
      <c r="E162" s="42">
        <f t="shared" si="88"/>
        <v>2320.5</v>
      </c>
      <c r="F162" s="42">
        <f t="shared" si="92"/>
        <v>5384720.25</v>
      </c>
      <c r="G162" s="42">
        <f t="shared" si="93"/>
        <v>2320.5</v>
      </c>
      <c r="H162" s="43"/>
      <c r="I162" s="42">
        <f t="shared" si="94"/>
        <v>14092.333333333334</v>
      </c>
      <c r="J162" s="42">
        <f t="shared" si="95"/>
        <v>65.66666666666606</v>
      </c>
      <c r="K162" s="42">
        <f t="shared" si="96"/>
        <v>4312.1111111110313</v>
      </c>
      <c r="L162" s="42">
        <f t="shared" si="97"/>
        <v>65.66666666666606</v>
      </c>
      <c r="M162" s="43"/>
      <c r="N162" s="42">
        <f t="shared" si="98"/>
        <v>14116.5</v>
      </c>
      <c r="O162" s="42">
        <f t="shared" si="100"/>
        <v>41.5</v>
      </c>
      <c r="P162" s="42">
        <f t="shared" si="101"/>
        <v>1722.25</v>
      </c>
      <c r="Q162" s="42">
        <f t="shared" si="99"/>
        <v>41.5</v>
      </c>
      <c r="R162" s="43"/>
      <c r="S162" s="42">
        <f t="shared" si="102"/>
        <v>13350.2</v>
      </c>
      <c r="T162" s="42">
        <f t="shared" si="104"/>
        <v>807.79999999999927</v>
      </c>
      <c r="U162" s="42">
        <f t="shared" si="105"/>
        <v>652540.8399999988</v>
      </c>
      <c r="V162" s="42">
        <f t="shared" si="103"/>
        <v>807.79999999999927</v>
      </c>
      <c r="W162" s="43"/>
      <c r="X162" s="42">
        <f t="shared" si="106"/>
        <v>12841</v>
      </c>
      <c r="Y162" s="42">
        <f t="shared" si="108"/>
        <v>1317</v>
      </c>
      <c r="Z162" s="42">
        <f t="shared" si="109"/>
        <v>1734489</v>
      </c>
      <c r="AA162" s="42">
        <f t="shared" si="107"/>
        <v>1317</v>
      </c>
      <c r="AB162" s="43"/>
      <c r="AC162" s="42">
        <f t="shared" si="110"/>
        <v>12373.428571428571</v>
      </c>
      <c r="AD162" s="42">
        <f t="shared" si="112"/>
        <v>1784.5714285714294</v>
      </c>
      <c r="AE162" s="42">
        <f t="shared" si="113"/>
        <v>3184695.1836734721</v>
      </c>
      <c r="AF162" s="42">
        <f t="shared" si="111"/>
        <v>1784.5714285714294</v>
      </c>
      <c r="AG162" s="43"/>
      <c r="AH162" s="42">
        <f t="shared" si="114"/>
        <v>12074.875</v>
      </c>
      <c r="AI162" s="42">
        <f t="shared" si="117"/>
        <v>2083.125</v>
      </c>
      <c r="AJ162" s="42">
        <f t="shared" si="115"/>
        <v>4339409.765625</v>
      </c>
      <c r="AK162" s="42">
        <f t="shared" si="116"/>
        <v>2083.125</v>
      </c>
      <c r="AL162" s="43"/>
      <c r="AM162" s="42">
        <f t="shared" si="118"/>
        <v>11778.666666666666</v>
      </c>
      <c r="AN162" s="42">
        <f t="shared" si="121"/>
        <v>2379.3333333333339</v>
      </c>
      <c r="AO162" s="42">
        <f t="shared" si="119"/>
        <v>5661227.1111111138</v>
      </c>
      <c r="AP162" s="42">
        <f t="shared" si="120"/>
        <v>2379.3333333333339</v>
      </c>
      <c r="AQ162" s="43"/>
      <c r="AR162" s="42">
        <f t="shared" si="122"/>
        <v>11598.4</v>
      </c>
      <c r="AS162" s="42">
        <f t="shared" si="123"/>
        <v>2559.6000000000004</v>
      </c>
      <c r="AT162" s="42">
        <f t="shared" si="124"/>
        <v>6551552.160000002</v>
      </c>
      <c r="AU162" s="42">
        <f t="shared" si="89"/>
        <v>2559.6000000000004</v>
      </c>
      <c r="AV162" s="43"/>
      <c r="AW162" s="42">
        <f t="shared" si="125"/>
        <v>11430</v>
      </c>
      <c r="AX162" s="42">
        <f t="shared" si="128"/>
        <v>2728</v>
      </c>
      <c r="AY162" s="42">
        <f t="shared" si="126"/>
        <v>7441984</v>
      </c>
      <c r="AZ162" s="42">
        <f t="shared" si="127"/>
        <v>2728</v>
      </c>
      <c r="BA162" s="43"/>
      <c r="BB162" s="44">
        <f t="shared" si="90"/>
        <v>11306.25</v>
      </c>
      <c r="BC162" s="42">
        <f t="shared" si="131"/>
        <v>2851.75</v>
      </c>
      <c r="BD162" s="42">
        <f t="shared" si="129"/>
        <v>8132478.0625</v>
      </c>
      <c r="BE162" s="42">
        <f t="shared" si="130"/>
        <v>2851.75</v>
      </c>
    </row>
    <row r="163" spans="1:57" ht="18" x14ac:dyDescent="0.2">
      <c r="A163" s="7">
        <v>43191</v>
      </c>
      <c r="B163" s="17">
        <v>11891</v>
      </c>
      <c r="D163" s="42">
        <f t="shared" si="91"/>
        <v>13107</v>
      </c>
      <c r="E163" s="42">
        <f t="shared" si="88"/>
        <v>-1216</v>
      </c>
      <c r="F163" s="42">
        <f t="shared" si="92"/>
        <v>1478656</v>
      </c>
      <c r="G163" s="42">
        <f t="shared" si="93"/>
        <v>1216</v>
      </c>
      <c r="H163" s="43"/>
      <c r="I163" s="42">
        <f t="shared" si="94"/>
        <v>12611</v>
      </c>
      <c r="J163" s="42">
        <f t="shared" si="95"/>
        <v>-720</v>
      </c>
      <c r="K163" s="42">
        <f t="shared" si="96"/>
        <v>518400</v>
      </c>
      <c r="L163" s="42">
        <f t="shared" si="97"/>
        <v>720</v>
      </c>
      <c r="M163" s="43"/>
      <c r="N163" s="42">
        <f t="shared" si="98"/>
        <v>14108.75</v>
      </c>
      <c r="O163" s="42">
        <f t="shared" si="100"/>
        <v>-2217.75</v>
      </c>
      <c r="P163" s="42">
        <f t="shared" si="101"/>
        <v>4918415.0625</v>
      </c>
      <c r="Q163" s="42">
        <f t="shared" si="99"/>
        <v>2217.75</v>
      </c>
      <c r="R163" s="43"/>
      <c r="S163" s="42">
        <f t="shared" si="102"/>
        <v>14124.8</v>
      </c>
      <c r="T163" s="42">
        <f t="shared" si="104"/>
        <v>-2233.7999999999993</v>
      </c>
      <c r="U163" s="42">
        <f t="shared" si="105"/>
        <v>4989862.4399999967</v>
      </c>
      <c r="V163" s="42">
        <f t="shared" si="103"/>
        <v>2233.7999999999993</v>
      </c>
      <c r="W163" s="43"/>
      <c r="X163" s="42">
        <f t="shared" si="106"/>
        <v>13484.833333333334</v>
      </c>
      <c r="Y163" s="42">
        <f t="shared" si="108"/>
        <v>-1593.8333333333339</v>
      </c>
      <c r="Z163" s="42">
        <f t="shared" si="109"/>
        <v>2540304.6944444464</v>
      </c>
      <c r="AA163" s="42">
        <f t="shared" si="107"/>
        <v>1593.8333333333339</v>
      </c>
      <c r="AB163" s="43"/>
      <c r="AC163" s="42">
        <f t="shared" si="110"/>
        <v>13029.142857142857</v>
      </c>
      <c r="AD163" s="42">
        <f t="shared" si="112"/>
        <v>-1138.1428571428569</v>
      </c>
      <c r="AE163" s="42">
        <f t="shared" si="113"/>
        <v>1295369.1632653056</v>
      </c>
      <c r="AF163" s="42">
        <f t="shared" si="111"/>
        <v>1138.1428571428569</v>
      </c>
      <c r="AG163" s="43"/>
      <c r="AH163" s="42">
        <f t="shared" si="114"/>
        <v>12596.5</v>
      </c>
      <c r="AI163" s="42">
        <f t="shared" si="117"/>
        <v>-705.5</v>
      </c>
      <c r="AJ163" s="42">
        <f t="shared" si="115"/>
        <v>497730.25</v>
      </c>
      <c r="AK163" s="42">
        <f t="shared" si="116"/>
        <v>705.5</v>
      </c>
      <c r="AL163" s="43"/>
      <c r="AM163" s="42">
        <f t="shared" si="118"/>
        <v>12306.333333333334</v>
      </c>
      <c r="AN163" s="42">
        <f t="shared" si="121"/>
        <v>-415.33333333333394</v>
      </c>
      <c r="AO163" s="42">
        <f t="shared" si="119"/>
        <v>172501.77777777828</v>
      </c>
      <c r="AP163" s="42">
        <f t="shared" si="120"/>
        <v>415.33333333333394</v>
      </c>
      <c r="AQ163" s="43"/>
      <c r="AR163" s="42">
        <f t="shared" si="122"/>
        <v>12016.6</v>
      </c>
      <c r="AS163" s="42">
        <f t="shared" si="123"/>
        <v>-125.60000000000036</v>
      </c>
      <c r="AT163" s="42">
        <f t="shared" si="124"/>
        <v>15775.360000000092</v>
      </c>
      <c r="AU163" s="42">
        <f t="shared" si="89"/>
        <v>125.60000000000036</v>
      </c>
      <c r="AV163" s="43"/>
      <c r="AW163" s="42">
        <f t="shared" si="125"/>
        <v>11831.09090909091</v>
      </c>
      <c r="AX163" s="42">
        <f t="shared" si="128"/>
        <v>59.909090909090082</v>
      </c>
      <c r="AY163" s="42">
        <f t="shared" si="126"/>
        <v>3589.0991735536199</v>
      </c>
      <c r="AZ163" s="42">
        <f t="shared" si="127"/>
        <v>59.909090909090082</v>
      </c>
      <c r="BA163" s="43"/>
      <c r="BB163" s="44">
        <f t="shared" si="90"/>
        <v>11657.333333333334</v>
      </c>
      <c r="BC163" s="42">
        <f t="shared" si="131"/>
        <v>233.66666666666606</v>
      </c>
      <c r="BD163" s="42">
        <f t="shared" si="129"/>
        <v>54600.111111110826</v>
      </c>
      <c r="BE163" s="42">
        <f t="shared" si="130"/>
        <v>233.66666666666606</v>
      </c>
    </row>
    <row r="164" spans="1:57" ht="18" x14ac:dyDescent="0.2">
      <c r="A164" s="7">
        <v>43221</v>
      </c>
      <c r="B164" s="17">
        <v>13573</v>
      </c>
      <c r="D164" s="42">
        <f t="shared" si="91"/>
        <v>13024.5</v>
      </c>
      <c r="E164" s="42">
        <f t="shared" si="88"/>
        <v>548.5</v>
      </c>
      <c r="F164" s="42">
        <f t="shared" si="92"/>
        <v>300852.25</v>
      </c>
      <c r="G164" s="42">
        <f t="shared" si="93"/>
        <v>548.5</v>
      </c>
      <c r="H164" s="43"/>
      <c r="I164" s="42">
        <f t="shared" si="94"/>
        <v>12701.666666666666</v>
      </c>
      <c r="J164" s="42">
        <f t="shared" si="95"/>
        <v>871.33333333333394</v>
      </c>
      <c r="K164" s="42">
        <f t="shared" si="96"/>
        <v>759221.7777777788</v>
      </c>
      <c r="L164" s="42">
        <f t="shared" si="97"/>
        <v>871.33333333333394</v>
      </c>
      <c r="M164" s="43"/>
      <c r="N164" s="42">
        <f t="shared" si="98"/>
        <v>12431</v>
      </c>
      <c r="O164" s="42">
        <f t="shared" si="100"/>
        <v>1142</v>
      </c>
      <c r="P164" s="42">
        <f t="shared" si="101"/>
        <v>1304164</v>
      </c>
      <c r="Q164" s="42">
        <f t="shared" si="99"/>
        <v>1142</v>
      </c>
      <c r="R164" s="43"/>
      <c r="S164" s="42">
        <f t="shared" si="102"/>
        <v>13665.2</v>
      </c>
      <c r="T164" s="42">
        <f t="shared" si="104"/>
        <v>-92.200000000000728</v>
      </c>
      <c r="U164" s="42">
        <f t="shared" si="105"/>
        <v>8500.8400000001348</v>
      </c>
      <c r="V164" s="42">
        <f t="shared" si="103"/>
        <v>92.200000000000728</v>
      </c>
      <c r="W164" s="43"/>
      <c r="X164" s="42">
        <f t="shared" si="106"/>
        <v>13752.5</v>
      </c>
      <c r="Y164" s="42">
        <f t="shared" si="108"/>
        <v>-179.5</v>
      </c>
      <c r="Z164" s="42">
        <f t="shared" si="109"/>
        <v>32220.25</v>
      </c>
      <c r="AA164" s="42">
        <f t="shared" si="107"/>
        <v>179.5</v>
      </c>
      <c r="AB164" s="43"/>
      <c r="AC164" s="42">
        <f t="shared" si="110"/>
        <v>13257.142857142857</v>
      </c>
      <c r="AD164" s="42">
        <f t="shared" si="112"/>
        <v>315.85714285714312</v>
      </c>
      <c r="AE164" s="42">
        <f t="shared" si="113"/>
        <v>99765.734693877719</v>
      </c>
      <c r="AF164" s="42">
        <f t="shared" si="111"/>
        <v>315.85714285714312</v>
      </c>
      <c r="AG164" s="43"/>
      <c r="AH164" s="42">
        <f t="shared" si="114"/>
        <v>12886.875</v>
      </c>
      <c r="AI164" s="42">
        <f t="shared" si="117"/>
        <v>686.125</v>
      </c>
      <c r="AJ164" s="42">
        <f t="shared" si="115"/>
        <v>470767.515625</v>
      </c>
      <c r="AK164" s="42">
        <f t="shared" si="116"/>
        <v>686.125</v>
      </c>
      <c r="AL164" s="43"/>
      <c r="AM164" s="42">
        <f t="shared" si="118"/>
        <v>12518.111111111111</v>
      </c>
      <c r="AN164" s="42">
        <f t="shared" si="121"/>
        <v>1054.8888888888887</v>
      </c>
      <c r="AO164" s="42">
        <f t="shared" si="119"/>
        <v>1112790.5679012341</v>
      </c>
      <c r="AP164" s="42">
        <f t="shared" si="120"/>
        <v>1054.8888888888887</v>
      </c>
      <c r="AQ164" s="43"/>
      <c r="AR164" s="42">
        <f t="shared" si="122"/>
        <v>12264.8</v>
      </c>
      <c r="AS164" s="42">
        <f t="shared" si="123"/>
        <v>1308.2000000000007</v>
      </c>
      <c r="AT164" s="42">
        <f t="shared" si="124"/>
        <v>1711387.2400000019</v>
      </c>
      <c r="AU164" s="42">
        <f t="shared" si="89"/>
        <v>1308.2000000000007</v>
      </c>
      <c r="AV164" s="43"/>
      <c r="AW164" s="42">
        <f t="shared" si="125"/>
        <v>12005.181818181818</v>
      </c>
      <c r="AX164" s="42">
        <f t="shared" si="128"/>
        <v>1567.818181818182</v>
      </c>
      <c r="AY164" s="42">
        <f t="shared" si="126"/>
        <v>2458053.8512396701</v>
      </c>
      <c r="AZ164" s="42">
        <f t="shared" si="127"/>
        <v>1567.818181818182</v>
      </c>
      <c r="BA164" s="43"/>
      <c r="BB164" s="44">
        <f t="shared" si="90"/>
        <v>11836.083333333334</v>
      </c>
      <c r="BC164" s="42">
        <f t="shared" si="131"/>
        <v>1736.9166666666661</v>
      </c>
      <c r="BD164" s="42">
        <f t="shared" si="129"/>
        <v>3016879.5069444422</v>
      </c>
      <c r="BE164" s="42">
        <f t="shared" si="130"/>
        <v>1736.9166666666661</v>
      </c>
    </row>
    <row r="165" spans="1:57" ht="18" x14ac:dyDescent="0.2">
      <c r="A165" s="7">
        <v>43252</v>
      </c>
      <c r="B165" s="17">
        <v>12782</v>
      </c>
      <c r="D165" s="42">
        <f t="shared" si="91"/>
        <v>12732</v>
      </c>
      <c r="E165" s="42">
        <f t="shared" si="88"/>
        <v>50</v>
      </c>
      <c r="F165" s="42">
        <f t="shared" si="92"/>
        <v>2500</v>
      </c>
      <c r="G165" s="42">
        <f t="shared" si="93"/>
        <v>50</v>
      </c>
      <c r="H165" s="43"/>
      <c r="I165" s="42">
        <f t="shared" si="94"/>
        <v>13207.333333333334</v>
      </c>
      <c r="J165" s="42">
        <f t="shared" si="95"/>
        <v>-425.33333333333394</v>
      </c>
      <c r="K165" s="42">
        <f t="shared" si="96"/>
        <v>180908.44444444496</v>
      </c>
      <c r="L165" s="42">
        <f t="shared" si="97"/>
        <v>425.33333333333394</v>
      </c>
      <c r="M165" s="43"/>
      <c r="N165" s="42">
        <f t="shared" si="98"/>
        <v>12919.5</v>
      </c>
      <c r="O165" s="42">
        <f t="shared" si="100"/>
        <v>-137.5</v>
      </c>
      <c r="P165" s="42">
        <f t="shared" si="101"/>
        <v>18906.25</v>
      </c>
      <c r="Q165" s="42">
        <f t="shared" si="99"/>
        <v>137.5</v>
      </c>
      <c r="R165" s="43"/>
      <c r="S165" s="42">
        <f t="shared" si="102"/>
        <v>12659.4</v>
      </c>
      <c r="T165" s="42">
        <f t="shared" si="104"/>
        <v>122.60000000000036</v>
      </c>
      <c r="U165" s="42">
        <f t="shared" si="105"/>
        <v>15030.760000000089</v>
      </c>
      <c r="V165" s="42">
        <f t="shared" si="103"/>
        <v>122.60000000000036</v>
      </c>
      <c r="W165" s="43"/>
      <c r="X165" s="42">
        <f t="shared" si="106"/>
        <v>13649.833333333334</v>
      </c>
      <c r="Y165" s="42">
        <f t="shared" si="108"/>
        <v>-867.83333333333394</v>
      </c>
      <c r="Z165" s="42">
        <f t="shared" si="109"/>
        <v>753134.69444444554</v>
      </c>
      <c r="AA165" s="42">
        <f t="shared" si="107"/>
        <v>867.83333333333394</v>
      </c>
      <c r="AB165" s="43"/>
      <c r="AC165" s="42">
        <f t="shared" si="110"/>
        <v>13726.857142857143</v>
      </c>
      <c r="AD165" s="42">
        <f t="shared" si="112"/>
        <v>-944.85714285714312</v>
      </c>
      <c r="AE165" s="42">
        <f t="shared" si="113"/>
        <v>892755.02040816378</v>
      </c>
      <c r="AF165" s="42">
        <f t="shared" si="111"/>
        <v>944.85714285714312</v>
      </c>
      <c r="AG165" s="43"/>
      <c r="AH165" s="42">
        <f t="shared" si="114"/>
        <v>13296.625</v>
      </c>
      <c r="AI165" s="42">
        <f t="shared" si="117"/>
        <v>-514.625</v>
      </c>
      <c r="AJ165" s="42">
        <f t="shared" si="115"/>
        <v>264838.890625</v>
      </c>
      <c r="AK165" s="42">
        <f t="shared" si="116"/>
        <v>514.625</v>
      </c>
      <c r="AL165" s="43"/>
      <c r="AM165" s="42">
        <f t="shared" si="118"/>
        <v>12963.111111111111</v>
      </c>
      <c r="AN165" s="42">
        <f t="shared" si="121"/>
        <v>-181.11111111111131</v>
      </c>
      <c r="AO165" s="42">
        <f t="shared" si="119"/>
        <v>32801.234567901309</v>
      </c>
      <c r="AP165" s="42">
        <f t="shared" si="120"/>
        <v>181.11111111111131</v>
      </c>
      <c r="AQ165" s="43"/>
      <c r="AR165" s="42">
        <f t="shared" si="122"/>
        <v>12623.6</v>
      </c>
      <c r="AS165" s="42">
        <f t="shared" si="123"/>
        <v>158.39999999999964</v>
      </c>
      <c r="AT165" s="42">
        <f t="shared" si="124"/>
        <v>25090.559999999885</v>
      </c>
      <c r="AU165" s="42">
        <f t="shared" si="89"/>
        <v>158.39999999999964</v>
      </c>
      <c r="AV165" s="43"/>
      <c r="AW165" s="42">
        <f t="shared" si="125"/>
        <v>12383.727272727272</v>
      </c>
      <c r="AX165" s="42">
        <f t="shared" si="128"/>
        <v>398.27272727272793</v>
      </c>
      <c r="AY165" s="42">
        <f t="shared" si="126"/>
        <v>158621.16528925672</v>
      </c>
      <c r="AZ165" s="42">
        <f t="shared" si="127"/>
        <v>398.27272727272793</v>
      </c>
      <c r="BA165" s="43"/>
      <c r="BB165" s="44">
        <f t="shared" si="90"/>
        <v>12135.833333333334</v>
      </c>
      <c r="BC165" s="42">
        <f t="shared" si="131"/>
        <v>646.16666666666606</v>
      </c>
      <c r="BD165" s="42">
        <f t="shared" si="129"/>
        <v>417531.36111111031</v>
      </c>
      <c r="BE165" s="42">
        <f t="shared" si="130"/>
        <v>646.16666666666606</v>
      </c>
    </row>
    <row r="166" spans="1:57" ht="18" x14ac:dyDescent="0.2">
      <c r="A166" s="7">
        <v>43282</v>
      </c>
      <c r="B166" s="17">
        <v>13026</v>
      </c>
      <c r="D166" s="42">
        <f t="shared" si="91"/>
        <v>13177.5</v>
      </c>
      <c r="E166" s="42">
        <f t="shared" si="88"/>
        <v>-151.5</v>
      </c>
      <c r="F166" s="42">
        <f t="shared" si="92"/>
        <v>22952.25</v>
      </c>
      <c r="G166" s="42">
        <f t="shared" si="93"/>
        <v>151.5</v>
      </c>
      <c r="H166" s="43"/>
      <c r="I166" s="42">
        <f t="shared" si="94"/>
        <v>12748.666666666666</v>
      </c>
      <c r="J166" s="42">
        <f t="shared" si="95"/>
        <v>277.33333333333394</v>
      </c>
      <c r="K166" s="42">
        <f t="shared" si="96"/>
        <v>76913.777777778116</v>
      </c>
      <c r="L166" s="42">
        <f t="shared" si="97"/>
        <v>277.33333333333394</v>
      </c>
      <c r="M166" s="43"/>
      <c r="N166" s="42">
        <f t="shared" si="98"/>
        <v>13101</v>
      </c>
      <c r="O166" s="42">
        <f t="shared" si="100"/>
        <v>-75</v>
      </c>
      <c r="P166" s="42">
        <f t="shared" si="101"/>
        <v>5625</v>
      </c>
      <c r="Q166" s="42">
        <f t="shared" si="99"/>
        <v>75</v>
      </c>
      <c r="R166" s="43"/>
      <c r="S166" s="42">
        <f t="shared" si="102"/>
        <v>12892</v>
      </c>
      <c r="T166" s="42">
        <f t="shared" si="104"/>
        <v>134</v>
      </c>
      <c r="U166" s="42">
        <f t="shared" si="105"/>
        <v>17956</v>
      </c>
      <c r="V166" s="42">
        <f t="shared" si="103"/>
        <v>134</v>
      </c>
      <c r="W166" s="43"/>
      <c r="X166" s="42">
        <f t="shared" si="106"/>
        <v>12679.833333333334</v>
      </c>
      <c r="Y166" s="42">
        <f t="shared" si="108"/>
        <v>346.16666666666606</v>
      </c>
      <c r="Z166" s="42">
        <f t="shared" si="109"/>
        <v>119831.36111111069</v>
      </c>
      <c r="AA166" s="42">
        <f t="shared" si="107"/>
        <v>346.16666666666606</v>
      </c>
      <c r="AB166" s="43"/>
      <c r="AC166" s="42">
        <f t="shared" si="110"/>
        <v>13525.857142857143</v>
      </c>
      <c r="AD166" s="42">
        <f t="shared" si="112"/>
        <v>-499.85714285714312</v>
      </c>
      <c r="AE166" s="42">
        <f t="shared" si="113"/>
        <v>249857.16326530639</v>
      </c>
      <c r="AF166" s="42">
        <f t="shared" si="111"/>
        <v>499.85714285714312</v>
      </c>
      <c r="AG166" s="43"/>
      <c r="AH166" s="42">
        <f t="shared" si="114"/>
        <v>13608.75</v>
      </c>
      <c r="AI166" s="42">
        <f t="shared" si="117"/>
        <v>-582.75</v>
      </c>
      <c r="AJ166" s="42">
        <f t="shared" si="115"/>
        <v>339597.5625</v>
      </c>
      <c r="AK166" s="42">
        <f t="shared" si="116"/>
        <v>582.75</v>
      </c>
      <c r="AL166" s="43"/>
      <c r="AM166" s="42">
        <f t="shared" si="118"/>
        <v>13239.444444444445</v>
      </c>
      <c r="AN166" s="42">
        <f t="shared" si="121"/>
        <v>-213.44444444444525</v>
      </c>
      <c r="AO166" s="42">
        <f t="shared" si="119"/>
        <v>45558.530864197877</v>
      </c>
      <c r="AP166" s="42">
        <f t="shared" si="120"/>
        <v>213.44444444444525</v>
      </c>
      <c r="AQ166" s="43"/>
      <c r="AR166" s="42">
        <f t="shared" si="122"/>
        <v>12945</v>
      </c>
      <c r="AS166" s="42">
        <f t="shared" si="123"/>
        <v>81</v>
      </c>
      <c r="AT166" s="42">
        <f t="shared" si="124"/>
        <v>6561</v>
      </c>
      <c r="AU166" s="42">
        <f t="shared" si="89"/>
        <v>81</v>
      </c>
      <c r="AV166" s="43"/>
      <c r="AW166" s="42">
        <f t="shared" si="125"/>
        <v>12638</v>
      </c>
      <c r="AX166" s="42">
        <f t="shared" si="128"/>
        <v>388</v>
      </c>
      <c r="AY166" s="42">
        <f t="shared" si="126"/>
        <v>150544</v>
      </c>
      <c r="AZ166" s="42">
        <f t="shared" si="127"/>
        <v>388</v>
      </c>
      <c r="BA166" s="43"/>
      <c r="BB166" s="44">
        <f t="shared" si="90"/>
        <v>12416.916666666666</v>
      </c>
      <c r="BC166" s="42">
        <f t="shared" si="131"/>
        <v>609.08333333333394</v>
      </c>
      <c r="BD166" s="42">
        <f t="shared" si="129"/>
        <v>370982.50694444519</v>
      </c>
      <c r="BE166" s="42">
        <f t="shared" si="130"/>
        <v>609.08333333333394</v>
      </c>
    </row>
    <row r="167" spans="1:57" ht="18" x14ac:dyDescent="0.2">
      <c r="A167" s="7">
        <v>43313</v>
      </c>
      <c r="B167" s="17">
        <v>15332</v>
      </c>
      <c r="D167" s="42">
        <f t="shared" si="91"/>
        <v>12904</v>
      </c>
      <c r="E167" s="42">
        <f t="shared" si="88"/>
        <v>2428</v>
      </c>
      <c r="F167" s="42">
        <f t="shared" si="92"/>
        <v>5895184</v>
      </c>
      <c r="G167" s="42">
        <f t="shared" si="93"/>
        <v>2428</v>
      </c>
      <c r="H167" s="43"/>
      <c r="I167" s="42">
        <f t="shared" si="94"/>
        <v>13127</v>
      </c>
      <c r="J167" s="42">
        <f t="shared" si="95"/>
        <v>2205</v>
      </c>
      <c r="K167" s="42">
        <f t="shared" si="96"/>
        <v>4862025</v>
      </c>
      <c r="L167" s="42">
        <f t="shared" si="97"/>
        <v>2205</v>
      </c>
      <c r="M167" s="43"/>
      <c r="N167" s="42">
        <f t="shared" si="98"/>
        <v>12818</v>
      </c>
      <c r="O167" s="42">
        <f t="shared" si="100"/>
        <v>2514</v>
      </c>
      <c r="P167" s="42">
        <f t="shared" si="101"/>
        <v>6320196</v>
      </c>
      <c r="Q167" s="42">
        <f t="shared" si="99"/>
        <v>2514</v>
      </c>
      <c r="R167" s="43"/>
      <c r="S167" s="42">
        <f t="shared" si="102"/>
        <v>13086</v>
      </c>
      <c r="T167" s="42">
        <f t="shared" si="104"/>
        <v>2246</v>
      </c>
      <c r="U167" s="42">
        <f t="shared" si="105"/>
        <v>5044516</v>
      </c>
      <c r="V167" s="42">
        <f t="shared" si="103"/>
        <v>2246</v>
      </c>
      <c r="W167" s="43"/>
      <c r="X167" s="42">
        <f t="shared" si="106"/>
        <v>12914.333333333334</v>
      </c>
      <c r="Y167" s="42">
        <f t="shared" si="108"/>
        <v>2417.6666666666661</v>
      </c>
      <c r="Z167" s="42">
        <f t="shared" si="109"/>
        <v>5845112.1111111082</v>
      </c>
      <c r="AA167" s="42">
        <f t="shared" si="107"/>
        <v>2417.6666666666661</v>
      </c>
      <c r="AB167" s="43"/>
      <c r="AC167" s="42">
        <f t="shared" si="110"/>
        <v>12729.285714285714</v>
      </c>
      <c r="AD167" s="42">
        <f t="shared" si="112"/>
        <v>2602.7142857142862</v>
      </c>
      <c r="AE167" s="42">
        <f t="shared" si="113"/>
        <v>6774121.6530612269</v>
      </c>
      <c r="AF167" s="42">
        <f t="shared" si="111"/>
        <v>2602.7142857142862</v>
      </c>
      <c r="AG167" s="43"/>
      <c r="AH167" s="42">
        <f t="shared" si="114"/>
        <v>13463.375</v>
      </c>
      <c r="AI167" s="42">
        <f t="shared" si="117"/>
        <v>1868.625</v>
      </c>
      <c r="AJ167" s="42">
        <f t="shared" si="115"/>
        <v>3491759.390625</v>
      </c>
      <c r="AK167" s="42">
        <f t="shared" si="116"/>
        <v>1868.625</v>
      </c>
      <c r="AL167" s="43"/>
      <c r="AM167" s="42">
        <f t="shared" si="118"/>
        <v>13544</v>
      </c>
      <c r="AN167" s="42">
        <f t="shared" si="121"/>
        <v>1788</v>
      </c>
      <c r="AO167" s="42">
        <f t="shared" si="119"/>
        <v>3196944</v>
      </c>
      <c r="AP167" s="42">
        <f t="shared" si="120"/>
        <v>1788</v>
      </c>
      <c r="AQ167" s="43"/>
      <c r="AR167" s="42">
        <f t="shared" si="122"/>
        <v>13218.1</v>
      </c>
      <c r="AS167" s="42">
        <f t="shared" si="123"/>
        <v>2113.8999999999996</v>
      </c>
      <c r="AT167" s="42">
        <f t="shared" si="124"/>
        <v>4468573.2099999981</v>
      </c>
      <c r="AU167" s="42">
        <f t="shared" si="89"/>
        <v>2113.8999999999996</v>
      </c>
      <c r="AV167" s="43"/>
      <c r="AW167" s="42">
        <f t="shared" si="125"/>
        <v>12952.363636363636</v>
      </c>
      <c r="AX167" s="42">
        <f t="shared" si="128"/>
        <v>2379.636363636364</v>
      </c>
      <c r="AY167" s="42">
        <f t="shared" si="126"/>
        <v>5662669.2231404977</v>
      </c>
      <c r="AZ167" s="42">
        <f t="shared" si="127"/>
        <v>2379.636363636364</v>
      </c>
      <c r="BA167" s="43"/>
      <c r="BB167" s="44">
        <f t="shared" si="90"/>
        <v>12670.333333333334</v>
      </c>
      <c r="BC167" s="42">
        <f t="shared" si="131"/>
        <v>2661.6666666666661</v>
      </c>
      <c r="BD167" s="42">
        <f t="shared" si="129"/>
        <v>7084469.4444444412</v>
      </c>
      <c r="BE167" s="42">
        <f t="shared" si="130"/>
        <v>2661.6666666666661</v>
      </c>
    </row>
    <row r="168" spans="1:57" ht="18" x14ac:dyDescent="0.2">
      <c r="A168" s="7">
        <v>43344</v>
      </c>
      <c r="B168" s="17">
        <v>15464</v>
      </c>
      <c r="D168" s="42">
        <f t="shared" si="91"/>
        <v>14179</v>
      </c>
      <c r="E168" s="42">
        <f t="shared" si="88"/>
        <v>1285</v>
      </c>
      <c r="F168" s="42">
        <f t="shared" si="92"/>
        <v>1651225</v>
      </c>
      <c r="G168" s="42">
        <f t="shared" si="93"/>
        <v>1285</v>
      </c>
      <c r="H168" s="43"/>
      <c r="I168" s="42">
        <f t="shared" si="94"/>
        <v>13713.333333333334</v>
      </c>
      <c r="J168" s="42">
        <f t="shared" si="95"/>
        <v>1750.6666666666661</v>
      </c>
      <c r="K168" s="42">
        <f t="shared" si="96"/>
        <v>3064833.7777777757</v>
      </c>
      <c r="L168" s="42">
        <f t="shared" si="97"/>
        <v>1750.6666666666661</v>
      </c>
      <c r="M168" s="43"/>
      <c r="N168" s="42">
        <f t="shared" si="98"/>
        <v>13678.25</v>
      </c>
      <c r="O168" s="42">
        <f t="shared" si="100"/>
        <v>1785.75</v>
      </c>
      <c r="P168" s="42">
        <f t="shared" si="101"/>
        <v>3188903.0625</v>
      </c>
      <c r="Q168" s="42">
        <f t="shared" si="99"/>
        <v>1785.75</v>
      </c>
      <c r="R168" s="43"/>
      <c r="S168" s="42">
        <f t="shared" si="102"/>
        <v>13320.8</v>
      </c>
      <c r="T168" s="42">
        <f t="shared" si="104"/>
        <v>2143.2000000000007</v>
      </c>
      <c r="U168" s="42">
        <f t="shared" si="105"/>
        <v>4593306.240000003</v>
      </c>
      <c r="V168" s="42">
        <f t="shared" si="103"/>
        <v>2143.2000000000007</v>
      </c>
      <c r="W168" s="43"/>
      <c r="X168" s="42">
        <f t="shared" si="106"/>
        <v>13460.333333333334</v>
      </c>
      <c r="Y168" s="42">
        <f t="shared" si="108"/>
        <v>2003.6666666666661</v>
      </c>
      <c r="Z168" s="42">
        <f t="shared" si="109"/>
        <v>4014680.1111111087</v>
      </c>
      <c r="AA168" s="42">
        <f t="shared" si="107"/>
        <v>2003.6666666666661</v>
      </c>
      <c r="AB168" s="43"/>
      <c r="AC168" s="42">
        <f t="shared" si="110"/>
        <v>13259.714285714286</v>
      </c>
      <c r="AD168" s="42">
        <f t="shared" si="112"/>
        <v>2204.2857142857138</v>
      </c>
      <c r="AE168" s="42">
        <f t="shared" si="113"/>
        <v>4858875.5102040796</v>
      </c>
      <c r="AF168" s="42">
        <f t="shared" si="111"/>
        <v>2204.2857142857138</v>
      </c>
      <c r="AG168" s="43"/>
      <c r="AH168" s="42">
        <f t="shared" si="114"/>
        <v>13054.625</v>
      </c>
      <c r="AI168" s="42">
        <f t="shared" si="117"/>
        <v>2409.375</v>
      </c>
      <c r="AJ168" s="42">
        <f t="shared" si="115"/>
        <v>5805087.890625</v>
      </c>
      <c r="AK168" s="42">
        <f t="shared" si="116"/>
        <v>2409.375</v>
      </c>
      <c r="AL168" s="43"/>
      <c r="AM168" s="42">
        <f t="shared" si="118"/>
        <v>13671</v>
      </c>
      <c r="AN168" s="42">
        <f t="shared" si="121"/>
        <v>1793</v>
      </c>
      <c r="AO168" s="42">
        <f t="shared" si="119"/>
        <v>3214849</v>
      </c>
      <c r="AP168" s="42">
        <f t="shared" si="120"/>
        <v>1793</v>
      </c>
      <c r="AQ168" s="43"/>
      <c r="AR168" s="42">
        <f t="shared" si="122"/>
        <v>13722.8</v>
      </c>
      <c r="AS168" s="42">
        <f t="shared" si="123"/>
        <v>1741.2000000000007</v>
      </c>
      <c r="AT168" s="42">
        <f t="shared" si="124"/>
        <v>3031777.4400000027</v>
      </c>
      <c r="AU168" s="42">
        <f t="shared" si="89"/>
        <v>1741.2000000000007</v>
      </c>
      <c r="AV168" s="43"/>
      <c r="AW168" s="42">
        <f t="shared" si="125"/>
        <v>13410.272727272728</v>
      </c>
      <c r="AX168" s="42">
        <f t="shared" si="128"/>
        <v>2053.7272727272721</v>
      </c>
      <c r="AY168" s="42">
        <f t="shared" si="126"/>
        <v>4217795.7107437989</v>
      </c>
      <c r="AZ168" s="42">
        <f t="shared" si="127"/>
        <v>2053.7272727272721</v>
      </c>
      <c r="BA168" s="43"/>
      <c r="BB168" s="44">
        <f t="shared" si="90"/>
        <v>13150.666666666666</v>
      </c>
      <c r="BC168" s="42">
        <f t="shared" si="131"/>
        <v>2313.3333333333339</v>
      </c>
      <c r="BD168" s="42">
        <f t="shared" si="129"/>
        <v>5351511.1111111138</v>
      </c>
      <c r="BE168" s="42">
        <f t="shared" si="130"/>
        <v>2313.3333333333339</v>
      </c>
    </row>
    <row r="169" spans="1:57" ht="18" x14ac:dyDescent="0.2">
      <c r="A169" s="7">
        <v>43374</v>
      </c>
      <c r="B169" s="17">
        <v>13479</v>
      </c>
      <c r="D169" s="42">
        <f t="shared" si="91"/>
        <v>15398</v>
      </c>
      <c r="E169" s="42">
        <f t="shared" si="88"/>
        <v>-1919</v>
      </c>
      <c r="F169" s="42">
        <f t="shared" si="92"/>
        <v>3682561</v>
      </c>
      <c r="G169" s="42">
        <f t="shared" si="93"/>
        <v>1919</v>
      </c>
      <c r="H169" s="43"/>
      <c r="I169" s="42">
        <f t="shared" si="94"/>
        <v>14607.333333333334</v>
      </c>
      <c r="J169" s="42">
        <f t="shared" si="95"/>
        <v>-1128.3333333333339</v>
      </c>
      <c r="K169" s="42">
        <f t="shared" si="96"/>
        <v>1273136.1111111124</v>
      </c>
      <c r="L169" s="42">
        <f t="shared" si="97"/>
        <v>1128.3333333333339</v>
      </c>
      <c r="M169" s="43"/>
      <c r="N169" s="42">
        <f t="shared" si="98"/>
        <v>14151</v>
      </c>
      <c r="O169" s="42">
        <f t="shared" si="100"/>
        <v>-672</v>
      </c>
      <c r="P169" s="42">
        <f t="shared" si="101"/>
        <v>451584</v>
      </c>
      <c r="Q169" s="42">
        <f t="shared" si="99"/>
        <v>672</v>
      </c>
      <c r="R169" s="43"/>
      <c r="S169" s="42">
        <f t="shared" si="102"/>
        <v>14035.4</v>
      </c>
      <c r="T169" s="42">
        <f t="shared" si="104"/>
        <v>-556.39999999999964</v>
      </c>
      <c r="U169" s="42">
        <f t="shared" si="105"/>
        <v>309580.95999999961</v>
      </c>
      <c r="V169" s="42">
        <f t="shared" si="103"/>
        <v>556.39999999999964</v>
      </c>
      <c r="W169" s="43"/>
      <c r="X169" s="42">
        <f t="shared" si="106"/>
        <v>13678</v>
      </c>
      <c r="Y169" s="42">
        <f t="shared" si="108"/>
        <v>-199</v>
      </c>
      <c r="Z169" s="42">
        <f t="shared" si="109"/>
        <v>39601</v>
      </c>
      <c r="AA169" s="42">
        <f t="shared" si="107"/>
        <v>199</v>
      </c>
      <c r="AB169" s="43"/>
      <c r="AC169" s="42">
        <f t="shared" si="110"/>
        <v>13746.571428571429</v>
      </c>
      <c r="AD169" s="42">
        <f t="shared" si="112"/>
        <v>-267.57142857142935</v>
      </c>
      <c r="AE169" s="42">
        <f t="shared" si="113"/>
        <v>71594.469387755526</v>
      </c>
      <c r="AF169" s="42">
        <f t="shared" si="111"/>
        <v>267.57142857142935</v>
      </c>
      <c r="AG169" s="43"/>
      <c r="AH169" s="42">
        <f t="shared" si="114"/>
        <v>13535.25</v>
      </c>
      <c r="AI169" s="42">
        <f t="shared" si="117"/>
        <v>-56.25</v>
      </c>
      <c r="AJ169" s="42">
        <f t="shared" si="115"/>
        <v>3164.0625</v>
      </c>
      <c r="AK169" s="42">
        <f t="shared" si="116"/>
        <v>56.25</v>
      </c>
      <c r="AL169" s="43"/>
      <c r="AM169" s="42">
        <f t="shared" si="118"/>
        <v>13322.333333333334</v>
      </c>
      <c r="AN169" s="42">
        <f t="shared" si="121"/>
        <v>156.66666666666606</v>
      </c>
      <c r="AO169" s="42">
        <f t="shared" si="119"/>
        <v>24544.444444444256</v>
      </c>
      <c r="AP169" s="42">
        <f t="shared" si="120"/>
        <v>156.66666666666606</v>
      </c>
      <c r="AQ169" s="43"/>
      <c r="AR169" s="42">
        <f t="shared" si="122"/>
        <v>13850.3</v>
      </c>
      <c r="AS169" s="42">
        <f t="shared" si="123"/>
        <v>-371.29999999999927</v>
      </c>
      <c r="AT169" s="42">
        <f t="shared" si="124"/>
        <v>137863.68999999945</v>
      </c>
      <c r="AU169" s="42">
        <f t="shared" si="89"/>
        <v>371.29999999999927</v>
      </c>
      <c r="AV169" s="43"/>
      <c r="AW169" s="42">
        <f t="shared" si="125"/>
        <v>13881.09090909091</v>
      </c>
      <c r="AX169" s="42">
        <f t="shared" si="128"/>
        <v>-402.09090909090992</v>
      </c>
      <c r="AY169" s="42">
        <f t="shared" si="126"/>
        <v>161677.09917355439</v>
      </c>
      <c r="AZ169" s="42">
        <f t="shared" si="127"/>
        <v>402.09090909090992</v>
      </c>
      <c r="BA169" s="43"/>
      <c r="BB169" s="44">
        <f t="shared" si="90"/>
        <v>13581.416666666666</v>
      </c>
      <c r="BC169" s="42">
        <f t="shared" si="131"/>
        <v>-102.41666666666606</v>
      </c>
      <c r="BD169" s="42">
        <f t="shared" si="129"/>
        <v>10489.173611110988</v>
      </c>
      <c r="BE169" s="42">
        <f t="shared" si="130"/>
        <v>102.41666666666606</v>
      </c>
    </row>
    <row r="170" spans="1:57" ht="18" x14ac:dyDescent="0.2">
      <c r="A170" s="7">
        <v>43405</v>
      </c>
      <c r="B170" s="17">
        <v>10537</v>
      </c>
      <c r="D170" s="42">
        <f t="shared" si="91"/>
        <v>14471.5</v>
      </c>
      <c r="E170" s="42">
        <f t="shared" si="88"/>
        <v>-3934.5</v>
      </c>
      <c r="F170" s="42">
        <f t="shared" si="92"/>
        <v>15480290.25</v>
      </c>
      <c r="G170" s="42">
        <f t="shared" si="93"/>
        <v>3934.5</v>
      </c>
      <c r="H170" s="43"/>
      <c r="I170" s="42">
        <f t="shared" si="94"/>
        <v>14758.333333333334</v>
      </c>
      <c r="J170" s="42">
        <f t="shared" si="95"/>
        <v>-4221.3333333333339</v>
      </c>
      <c r="K170" s="42">
        <f t="shared" si="96"/>
        <v>17819655.111111116</v>
      </c>
      <c r="L170" s="42">
        <f t="shared" si="97"/>
        <v>4221.3333333333339</v>
      </c>
      <c r="M170" s="43"/>
      <c r="N170" s="42">
        <f t="shared" si="98"/>
        <v>14325.25</v>
      </c>
      <c r="O170" s="42">
        <f t="shared" si="100"/>
        <v>-3788.25</v>
      </c>
      <c r="P170" s="42">
        <f t="shared" si="101"/>
        <v>14350838.0625</v>
      </c>
      <c r="Q170" s="42">
        <f t="shared" si="99"/>
        <v>3788.25</v>
      </c>
      <c r="R170" s="43"/>
      <c r="S170" s="42">
        <f t="shared" si="102"/>
        <v>14016.6</v>
      </c>
      <c r="T170" s="42">
        <f t="shared" si="104"/>
        <v>-3479.6000000000004</v>
      </c>
      <c r="U170" s="42">
        <f t="shared" si="105"/>
        <v>12107616.160000002</v>
      </c>
      <c r="V170" s="42">
        <f t="shared" si="103"/>
        <v>3479.6000000000004</v>
      </c>
      <c r="W170" s="43"/>
      <c r="X170" s="42">
        <f t="shared" si="106"/>
        <v>13942.666666666666</v>
      </c>
      <c r="Y170" s="42">
        <f t="shared" si="108"/>
        <v>-3405.6666666666661</v>
      </c>
      <c r="Z170" s="42">
        <f t="shared" si="109"/>
        <v>11598565.44444444</v>
      </c>
      <c r="AA170" s="42">
        <f t="shared" si="107"/>
        <v>3405.6666666666661</v>
      </c>
      <c r="AB170" s="43"/>
      <c r="AC170" s="42">
        <f t="shared" si="110"/>
        <v>13649.571428571429</v>
      </c>
      <c r="AD170" s="42">
        <f t="shared" si="112"/>
        <v>-3112.5714285714294</v>
      </c>
      <c r="AE170" s="42">
        <f t="shared" si="113"/>
        <v>9688100.8979591876</v>
      </c>
      <c r="AF170" s="42">
        <f t="shared" si="111"/>
        <v>3112.5714285714294</v>
      </c>
      <c r="AG170" s="43"/>
      <c r="AH170" s="42">
        <f t="shared" si="114"/>
        <v>13713.125</v>
      </c>
      <c r="AI170" s="42">
        <f t="shared" si="117"/>
        <v>-3176.125</v>
      </c>
      <c r="AJ170" s="42">
        <f t="shared" si="115"/>
        <v>10087770.015625</v>
      </c>
      <c r="AK170" s="42">
        <f t="shared" si="116"/>
        <v>3176.125</v>
      </c>
      <c r="AL170" s="43"/>
      <c r="AM170" s="42">
        <f t="shared" si="118"/>
        <v>13529</v>
      </c>
      <c r="AN170" s="42">
        <f t="shared" si="121"/>
        <v>-2992</v>
      </c>
      <c r="AO170" s="42">
        <f t="shared" si="119"/>
        <v>8952064</v>
      </c>
      <c r="AP170" s="42">
        <f t="shared" si="120"/>
        <v>2992</v>
      </c>
      <c r="AQ170" s="43"/>
      <c r="AR170" s="42">
        <f t="shared" si="122"/>
        <v>13338</v>
      </c>
      <c r="AS170" s="42">
        <f t="shared" si="123"/>
        <v>-2801</v>
      </c>
      <c r="AT170" s="42">
        <f t="shared" si="124"/>
        <v>7845601</v>
      </c>
      <c r="AU170" s="42">
        <f t="shared" si="89"/>
        <v>2801</v>
      </c>
      <c r="AV170" s="43"/>
      <c r="AW170" s="42">
        <f t="shared" si="125"/>
        <v>13816.545454545454</v>
      </c>
      <c r="AX170" s="42">
        <f t="shared" si="128"/>
        <v>-3279.545454545454</v>
      </c>
      <c r="AY170" s="42">
        <f t="shared" si="126"/>
        <v>10755418.388429748</v>
      </c>
      <c r="AZ170" s="42">
        <f t="shared" si="127"/>
        <v>3279.545454545454</v>
      </c>
      <c r="BA170" s="43"/>
      <c r="BB170" s="44">
        <f t="shared" si="90"/>
        <v>13847.583333333334</v>
      </c>
      <c r="BC170" s="42">
        <f t="shared" si="131"/>
        <v>-3310.5833333333339</v>
      </c>
      <c r="BD170" s="42">
        <f t="shared" si="129"/>
        <v>10959962.006944448</v>
      </c>
      <c r="BE170" s="42">
        <f t="shared" si="130"/>
        <v>3310.5833333333339</v>
      </c>
    </row>
    <row r="171" spans="1:57" ht="18" x14ac:dyDescent="0.2">
      <c r="A171" s="7">
        <v>43435</v>
      </c>
      <c r="B171" s="17">
        <v>15698</v>
      </c>
      <c r="D171" s="42">
        <f t="shared" si="91"/>
        <v>12008</v>
      </c>
      <c r="E171" s="42">
        <f t="shared" ref="E171:E234" si="132">$B171-D171</f>
        <v>3690</v>
      </c>
      <c r="F171" s="42">
        <f t="shared" si="92"/>
        <v>13616100</v>
      </c>
      <c r="G171" s="42">
        <f t="shared" si="93"/>
        <v>3690</v>
      </c>
      <c r="H171" s="43"/>
      <c r="I171" s="42">
        <f t="shared" si="94"/>
        <v>13160</v>
      </c>
      <c r="J171" s="42">
        <f t="shared" si="95"/>
        <v>2538</v>
      </c>
      <c r="K171" s="42">
        <f t="shared" si="96"/>
        <v>6441444</v>
      </c>
      <c r="L171" s="42">
        <f t="shared" si="97"/>
        <v>2538</v>
      </c>
      <c r="M171" s="43"/>
      <c r="N171" s="42">
        <f t="shared" si="98"/>
        <v>13703</v>
      </c>
      <c r="O171" s="42">
        <f t="shared" si="100"/>
        <v>1995</v>
      </c>
      <c r="P171" s="42">
        <f t="shared" si="101"/>
        <v>3980025</v>
      </c>
      <c r="Q171" s="42">
        <f t="shared" si="99"/>
        <v>1995</v>
      </c>
      <c r="R171" s="43"/>
      <c r="S171" s="42">
        <f t="shared" si="102"/>
        <v>13567.6</v>
      </c>
      <c r="T171" s="42">
        <f t="shared" si="104"/>
        <v>2130.3999999999996</v>
      </c>
      <c r="U171" s="42">
        <f t="shared" si="105"/>
        <v>4538604.1599999983</v>
      </c>
      <c r="V171" s="42">
        <f t="shared" si="103"/>
        <v>2130.3999999999996</v>
      </c>
      <c r="W171" s="43"/>
      <c r="X171" s="42">
        <f t="shared" si="106"/>
        <v>13436.666666666666</v>
      </c>
      <c r="Y171" s="42">
        <f t="shared" si="108"/>
        <v>2261.3333333333339</v>
      </c>
      <c r="Z171" s="42">
        <f t="shared" si="109"/>
        <v>5113628.4444444468</v>
      </c>
      <c r="AA171" s="42">
        <f t="shared" si="107"/>
        <v>2261.3333333333339</v>
      </c>
      <c r="AB171" s="43"/>
      <c r="AC171" s="42">
        <f t="shared" si="110"/>
        <v>13456.142857142857</v>
      </c>
      <c r="AD171" s="42">
        <f t="shared" si="112"/>
        <v>2241.8571428571431</v>
      </c>
      <c r="AE171" s="42">
        <f t="shared" si="113"/>
        <v>5025923.4489795929</v>
      </c>
      <c r="AF171" s="42">
        <f t="shared" si="111"/>
        <v>2241.8571428571431</v>
      </c>
      <c r="AG171" s="43"/>
      <c r="AH171" s="42">
        <f t="shared" si="114"/>
        <v>13260.5</v>
      </c>
      <c r="AI171" s="42">
        <f t="shared" si="117"/>
        <v>2437.5</v>
      </c>
      <c r="AJ171" s="42">
        <f t="shared" si="115"/>
        <v>5941406.25</v>
      </c>
      <c r="AK171" s="42">
        <f t="shared" si="116"/>
        <v>2437.5</v>
      </c>
      <c r="AL171" s="43"/>
      <c r="AM171" s="42">
        <f t="shared" si="118"/>
        <v>13360.222222222223</v>
      </c>
      <c r="AN171" s="42">
        <f t="shared" si="121"/>
        <v>2337.7777777777774</v>
      </c>
      <c r="AO171" s="42">
        <f t="shared" si="119"/>
        <v>5465204.9382716026</v>
      </c>
      <c r="AP171" s="42">
        <f t="shared" si="120"/>
        <v>2337.7777777777774</v>
      </c>
      <c r="AQ171" s="43"/>
      <c r="AR171" s="42">
        <f t="shared" si="122"/>
        <v>13229.8</v>
      </c>
      <c r="AS171" s="42">
        <f t="shared" si="123"/>
        <v>2468.2000000000007</v>
      </c>
      <c r="AT171" s="42">
        <f t="shared" si="124"/>
        <v>6092011.2400000039</v>
      </c>
      <c r="AU171" s="42">
        <f t="shared" ref="AU171:AU234" si="133">ABS(AS171)</f>
        <v>2468.2000000000007</v>
      </c>
      <c r="AV171" s="43"/>
      <c r="AW171" s="42">
        <f t="shared" si="125"/>
        <v>13083.363636363636</v>
      </c>
      <c r="AX171" s="42">
        <f t="shared" si="128"/>
        <v>2614.636363636364</v>
      </c>
      <c r="AY171" s="42">
        <f t="shared" si="126"/>
        <v>6836323.3140495885</v>
      </c>
      <c r="AZ171" s="42">
        <f t="shared" si="127"/>
        <v>2614.636363636364</v>
      </c>
      <c r="BA171" s="43"/>
      <c r="BB171" s="44">
        <f t="shared" ref="BB171:BB234" si="134">AVERAGE(B159:B170)</f>
        <v>13543.25</v>
      </c>
      <c r="BC171" s="42">
        <f t="shared" si="131"/>
        <v>2154.75</v>
      </c>
      <c r="BD171" s="42">
        <f t="shared" si="129"/>
        <v>4642947.5625</v>
      </c>
      <c r="BE171" s="42">
        <f t="shared" si="130"/>
        <v>2154.75</v>
      </c>
    </row>
    <row r="172" spans="1:57" ht="18" x14ac:dyDescent="0.2">
      <c r="A172" s="7">
        <v>43466</v>
      </c>
      <c r="B172" s="17">
        <v>8556</v>
      </c>
      <c r="D172" s="42">
        <f t="shared" si="91"/>
        <v>13117.5</v>
      </c>
      <c r="E172" s="42">
        <f t="shared" si="132"/>
        <v>-4561.5</v>
      </c>
      <c r="F172" s="42">
        <f t="shared" si="92"/>
        <v>20807282.25</v>
      </c>
      <c r="G172" s="42">
        <f t="shared" si="93"/>
        <v>4561.5</v>
      </c>
      <c r="H172" s="43"/>
      <c r="I172" s="42">
        <f t="shared" si="94"/>
        <v>13238</v>
      </c>
      <c r="J172" s="42">
        <f t="shared" si="95"/>
        <v>-4682</v>
      </c>
      <c r="K172" s="42">
        <f t="shared" si="96"/>
        <v>21921124</v>
      </c>
      <c r="L172" s="42">
        <f t="shared" si="97"/>
        <v>4682</v>
      </c>
      <c r="M172" s="43"/>
      <c r="N172" s="42">
        <f t="shared" si="98"/>
        <v>13794.5</v>
      </c>
      <c r="O172" s="42">
        <f t="shared" si="100"/>
        <v>-5238.5</v>
      </c>
      <c r="P172" s="42">
        <f t="shared" si="101"/>
        <v>27441882.25</v>
      </c>
      <c r="Q172" s="42">
        <f t="shared" si="99"/>
        <v>5238.5</v>
      </c>
      <c r="R172" s="43"/>
      <c r="S172" s="42">
        <f t="shared" si="102"/>
        <v>14102</v>
      </c>
      <c r="T172" s="42">
        <f t="shared" si="104"/>
        <v>-5546</v>
      </c>
      <c r="U172" s="42">
        <f t="shared" si="105"/>
        <v>30758116</v>
      </c>
      <c r="V172" s="42">
        <f t="shared" si="103"/>
        <v>5546</v>
      </c>
      <c r="W172" s="43"/>
      <c r="X172" s="42">
        <f t="shared" si="106"/>
        <v>13922.666666666666</v>
      </c>
      <c r="Y172" s="42">
        <f t="shared" si="108"/>
        <v>-5366.6666666666661</v>
      </c>
      <c r="Z172" s="42">
        <f t="shared" si="109"/>
        <v>28801111.111111104</v>
      </c>
      <c r="AA172" s="42">
        <f t="shared" si="107"/>
        <v>5366.6666666666661</v>
      </c>
      <c r="AB172" s="43"/>
      <c r="AC172" s="42">
        <f t="shared" si="110"/>
        <v>13759.714285714286</v>
      </c>
      <c r="AD172" s="42">
        <f t="shared" si="112"/>
        <v>-5203.7142857142862</v>
      </c>
      <c r="AE172" s="42">
        <f t="shared" si="113"/>
        <v>27078642.367346942</v>
      </c>
      <c r="AF172" s="42">
        <f t="shared" si="111"/>
        <v>5203.7142857142862</v>
      </c>
      <c r="AG172" s="43"/>
      <c r="AH172" s="42">
        <f t="shared" si="114"/>
        <v>13736.375</v>
      </c>
      <c r="AI172" s="42">
        <f t="shared" si="117"/>
        <v>-5180.375</v>
      </c>
      <c r="AJ172" s="42">
        <f t="shared" si="115"/>
        <v>26836285.140625</v>
      </c>
      <c r="AK172" s="42">
        <f t="shared" si="116"/>
        <v>5180.375</v>
      </c>
      <c r="AL172" s="43"/>
      <c r="AM172" s="42">
        <f t="shared" si="118"/>
        <v>13531.333333333334</v>
      </c>
      <c r="AN172" s="42">
        <f t="shared" si="121"/>
        <v>-4975.3333333333339</v>
      </c>
      <c r="AO172" s="42">
        <f t="shared" si="119"/>
        <v>24753941.777777784</v>
      </c>
      <c r="AP172" s="42">
        <f t="shared" si="120"/>
        <v>4975.3333333333339</v>
      </c>
      <c r="AQ172" s="43"/>
      <c r="AR172" s="42">
        <f t="shared" si="122"/>
        <v>13594</v>
      </c>
      <c r="AS172" s="42">
        <f t="shared" si="123"/>
        <v>-5038</v>
      </c>
      <c r="AT172" s="42">
        <f t="shared" si="124"/>
        <v>25381444</v>
      </c>
      <c r="AU172" s="42">
        <f t="shared" si="133"/>
        <v>5038</v>
      </c>
      <c r="AV172" s="43"/>
      <c r="AW172" s="42">
        <f t="shared" si="125"/>
        <v>13454.181818181818</v>
      </c>
      <c r="AX172" s="42">
        <f t="shared" si="128"/>
        <v>-4898.181818181818</v>
      </c>
      <c r="AY172" s="42">
        <f t="shared" si="126"/>
        <v>23992185.12396694</v>
      </c>
      <c r="AZ172" s="42">
        <f t="shared" si="127"/>
        <v>4898.181818181818</v>
      </c>
      <c r="BA172" s="43"/>
      <c r="BB172" s="44">
        <f t="shared" si="134"/>
        <v>13301.25</v>
      </c>
      <c r="BC172" s="42">
        <f t="shared" si="131"/>
        <v>-4745.25</v>
      </c>
      <c r="BD172" s="42">
        <f t="shared" si="129"/>
        <v>22517397.5625</v>
      </c>
      <c r="BE172" s="42">
        <f t="shared" si="130"/>
        <v>4745.25</v>
      </c>
    </row>
    <row r="173" spans="1:57" ht="18" x14ac:dyDescent="0.2">
      <c r="A173" s="7">
        <v>43497</v>
      </c>
      <c r="B173" s="17">
        <v>10990</v>
      </c>
      <c r="D173" s="42">
        <f t="shared" ref="D173:D236" si="135">AVERAGE(B171:B172)</f>
        <v>12127</v>
      </c>
      <c r="E173" s="42">
        <f t="shared" si="132"/>
        <v>-1137</v>
      </c>
      <c r="F173" s="42">
        <f t="shared" si="92"/>
        <v>1292769</v>
      </c>
      <c r="G173" s="42">
        <f t="shared" si="93"/>
        <v>1137</v>
      </c>
      <c r="H173" s="43"/>
      <c r="I173" s="42">
        <f t="shared" si="94"/>
        <v>11597</v>
      </c>
      <c r="J173" s="42">
        <f t="shared" si="95"/>
        <v>-607</v>
      </c>
      <c r="K173" s="42">
        <f t="shared" si="96"/>
        <v>368449</v>
      </c>
      <c r="L173" s="42">
        <f t="shared" si="97"/>
        <v>607</v>
      </c>
      <c r="M173" s="43"/>
      <c r="N173" s="42">
        <f t="shared" si="98"/>
        <v>12067.5</v>
      </c>
      <c r="O173" s="42">
        <f t="shared" si="100"/>
        <v>-1077.5</v>
      </c>
      <c r="P173" s="42">
        <f t="shared" si="101"/>
        <v>1161006.25</v>
      </c>
      <c r="Q173" s="42">
        <f t="shared" si="99"/>
        <v>1077.5</v>
      </c>
      <c r="R173" s="43"/>
      <c r="S173" s="42">
        <f t="shared" si="102"/>
        <v>12746.8</v>
      </c>
      <c r="T173" s="42">
        <f t="shared" si="104"/>
        <v>-1756.7999999999993</v>
      </c>
      <c r="U173" s="42">
        <f t="shared" si="105"/>
        <v>3086346.2399999974</v>
      </c>
      <c r="V173" s="42">
        <f t="shared" si="103"/>
        <v>1756.7999999999993</v>
      </c>
      <c r="W173" s="43"/>
      <c r="X173" s="42">
        <f t="shared" si="106"/>
        <v>13177.666666666666</v>
      </c>
      <c r="Y173" s="42">
        <f t="shared" si="108"/>
        <v>-2187.6666666666661</v>
      </c>
      <c r="Z173" s="42">
        <f t="shared" si="109"/>
        <v>4785885.4444444422</v>
      </c>
      <c r="AA173" s="42">
        <f t="shared" si="107"/>
        <v>2187.6666666666661</v>
      </c>
      <c r="AB173" s="43"/>
      <c r="AC173" s="42">
        <f t="shared" si="110"/>
        <v>13156</v>
      </c>
      <c r="AD173" s="42">
        <f t="shared" si="112"/>
        <v>-2166</v>
      </c>
      <c r="AE173" s="42">
        <f t="shared" si="113"/>
        <v>4691556</v>
      </c>
      <c r="AF173" s="42">
        <f t="shared" si="111"/>
        <v>2166</v>
      </c>
      <c r="AG173" s="43"/>
      <c r="AH173" s="42">
        <f t="shared" si="114"/>
        <v>13109.25</v>
      </c>
      <c r="AI173" s="42">
        <f t="shared" si="117"/>
        <v>-2119.25</v>
      </c>
      <c r="AJ173" s="42">
        <f t="shared" si="115"/>
        <v>4491220.5625</v>
      </c>
      <c r="AK173" s="42">
        <f t="shared" si="116"/>
        <v>2119.25</v>
      </c>
      <c r="AL173" s="43"/>
      <c r="AM173" s="42">
        <f t="shared" si="118"/>
        <v>13160.777777777777</v>
      </c>
      <c r="AN173" s="42">
        <f t="shared" si="121"/>
        <v>-2170.7777777777774</v>
      </c>
      <c r="AO173" s="42">
        <f t="shared" si="119"/>
        <v>4712276.1604938256</v>
      </c>
      <c r="AP173" s="42">
        <f t="shared" si="120"/>
        <v>2170.7777777777774</v>
      </c>
      <c r="AQ173" s="43"/>
      <c r="AR173" s="42">
        <f t="shared" si="122"/>
        <v>13033.8</v>
      </c>
      <c r="AS173" s="42">
        <f t="shared" si="123"/>
        <v>-2043.7999999999993</v>
      </c>
      <c r="AT173" s="42">
        <f t="shared" si="124"/>
        <v>4177118.4399999972</v>
      </c>
      <c r="AU173" s="42">
        <f t="shared" si="133"/>
        <v>2043.7999999999993</v>
      </c>
      <c r="AV173" s="43"/>
      <c r="AW173" s="42">
        <f t="shared" si="125"/>
        <v>13136</v>
      </c>
      <c r="AX173" s="42">
        <f t="shared" si="128"/>
        <v>-2146</v>
      </c>
      <c r="AY173" s="42">
        <f t="shared" si="126"/>
        <v>4605316</v>
      </c>
      <c r="AZ173" s="42">
        <f t="shared" si="127"/>
        <v>2146</v>
      </c>
      <c r="BA173" s="43"/>
      <c r="BB173" s="44">
        <f t="shared" si="134"/>
        <v>13046</v>
      </c>
      <c r="BC173" s="42">
        <f t="shared" si="131"/>
        <v>-2056</v>
      </c>
      <c r="BD173" s="42">
        <f t="shared" si="129"/>
        <v>4227136</v>
      </c>
      <c r="BE173" s="42">
        <f t="shared" si="130"/>
        <v>2056</v>
      </c>
    </row>
    <row r="174" spans="1:57" ht="18" x14ac:dyDescent="0.2">
      <c r="A174" s="7">
        <v>43525</v>
      </c>
      <c r="B174" s="17">
        <v>13411</v>
      </c>
      <c r="D174" s="42">
        <f t="shared" si="135"/>
        <v>9773</v>
      </c>
      <c r="E174" s="42">
        <f t="shared" si="132"/>
        <v>3638</v>
      </c>
      <c r="F174" s="42">
        <f t="shared" si="92"/>
        <v>13235044</v>
      </c>
      <c r="G174" s="42">
        <f t="shared" si="93"/>
        <v>3638</v>
      </c>
      <c r="H174" s="43"/>
      <c r="I174" s="42">
        <f t="shared" si="94"/>
        <v>11748</v>
      </c>
      <c r="J174" s="42">
        <f t="shared" si="95"/>
        <v>1663</v>
      </c>
      <c r="K174" s="42">
        <f t="shared" si="96"/>
        <v>2765569</v>
      </c>
      <c r="L174" s="42">
        <f t="shared" si="97"/>
        <v>1663</v>
      </c>
      <c r="M174" s="43"/>
      <c r="N174" s="42">
        <f t="shared" si="98"/>
        <v>11445.25</v>
      </c>
      <c r="O174" s="42">
        <f t="shared" si="100"/>
        <v>1965.75</v>
      </c>
      <c r="P174" s="42">
        <f t="shared" si="101"/>
        <v>3864173.0625</v>
      </c>
      <c r="Q174" s="42">
        <f t="shared" si="99"/>
        <v>1965.75</v>
      </c>
      <c r="R174" s="43"/>
      <c r="S174" s="42">
        <f t="shared" si="102"/>
        <v>11852</v>
      </c>
      <c r="T174" s="42">
        <f t="shared" si="104"/>
        <v>1559</v>
      </c>
      <c r="U174" s="42">
        <f t="shared" si="105"/>
        <v>2430481</v>
      </c>
      <c r="V174" s="42">
        <f t="shared" si="103"/>
        <v>1559</v>
      </c>
      <c r="W174" s="43"/>
      <c r="X174" s="42">
        <f t="shared" si="106"/>
        <v>12454</v>
      </c>
      <c r="Y174" s="42">
        <f t="shared" si="108"/>
        <v>957</v>
      </c>
      <c r="Z174" s="42">
        <f t="shared" si="109"/>
        <v>915849</v>
      </c>
      <c r="AA174" s="42">
        <f t="shared" si="107"/>
        <v>957</v>
      </c>
      <c r="AB174" s="43"/>
      <c r="AC174" s="42">
        <f t="shared" si="110"/>
        <v>12865.142857142857</v>
      </c>
      <c r="AD174" s="42">
        <f t="shared" si="112"/>
        <v>545.85714285714312</v>
      </c>
      <c r="AE174" s="42">
        <f t="shared" si="113"/>
        <v>297960.02040816355</v>
      </c>
      <c r="AF174" s="42">
        <f t="shared" si="111"/>
        <v>545.85714285714312</v>
      </c>
      <c r="AG174" s="43"/>
      <c r="AH174" s="42">
        <f t="shared" si="114"/>
        <v>12885.25</v>
      </c>
      <c r="AI174" s="42">
        <f t="shared" si="117"/>
        <v>525.75</v>
      </c>
      <c r="AJ174" s="42">
        <f t="shared" si="115"/>
        <v>276413.0625</v>
      </c>
      <c r="AK174" s="42">
        <f t="shared" si="116"/>
        <v>525.75</v>
      </c>
      <c r="AL174" s="43"/>
      <c r="AM174" s="42">
        <f t="shared" si="118"/>
        <v>12873.777777777777</v>
      </c>
      <c r="AN174" s="42">
        <f t="shared" si="121"/>
        <v>537.22222222222263</v>
      </c>
      <c r="AO174" s="42">
        <f t="shared" si="119"/>
        <v>288607.71604938316</v>
      </c>
      <c r="AP174" s="42">
        <f t="shared" si="120"/>
        <v>537.22222222222263</v>
      </c>
      <c r="AQ174" s="43"/>
      <c r="AR174" s="42">
        <f t="shared" si="122"/>
        <v>12943.7</v>
      </c>
      <c r="AS174" s="42">
        <f t="shared" si="123"/>
        <v>467.29999999999927</v>
      </c>
      <c r="AT174" s="42">
        <f t="shared" si="124"/>
        <v>218369.28999999931</v>
      </c>
      <c r="AU174" s="42">
        <f t="shared" si="133"/>
        <v>467.29999999999927</v>
      </c>
      <c r="AV174" s="43"/>
      <c r="AW174" s="42">
        <f t="shared" si="125"/>
        <v>12848</v>
      </c>
      <c r="AX174" s="42">
        <f t="shared" si="128"/>
        <v>563</v>
      </c>
      <c r="AY174" s="42">
        <f t="shared" si="126"/>
        <v>316969</v>
      </c>
      <c r="AZ174" s="42">
        <f t="shared" si="127"/>
        <v>563</v>
      </c>
      <c r="BA174" s="43"/>
      <c r="BB174" s="44">
        <f t="shared" si="134"/>
        <v>12957.166666666666</v>
      </c>
      <c r="BC174" s="42">
        <f t="shared" si="131"/>
        <v>453.83333333333394</v>
      </c>
      <c r="BD174" s="42">
        <f t="shared" si="129"/>
        <v>205964.69444444499</v>
      </c>
      <c r="BE174" s="42">
        <f t="shared" si="130"/>
        <v>453.83333333333394</v>
      </c>
    </row>
    <row r="175" spans="1:57" ht="18" x14ac:dyDescent="0.2">
      <c r="A175" s="7">
        <v>43556</v>
      </c>
      <c r="B175" s="17">
        <v>11399</v>
      </c>
      <c r="D175" s="42">
        <f t="shared" si="135"/>
        <v>12200.5</v>
      </c>
      <c r="E175" s="42">
        <f t="shared" si="132"/>
        <v>-801.5</v>
      </c>
      <c r="F175" s="42">
        <f t="shared" si="92"/>
        <v>642402.25</v>
      </c>
      <c r="G175" s="42">
        <f t="shared" si="93"/>
        <v>801.5</v>
      </c>
      <c r="H175" s="43"/>
      <c r="I175" s="42">
        <f t="shared" si="94"/>
        <v>10985.666666666666</v>
      </c>
      <c r="J175" s="42">
        <f t="shared" si="95"/>
        <v>413.33333333333394</v>
      </c>
      <c r="K175" s="42">
        <f t="shared" si="96"/>
        <v>170844.44444444493</v>
      </c>
      <c r="L175" s="42">
        <f t="shared" si="97"/>
        <v>413.33333333333394</v>
      </c>
      <c r="M175" s="43"/>
      <c r="N175" s="42">
        <f t="shared" si="98"/>
        <v>12163.75</v>
      </c>
      <c r="O175" s="42">
        <f t="shared" si="100"/>
        <v>-764.75</v>
      </c>
      <c r="P175" s="42">
        <f t="shared" si="101"/>
        <v>584842.5625</v>
      </c>
      <c r="Q175" s="42">
        <f t="shared" si="99"/>
        <v>764.75</v>
      </c>
      <c r="R175" s="43"/>
      <c r="S175" s="42">
        <f t="shared" si="102"/>
        <v>11838.4</v>
      </c>
      <c r="T175" s="42">
        <f t="shared" si="104"/>
        <v>-439.39999999999964</v>
      </c>
      <c r="U175" s="42">
        <f t="shared" si="105"/>
        <v>193072.35999999967</v>
      </c>
      <c r="V175" s="42">
        <f t="shared" si="103"/>
        <v>439.39999999999964</v>
      </c>
      <c r="W175" s="43"/>
      <c r="X175" s="42">
        <f t="shared" si="106"/>
        <v>12111.833333333334</v>
      </c>
      <c r="Y175" s="42">
        <f t="shared" si="108"/>
        <v>-712.83333333333394</v>
      </c>
      <c r="Z175" s="42">
        <f t="shared" si="109"/>
        <v>508131.361111112</v>
      </c>
      <c r="AA175" s="42">
        <f t="shared" si="107"/>
        <v>712.83333333333394</v>
      </c>
      <c r="AB175" s="43"/>
      <c r="AC175" s="42">
        <f t="shared" si="110"/>
        <v>12590.714285714286</v>
      </c>
      <c r="AD175" s="42">
        <f t="shared" si="112"/>
        <v>-1191.7142857142862</v>
      </c>
      <c r="AE175" s="42">
        <f t="shared" si="113"/>
        <v>1420182.9387755115</v>
      </c>
      <c r="AF175" s="42">
        <f t="shared" si="111"/>
        <v>1191.7142857142862</v>
      </c>
      <c r="AG175" s="43"/>
      <c r="AH175" s="42">
        <f t="shared" si="114"/>
        <v>12933.375</v>
      </c>
      <c r="AI175" s="42">
        <f t="shared" si="117"/>
        <v>-1534.375</v>
      </c>
      <c r="AJ175" s="42">
        <f t="shared" si="115"/>
        <v>2354306.640625</v>
      </c>
      <c r="AK175" s="42">
        <f t="shared" si="116"/>
        <v>1534.375</v>
      </c>
      <c r="AL175" s="43"/>
      <c r="AM175" s="42">
        <f t="shared" si="118"/>
        <v>12943.666666666666</v>
      </c>
      <c r="AN175" s="42">
        <f t="shared" si="121"/>
        <v>-1544.6666666666661</v>
      </c>
      <c r="AO175" s="42">
        <f t="shared" si="119"/>
        <v>2385995.1111111091</v>
      </c>
      <c r="AP175" s="42">
        <f t="shared" si="120"/>
        <v>1544.6666666666661</v>
      </c>
      <c r="AQ175" s="43"/>
      <c r="AR175" s="42">
        <f t="shared" si="122"/>
        <v>12927.5</v>
      </c>
      <c r="AS175" s="42">
        <f t="shared" si="123"/>
        <v>-1528.5</v>
      </c>
      <c r="AT175" s="42">
        <f t="shared" si="124"/>
        <v>2336312.25</v>
      </c>
      <c r="AU175" s="42">
        <f t="shared" si="133"/>
        <v>1528.5</v>
      </c>
      <c r="AV175" s="43"/>
      <c r="AW175" s="42">
        <f t="shared" si="125"/>
        <v>12986.181818181818</v>
      </c>
      <c r="AX175" s="42">
        <f t="shared" si="128"/>
        <v>-1587.181818181818</v>
      </c>
      <c r="AY175" s="42">
        <f t="shared" si="126"/>
        <v>2519146.1239669416</v>
      </c>
      <c r="AZ175" s="42">
        <f t="shared" si="127"/>
        <v>1587.181818181818</v>
      </c>
      <c r="BA175" s="43"/>
      <c r="BB175" s="44">
        <f t="shared" si="134"/>
        <v>12894.916666666666</v>
      </c>
      <c r="BC175" s="42">
        <f t="shared" si="131"/>
        <v>-1495.9166666666661</v>
      </c>
      <c r="BD175" s="42">
        <f t="shared" si="129"/>
        <v>2237766.6736111091</v>
      </c>
      <c r="BE175" s="42">
        <f t="shared" si="130"/>
        <v>1495.9166666666661</v>
      </c>
    </row>
    <row r="176" spans="1:57" ht="18" x14ac:dyDescent="0.2">
      <c r="A176" s="7">
        <v>43586</v>
      </c>
      <c r="B176" s="17">
        <v>12517</v>
      </c>
      <c r="D176" s="42">
        <f t="shared" si="135"/>
        <v>12405</v>
      </c>
      <c r="E176" s="42">
        <f t="shared" si="132"/>
        <v>112</v>
      </c>
      <c r="F176" s="42">
        <f t="shared" si="92"/>
        <v>12544</v>
      </c>
      <c r="G176" s="42">
        <f t="shared" si="93"/>
        <v>112</v>
      </c>
      <c r="H176" s="43"/>
      <c r="I176" s="42">
        <f t="shared" si="94"/>
        <v>11933.333333333334</v>
      </c>
      <c r="J176" s="42">
        <f t="shared" si="95"/>
        <v>583.66666666666606</v>
      </c>
      <c r="K176" s="42">
        <f t="shared" si="96"/>
        <v>340666.77777777705</v>
      </c>
      <c r="L176" s="42">
        <f t="shared" si="97"/>
        <v>583.66666666666606</v>
      </c>
      <c r="M176" s="43"/>
      <c r="N176" s="42">
        <f t="shared" si="98"/>
        <v>11089</v>
      </c>
      <c r="O176" s="42">
        <f t="shared" si="100"/>
        <v>1428</v>
      </c>
      <c r="P176" s="42">
        <f t="shared" si="101"/>
        <v>2039184</v>
      </c>
      <c r="Q176" s="42">
        <f t="shared" si="99"/>
        <v>1428</v>
      </c>
      <c r="R176" s="43"/>
      <c r="S176" s="42">
        <f t="shared" si="102"/>
        <v>12010.8</v>
      </c>
      <c r="T176" s="42">
        <f t="shared" si="104"/>
        <v>506.20000000000073</v>
      </c>
      <c r="U176" s="42">
        <f t="shared" si="105"/>
        <v>256238.44000000073</v>
      </c>
      <c r="V176" s="42">
        <f t="shared" si="103"/>
        <v>506.20000000000073</v>
      </c>
      <c r="W176" s="43"/>
      <c r="X176" s="42">
        <f t="shared" si="106"/>
        <v>11765.166666666666</v>
      </c>
      <c r="Y176" s="42">
        <f t="shared" si="108"/>
        <v>751.83333333333394</v>
      </c>
      <c r="Z176" s="42">
        <f t="shared" si="109"/>
        <v>565253.36111111206</v>
      </c>
      <c r="AA176" s="42">
        <f t="shared" si="107"/>
        <v>751.83333333333394</v>
      </c>
      <c r="AB176" s="43"/>
      <c r="AC176" s="42">
        <f t="shared" si="110"/>
        <v>12010</v>
      </c>
      <c r="AD176" s="42">
        <f t="shared" si="112"/>
        <v>507</v>
      </c>
      <c r="AE176" s="42">
        <f t="shared" si="113"/>
        <v>257049</v>
      </c>
      <c r="AF176" s="42">
        <f t="shared" si="111"/>
        <v>507</v>
      </c>
      <c r="AG176" s="43"/>
      <c r="AH176" s="42">
        <f t="shared" si="114"/>
        <v>12441.75</v>
      </c>
      <c r="AI176" s="42">
        <f t="shared" si="117"/>
        <v>75.25</v>
      </c>
      <c r="AJ176" s="42">
        <f t="shared" si="115"/>
        <v>5662.5625</v>
      </c>
      <c r="AK176" s="42">
        <f t="shared" si="116"/>
        <v>75.25</v>
      </c>
      <c r="AL176" s="43"/>
      <c r="AM176" s="42">
        <f t="shared" si="118"/>
        <v>12762.888888888889</v>
      </c>
      <c r="AN176" s="42">
        <f t="shared" si="121"/>
        <v>-245.88888888888869</v>
      </c>
      <c r="AO176" s="42">
        <f t="shared" si="119"/>
        <v>60461.345679012244</v>
      </c>
      <c r="AP176" s="42">
        <f t="shared" si="120"/>
        <v>245.88888888888869</v>
      </c>
      <c r="AQ176" s="43"/>
      <c r="AR176" s="42">
        <f t="shared" si="122"/>
        <v>12789.2</v>
      </c>
      <c r="AS176" s="42">
        <f t="shared" si="123"/>
        <v>-272.20000000000073</v>
      </c>
      <c r="AT176" s="42">
        <f t="shared" si="124"/>
        <v>74092.840000000389</v>
      </c>
      <c r="AU176" s="42">
        <f t="shared" si="133"/>
        <v>272.20000000000073</v>
      </c>
      <c r="AV176" s="43"/>
      <c r="AW176" s="42">
        <f t="shared" si="125"/>
        <v>12788.545454545454</v>
      </c>
      <c r="AX176" s="42">
        <f t="shared" si="128"/>
        <v>-271.54545454545405</v>
      </c>
      <c r="AY176" s="42">
        <f t="shared" si="126"/>
        <v>73736.93388429725</v>
      </c>
      <c r="AZ176" s="42">
        <f t="shared" si="127"/>
        <v>271.54545454545405</v>
      </c>
      <c r="BA176" s="43"/>
      <c r="BB176" s="44">
        <f t="shared" si="134"/>
        <v>12853.916666666666</v>
      </c>
      <c r="BC176" s="42">
        <f t="shared" si="131"/>
        <v>-336.91666666666606</v>
      </c>
      <c r="BD176" s="42">
        <f t="shared" si="129"/>
        <v>113512.84027777737</v>
      </c>
      <c r="BE176" s="42">
        <f t="shared" si="130"/>
        <v>336.91666666666606</v>
      </c>
    </row>
    <row r="177" spans="1:57" ht="18" x14ac:dyDescent="0.2">
      <c r="A177" s="7">
        <v>43617</v>
      </c>
      <c r="B177" s="17">
        <v>11579</v>
      </c>
      <c r="D177" s="42">
        <f t="shared" si="135"/>
        <v>11958</v>
      </c>
      <c r="E177" s="42">
        <f t="shared" si="132"/>
        <v>-379</v>
      </c>
      <c r="F177" s="42">
        <f t="shared" si="92"/>
        <v>143641</v>
      </c>
      <c r="G177" s="42">
        <f t="shared" si="93"/>
        <v>379</v>
      </c>
      <c r="H177" s="43"/>
      <c r="I177" s="42">
        <f t="shared" si="94"/>
        <v>12442.333333333334</v>
      </c>
      <c r="J177" s="42">
        <f t="shared" si="95"/>
        <v>-863.33333333333394</v>
      </c>
      <c r="K177" s="42">
        <f t="shared" si="96"/>
        <v>745344.44444444554</v>
      </c>
      <c r="L177" s="42">
        <f t="shared" si="97"/>
        <v>863.33333333333394</v>
      </c>
      <c r="M177" s="43"/>
      <c r="N177" s="42">
        <f t="shared" si="98"/>
        <v>12079.25</v>
      </c>
      <c r="O177" s="42">
        <f t="shared" si="100"/>
        <v>-500.25</v>
      </c>
      <c r="P177" s="42">
        <f t="shared" si="101"/>
        <v>250250.0625</v>
      </c>
      <c r="Q177" s="42">
        <f t="shared" si="99"/>
        <v>500.25</v>
      </c>
      <c r="R177" s="43"/>
      <c r="S177" s="42">
        <f t="shared" si="102"/>
        <v>11374.6</v>
      </c>
      <c r="T177" s="42">
        <f t="shared" si="104"/>
        <v>204.39999999999964</v>
      </c>
      <c r="U177" s="42">
        <f t="shared" si="105"/>
        <v>41779.359999999848</v>
      </c>
      <c r="V177" s="42">
        <f t="shared" si="103"/>
        <v>204.39999999999964</v>
      </c>
      <c r="W177" s="43"/>
      <c r="X177" s="42">
        <f t="shared" si="106"/>
        <v>12095.166666666666</v>
      </c>
      <c r="Y177" s="42">
        <f t="shared" si="108"/>
        <v>-516.16666666666606</v>
      </c>
      <c r="Z177" s="42">
        <f t="shared" si="109"/>
        <v>266428.02777777717</v>
      </c>
      <c r="AA177" s="42">
        <f t="shared" si="107"/>
        <v>516.16666666666606</v>
      </c>
      <c r="AB177" s="43"/>
      <c r="AC177" s="42">
        <f t="shared" si="110"/>
        <v>11872.571428571429</v>
      </c>
      <c r="AD177" s="42">
        <f t="shared" si="112"/>
        <v>-293.57142857142935</v>
      </c>
      <c r="AE177" s="42">
        <f t="shared" si="113"/>
        <v>86184.183673469845</v>
      </c>
      <c r="AF177" s="42">
        <f t="shared" si="111"/>
        <v>293.57142857142935</v>
      </c>
      <c r="AG177" s="43"/>
      <c r="AH177" s="42">
        <f t="shared" si="114"/>
        <v>12073.375</v>
      </c>
      <c r="AI177" s="42">
        <f t="shared" si="117"/>
        <v>-494.375</v>
      </c>
      <c r="AJ177" s="42">
        <f t="shared" si="115"/>
        <v>244406.640625</v>
      </c>
      <c r="AK177" s="42">
        <f t="shared" si="116"/>
        <v>494.375</v>
      </c>
      <c r="AL177" s="43"/>
      <c r="AM177" s="42">
        <f t="shared" si="118"/>
        <v>12450.111111111111</v>
      </c>
      <c r="AN177" s="42">
        <f t="shared" si="121"/>
        <v>-871.11111111111131</v>
      </c>
      <c r="AO177" s="42">
        <f t="shared" si="119"/>
        <v>758834.56790123496</v>
      </c>
      <c r="AP177" s="42">
        <f t="shared" si="120"/>
        <v>871.11111111111131</v>
      </c>
      <c r="AQ177" s="43"/>
      <c r="AR177" s="42">
        <f t="shared" si="122"/>
        <v>12738.3</v>
      </c>
      <c r="AS177" s="42">
        <f t="shared" si="123"/>
        <v>-1159.2999999999993</v>
      </c>
      <c r="AT177" s="42">
        <f t="shared" si="124"/>
        <v>1343976.4899999984</v>
      </c>
      <c r="AU177" s="42">
        <f t="shared" si="133"/>
        <v>1159.2999999999993</v>
      </c>
      <c r="AV177" s="43"/>
      <c r="AW177" s="42">
        <f t="shared" si="125"/>
        <v>12764.454545454546</v>
      </c>
      <c r="AX177" s="42">
        <f t="shared" si="128"/>
        <v>-1185.454545454546</v>
      </c>
      <c r="AY177" s="42">
        <f t="shared" si="126"/>
        <v>1405302.4793388441</v>
      </c>
      <c r="AZ177" s="42">
        <f t="shared" si="127"/>
        <v>1185.454545454546</v>
      </c>
      <c r="BA177" s="43"/>
      <c r="BB177" s="44">
        <f t="shared" si="134"/>
        <v>12765.916666666666</v>
      </c>
      <c r="BC177" s="42">
        <f t="shared" si="131"/>
        <v>-1186.9166666666661</v>
      </c>
      <c r="BD177" s="42">
        <f t="shared" si="129"/>
        <v>1408771.1736111096</v>
      </c>
      <c r="BE177" s="42">
        <f t="shared" si="130"/>
        <v>1186.9166666666661</v>
      </c>
    </row>
    <row r="178" spans="1:57" ht="18" x14ac:dyDescent="0.2">
      <c r="A178" s="7">
        <v>43647</v>
      </c>
      <c r="B178" s="17">
        <v>11874</v>
      </c>
      <c r="D178" s="42">
        <f t="shared" si="135"/>
        <v>12048</v>
      </c>
      <c r="E178" s="42">
        <f t="shared" si="132"/>
        <v>-174</v>
      </c>
      <c r="F178" s="42">
        <f t="shared" si="92"/>
        <v>30276</v>
      </c>
      <c r="G178" s="42">
        <f t="shared" si="93"/>
        <v>174</v>
      </c>
      <c r="H178" s="43"/>
      <c r="I178" s="42">
        <f t="shared" si="94"/>
        <v>11831.666666666666</v>
      </c>
      <c r="J178" s="42">
        <f t="shared" si="95"/>
        <v>42.33333333333394</v>
      </c>
      <c r="K178" s="42">
        <f t="shared" si="96"/>
        <v>1792.1111111111625</v>
      </c>
      <c r="L178" s="42">
        <f t="shared" si="97"/>
        <v>42.33333333333394</v>
      </c>
      <c r="M178" s="43"/>
      <c r="N178" s="42">
        <f t="shared" si="98"/>
        <v>12226.5</v>
      </c>
      <c r="O178" s="42">
        <f t="shared" si="100"/>
        <v>-352.5</v>
      </c>
      <c r="P178" s="42">
        <f t="shared" si="101"/>
        <v>124256.25</v>
      </c>
      <c r="Q178" s="42">
        <f t="shared" si="99"/>
        <v>352.5</v>
      </c>
      <c r="R178" s="43"/>
      <c r="S178" s="42">
        <f t="shared" si="102"/>
        <v>11979.2</v>
      </c>
      <c r="T178" s="42">
        <f t="shared" si="104"/>
        <v>-105.20000000000073</v>
      </c>
      <c r="U178" s="42">
        <f t="shared" si="105"/>
        <v>11067.040000000154</v>
      </c>
      <c r="V178" s="42">
        <f t="shared" si="103"/>
        <v>105.20000000000073</v>
      </c>
      <c r="W178" s="43"/>
      <c r="X178" s="42">
        <f t="shared" si="106"/>
        <v>11408.666666666666</v>
      </c>
      <c r="Y178" s="42">
        <f t="shared" si="108"/>
        <v>465.33333333333394</v>
      </c>
      <c r="Z178" s="42">
        <f t="shared" si="109"/>
        <v>216535.11111111168</v>
      </c>
      <c r="AA178" s="42">
        <f t="shared" si="107"/>
        <v>465.33333333333394</v>
      </c>
      <c r="AB178" s="43"/>
      <c r="AC178" s="42">
        <f t="shared" si="110"/>
        <v>12021.428571428571</v>
      </c>
      <c r="AD178" s="42">
        <f t="shared" si="112"/>
        <v>-147.42857142857065</v>
      </c>
      <c r="AE178" s="42">
        <f t="shared" si="113"/>
        <v>21735.183673469157</v>
      </c>
      <c r="AF178" s="42">
        <f t="shared" si="111"/>
        <v>147.42857142857065</v>
      </c>
      <c r="AG178" s="43"/>
      <c r="AH178" s="42">
        <f t="shared" si="114"/>
        <v>11835.875</v>
      </c>
      <c r="AI178" s="42">
        <f t="shared" si="117"/>
        <v>38.125</v>
      </c>
      <c r="AJ178" s="42">
        <f t="shared" si="115"/>
        <v>1453.515625</v>
      </c>
      <c r="AK178" s="42">
        <f t="shared" si="116"/>
        <v>38.125</v>
      </c>
      <c r="AL178" s="43"/>
      <c r="AM178" s="42">
        <f t="shared" si="118"/>
        <v>12018.444444444445</v>
      </c>
      <c r="AN178" s="42">
        <f t="shared" si="121"/>
        <v>-144.44444444444525</v>
      </c>
      <c r="AO178" s="42">
        <f t="shared" si="119"/>
        <v>20864.197530864432</v>
      </c>
      <c r="AP178" s="42">
        <f t="shared" si="120"/>
        <v>144.44444444444525</v>
      </c>
      <c r="AQ178" s="43"/>
      <c r="AR178" s="42">
        <f t="shared" si="122"/>
        <v>12363</v>
      </c>
      <c r="AS178" s="42">
        <f t="shared" si="123"/>
        <v>-489</v>
      </c>
      <c r="AT178" s="42">
        <f t="shared" si="124"/>
        <v>239121</v>
      </c>
      <c r="AU178" s="42">
        <f t="shared" si="133"/>
        <v>489</v>
      </c>
      <c r="AV178" s="43"/>
      <c r="AW178" s="42">
        <f t="shared" si="125"/>
        <v>12632.90909090909</v>
      </c>
      <c r="AX178" s="42">
        <f t="shared" si="128"/>
        <v>-758.90909090909008</v>
      </c>
      <c r="AY178" s="42">
        <f t="shared" si="126"/>
        <v>575943.00826446153</v>
      </c>
      <c r="AZ178" s="42">
        <f t="shared" si="127"/>
        <v>758.90909090909008</v>
      </c>
      <c r="BA178" s="43"/>
      <c r="BB178" s="44">
        <f t="shared" si="134"/>
        <v>12665.666666666666</v>
      </c>
      <c r="BC178" s="42">
        <f t="shared" si="131"/>
        <v>-791.66666666666606</v>
      </c>
      <c r="BD178" s="42">
        <f t="shared" si="129"/>
        <v>626736.11111111019</v>
      </c>
      <c r="BE178" s="42">
        <f t="shared" si="130"/>
        <v>791.66666666666606</v>
      </c>
    </row>
    <row r="179" spans="1:57" ht="18" x14ac:dyDescent="0.2">
      <c r="A179" s="7">
        <v>43678</v>
      </c>
      <c r="B179" s="17">
        <v>14381</v>
      </c>
      <c r="D179" s="42">
        <f t="shared" si="135"/>
        <v>11726.5</v>
      </c>
      <c r="E179" s="42">
        <f t="shared" si="132"/>
        <v>2654.5</v>
      </c>
      <c r="F179" s="42">
        <f t="shared" si="92"/>
        <v>7046370.25</v>
      </c>
      <c r="G179" s="42">
        <f t="shared" si="93"/>
        <v>2654.5</v>
      </c>
      <c r="H179" s="43"/>
      <c r="I179" s="42">
        <f t="shared" si="94"/>
        <v>11990</v>
      </c>
      <c r="J179" s="42">
        <f t="shared" si="95"/>
        <v>2391</v>
      </c>
      <c r="K179" s="42">
        <f t="shared" si="96"/>
        <v>5716881</v>
      </c>
      <c r="L179" s="42">
        <f t="shared" si="97"/>
        <v>2391</v>
      </c>
      <c r="M179" s="43"/>
      <c r="N179" s="42">
        <f t="shared" si="98"/>
        <v>11842.25</v>
      </c>
      <c r="O179" s="42">
        <f t="shared" si="100"/>
        <v>2538.75</v>
      </c>
      <c r="P179" s="42">
        <f t="shared" si="101"/>
        <v>6445251.5625</v>
      </c>
      <c r="Q179" s="42">
        <f t="shared" si="99"/>
        <v>2538.75</v>
      </c>
      <c r="R179" s="43"/>
      <c r="S179" s="42">
        <f t="shared" si="102"/>
        <v>12156</v>
      </c>
      <c r="T179" s="42">
        <f t="shared" si="104"/>
        <v>2225</v>
      </c>
      <c r="U179" s="42">
        <f t="shared" si="105"/>
        <v>4950625</v>
      </c>
      <c r="V179" s="42">
        <f t="shared" si="103"/>
        <v>2225</v>
      </c>
      <c r="W179" s="43"/>
      <c r="X179" s="42">
        <f t="shared" si="106"/>
        <v>11961.666666666666</v>
      </c>
      <c r="Y179" s="42">
        <f t="shared" si="108"/>
        <v>2419.3333333333339</v>
      </c>
      <c r="Z179" s="42">
        <f t="shared" si="109"/>
        <v>5853173.7777777808</v>
      </c>
      <c r="AA179" s="42">
        <f t="shared" si="107"/>
        <v>2419.3333333333339</v>
      </c>
      <c r="AB179" s="43"/>
      <c r="AC179" s="42">
        <f t="shared" si="110"/>
        <v>11475.142857142857</v>
      </c>
      <c r="AD179" s="42">
        <f t="shared" si="112"/>
        <v>2905.8571428571431</v>
      </c>
      <c r="AE179" s="42">
        <f t="shared" si="113"/>
        <v>8444005.7346938793</v>
      </c>
      <c r="AF179" s="42">
        <f t="shared" si="111"/>
        <v>2905.8571428571431</v>
      </c>
      <c r="AG179" s="43"/>
      <c r="AH179" s="42">
        <f t="shared" si="114"/>
        <v>12003</v>
      </c>
      <c r="AI179" s="42">
        <f t="shared" si="117"/>
        <v>2378</v>
      </c>
      <c r="AJ179" s="42">
        <f t="shared" si="115"/>
        <v>5654884</v>
      </c>
      <c r="AK179" s="42">
        <f t="shared" si="116"/>
        <v>2378</v>
      </c>
      <c r="AL179" s="43"/>
      <c r="AM179" s="42">
        <f t="shared" si="118"/>
        <v>11840.111111111111</v>
      </c>
      <c r="AN179" s="42">
        <f t="shared" si="121"/>
        <v>2540.8888888888887</v>
      </c>
      <c r="AO179" s="42">
        <f t="shared" si="119"/>
        <v>6456116.3456790112</v>
      </c>
      <c r="AP179" s="42">
        <f t="shared" si="120"/>
        <v>2540.8888888888887</v>
      </c>
      <c r="AQ179" s="43"/>
      <c r="AR179" s="42">
        <f t="shared" si="122"/>
        <v>12004</v>
      </c>
      <c r="AS179" s="42">
        <f t="shared" si="123"/>
        <v>2377</v>
      </c>
      <c r="AT179" s="42">
        <f t="shared" si="124"/>
        <v>5650129</v>
      </c>
      <c r="AU179" s="42">
        <f t="shared" si="133"/>
        <v>2377</v>
      </c>
      <c r="AV179" s="43"/>
      <c r="AW179" s="42">
        <f t="shared" si="125"/>
        <v>12318.545454545454</v>
      </c>
      <c r="AX179" s="42">
        <f t="shared" si="128"/>
        <v>2062.454545454546</v>
      </c>
      <c r="AY179" s="42">
        <f t="shared" si="126"/>
        <v>4253718.7520661177</v>
      </c>
      <c r="AZ179" s="42">
        <f t="shared" si="127"/>
        <v>2062.454545454546</v>
      </c>
      <c r="BA179" s="43"/>
      <c r="BB179" s="44">
        <f t="shared" si="134"/>
        <v>12569.666666666666</v>
      </c>
      <c r="BC179" s="42">
        <f t="shared" si="131"/>
        <v>1811.3333333333339</v>
      </c>
      <c r="BD179" s="42">
        <f t="shared" si="129"/>
        <v>3280928.4444444468</v>
      </c>
      <c r="BE179" s="42">
        <f t="shared" si="130"/>
        <v>1811.3333333333339</v>
      </c>
    </row>
    <row r="180" spans="1:57" ht="18" x14ac:dyDescent="0.2">
      <c r="A180" s="7">
        <v>43709</v>
      </c>
      <c r="B180" s="17">
        <v>9262</v>
      </c>
      <c r="D180" s="42">
        <f t="shared" si="135"/>
        <v>13127.5</v>
      </c>
      <c r="E180" s="42">
        <f t="shared" si="132"/>
        <v>-3865.5</v>
      </c>
      <c r="F180" s="42">
        <f t="shared" si="92"/>
        <v>14942090.25</v>
      </c>
      <c r="G180" s="42">
        <f t="shared" si="93"/>
        <v>3865.5</v>
      </c>
      <c r="H180" s="43"/>
      <c r="I180" s="42">
        <f t="shared" si="94"/>
        <v>12611.333333333334</v>
      </c>
      <c r="J180" s="42">
        <f t="shared" si="95"/>
        <v>-3349.3333333333339</v>
      </c>
      <c r="K180" s="42">
        <f t="shared" si="96"/>
        <v>11218033.777777782</v>
      </c>
      <c r="L180" s="42">
        <f t="shared" si="97"/>
        <v>3349.3333333333339</v>
      </c>
      <c r="M180" s="43"/>
      <c r="N180" s="42">
        <f t="shared" si="98"/>
        <v>12587.75</v>
      </c>
      <c r="O180" s="42">
        <f t="shared" si="100"/>
        <v>-3325.75</v>
      </c>
      <c r="P180" s="42">
        <f t="shared" si="101"/>
        <v>11060613.0625</v>
      </c>
      <c r="Q180" s="42">
        <f t="shared" si="99"/>
        <v>3325.75</v>
      </c>
      <c r="R180" s="43"/>
      <c r="S180" s="42">
        <f t="shared" si="102"/>
        <v>12350</v>
      </c>
      <c r="T180" s="42">
        <f t="shared" si="104"/>
        <v>-3088</v>
      </c>
      <c r="U180" s="42">
        <f t="shared" si="105"/>
        <v>9535744</v>
      </c>
      <c r="V180" s="42">
        <f t="shared" si="103"/>
        <v>3088</v>
      </c>
      <c r="W180" s="43"/>
      <c r="X180" s="42">
        <f t="shared" si="106"/>
        <v>12526.833333333334</v>
      </c>
      <c r="Y180" s="42">
        <f t="shared" si="108"/>
        <v>-3264.8333333333339</v>
      </c>
      <c r="Z180" s="42">
        <f t="shared" si="109"/>
        <v>10659136.694444448</v>
      </c>
      <c r="AA180" s="42">
        <f t="shared" si="107"/>
        <v>3264.8333333333339</v>
      </c>
      <c r="AB180" s="43"/>
      <c r="AC180" s="42">
        <f t="shared" si="110"/>
        <v>12307.285714285714</v>
      </c>
      <c r="AD180" s="42">
        <f t="shared" si="112"/>
        <v>-3045.2857142857138</v>
      </c>
      <c r="AE180" s="42">
        <f t="shared" si="113"/>
        <v>9273765.0816326495</v>
      </c>
      <c r="AF180" s="42">
        <f t="shared" si="111"/>
        <v>3045.2857142857138</v>
      </c>
      <c r="AG180" s="43"/>
      <c r="AH180" s="42">
        <f t="shared" si="114"/>
        <v>11838.375</v>
      </c>
      <c r="AI180" s="42">
        <f t="shared" si="117"/>
        <v>-2576.375</v>
      </c>
      <c r="AJ180" s="42">
        <f t="shared" si="115"/>
        <v>6637708.140625</v>
      </c>
      <c r="AK180" s="42">
        <f t="shared" si="116"/>
        <v>2576.375</v>
      </c>
      <c r="AL180" s="43"/>
      <c r="AM180" s="42">
        <f t="shared" si="118"/>
        <v>12267.222222222223</v>
      </c>
      <c r="AN180" s="42">
        <f t="shared" si="121"/>
        <v>-3005.2222222222226</v>
      </c>
      <c r="AO180" s="42">
        <f t="shared" si="119"/>
        <v>9031360.6049382742</v>
      </c>
      <c r="AP180" s="42">
        <f t="shared" si="120"/>
        <v>3005.2222222222226</v>
      </c>
      <c r="AQ180" s="43"/>
      <c r="AR180" s="42">
        <f t="shared" si="122"/>
        <v>12094.2</v>
      </c>
      <c r="AS180" s="42">
        <f t="shared" si="123"/>
        <v>-2832.2000000000007</v>
      </c>
      <c r="AT180" s="42">
        <f t="shared" si="124"/>
        <v>8021356.8400000045</v>
      </c>
      <c r="AU180" s="42">
        <f t="shared" si="133"/>
        <v>2832.2000000000007</v>
      </c>
      <c r="AV180" s="43"/>
      <c r="AW180" s="42">
        <f t="shared" si="125"/>
        <v>12220.09090909091</v>
      </c>
      <c r="AX180" s="42">
        <f t="shared" si="128"/>
        <v>-2958.0909090909099</v>
      </c>
      <c r="AY180" s="42">
        <f t="shared" si="126"/>
        <v>8750301.8264462855</v>
      </c>
      <c r="AZ180" s="42">
        <f t="shared" si="127"/>
        <v>2958.0909090909099</v>
      </c>
      <c r="BA180" s="43"/>
      <c r="BB180" s="44">
        <f t="shared" si="134"/>
        <v>12490.416666666666</v>
      </c>
      <c r="BC180" s="42">
        <f t="shared" si="131"/>
        <v>-3228.4166666666661</v>
      </c>
      <c r="BD180" s="42">
        <f t="shared" si="129"/>
        <v>10422674.173611106</v>
      </c>
      <c r="BE180" s="42">
        <f t="shared" si="130"/>
        <v>3228.4166666666661</v>
      </c>
    </row>
    <row r="181" spans="1:57" ht="18" x14ac:dyDescent="0.2">
      <c r="A181" s="7">
        <v>43739</v>
      </c>
      <c r="B181" s="17">
        <v>9529</v>
      </c>
      <c r="D181" s="42">
        <f t="shared" si="135"/>
        <v>11821.5</v>
      </c>
      <c r="E181" s="42">
        <f t="shared" si="132"/>
        <v>-2292.5</v>
      </c>
      <c r="F181" s="42">
        <f t="shared" si="92"/>
        <v>5255556.25</v>
      </c>
      <c r="G181" s="42">
        <f t="shared" si="93"/>
        <v>2292.5</v>
      </c>
      <c r="H181" s="43"/>
      <c r="I181" s="42">
        <f t="shared" si="94"/>
        <v>11839</v>
      </c>
      <c r="J181" s="42">
        <f t="shared" si="95"/>
        <v>-2310</v>
      </c>
      <c r="K181" s="42">
        <f t="shared" si="96"/>
        <v>5336100</v>
      </c>
      <c r="L181" s="42">
        <f t="shared" si="97"/>
        <v>2310</v>
      </c>
      <c r="M181" s="43"/>
      <c r="N181" s="42">
        <f t="shared" si="98"/>
        <v>11774</v>
      </c>
      <c r="O181" s="42">
        <f t="shared" si="100"/>
        <v>-2245</v>
      </c>
      <c r="P181" s="42">
        <f t="shared" si="101"/>
        <v>5040025</v>
      </c>
      <c r="Q181" s="42">
        <f t="shared" si="99"/>
        <v>2245</v>
      </c>
      <c r="R181" s="43"/>
      <c r="S181" s="42">
        <f t="shared" si="102"/>
        <v>11922.6</v>
      </c>
      <c r="T181" s="42">
        <f t="shared" si="104"/>
        <v>-2393.6000000000004</v>
      </c>
      <c r="U181" s="42">
        <f t="shared" si="105"/>
        <v>5729320.9600000018</v>
      </c>
      <c r="V181" s="42">
        <f t="shared" si="103"/>
        <v>2393.6000000000004</v>
      </c>
      <c r="W181" s="43"/>
      <c r="X181" s="42">
        <f t="shared" si="106"/>
        <v>11835.333333333334</v>
      </c>
      <c r="Y181" s="42">
        <f t="shared" si="108"/>
        <v>-2306.3333333333339</v>
      </c>
      <c r="Z181" s="42">
        <f t="shared" si="109"/>
        <v>5319173.4444444468</v>
      </c>
      <c r="AA181" s="42">
        <f t="shared" si="107"/>
        <v>2306.3333333333339</v>
      </c>
      <c r="AB181" s="43"/>
      <c r="AC181" s="42">
        <f t="shared" si="110"/>
        <v>12060.428571428571</v>
      </c>
      <c r="AD181" s="42">
        <f t="shared" si="112"/>
        <v>-2531.4285714285706</v>
      </c>
      <c r="AE181" s="42">
        <f t="shared" si="113"/>
        <v>6408130.6122448938</v>
      </c>
      <c r="AF181" s="42">
        <f t="shared" si="111"/>
        <v>2531.4285714285706</v>
      </c>
      <c r="AG181" s="43"/>
      <c r="AH181" s="42">
        <f t="shared" si="114"/>
        <v>11926.625</v>
      </c>
      <c r="AI181" s="42">
        <f t="shared" si="117"/>
        <v>-2397.625</v>
      </c>
      <c r="AJ181" s="42">
        <f t="shared" si="115"/>
        <v>5748605.640625</v>
      </c>
      <c r="AK181" s="42">
        <f t="shared" si="116"/>
        <v>2397.625</v>
      </c>
      <c r="AL181" s="43"/>
      <c r="AM181" s="42">
        <f t="shared" si="118"/>
        <v>11552.111111111111</v>
      </c>
      <c r="AN181" s="42">
        <f t="shared" si="121"/>
        <v>-2023.1111111111113</v>
      </c>
      <c r="AO181" s="42">
        <f t="shared" si="119"/>
        <v>4092978.5679012355</v>
      </c>
      <c r="AP181" s="42">
        <f t="shared" si="120"/>
        <v>2023.1111111111113</v>
      </c>
      <c r="AQ181" s="43"/>
      <c r="AR181" s="42">
        <f t="shared" si="122"/>
        <v>11966.7</v>
      </c>
      <c r="AS181" s="42">
        <f t="shared" si="123"/>
        <v>-2437.7000000000007</v>
      </c>
      <c r="AT181" s="42">
        <f t="shared" si="124"/>
        <v>5942381.2900000038</v>
      </c>
      <c r="AU181" s="42">
        <f t="shared" si="133"/>
        <v>2437.7000000000007</v>
      </c>
      <c r="AV181" s="43"/>
      <c r="AW181" s="42">
        <f t="shared" si="125"/>
        <v>11836.727272727272</v>
      </c>
      <c r="AX181" s="42">
        <f t="shared" si="128"/>
        <v>-2307.7272727272721</v>
      </c>
      <c r="AY181" s="42">
        <f t="shared" si="126"/>
        <v>5325605.165289253</v>
      </c>
      <c r="AZ181" s="42">
        <f t="shared" si="127"/>
        <v>2307.7272727272721</v>
      </c>
      <c r="BA181" s="43"/>
      <c r="BB181" s="44">
        <f t="shared" si="134"/>
        <v>11973.583333333334</v>
      </c>
      <c r="BC181" s="42">
        <f t="shared" si="131"/>
        <v>-2444.5833333333339</v>
      </c>
      <c r="BD181" s="42">
        <f t="shared" si="129"/>
        <v>5975987.6736111138</v>
      </c>
      <c r="BE181" s="42">
        <f t="shared" si="130"/>
        <v>2444.5833333333339</v>
      </c>
    </row>
    <row r="182" spans="1:57" ht="18" x14ac:dyDescent="0.2">
      <c r="A182" s="7">
        <v>43770</v>
      </c>
      <c r="B182" s="17">
        <v>10260</v>
      </c>
      <c r="D182" s="42">
        <f t="shared" si="135"/>
        <v>9395.5</v>
      </c>
      <c r="E182" s="42">
        <f t="shared" si="132"/>
        <v>864.5</v>
      </c>
      <c r="F182" s="42">
        <f t="shared" si="92"/>
        <v>747360.25</v>
      </c>
      <c r="G182" s="42">
        <f t="shared" si="93"/>
        <v>864.5</v>
      </c>
      <c r="H182" s="43"/>
      <c r="I182" s="42">
        <f t="shared" si="94"/>
        <v>11057.333333333334</v>
      </c>
      <c r="J182" s="42">
        <f t="shared" si="95"/>
        <v>-797.33333333333394</v>
      </c>
      <c r="K182" s="42">
        <f t="shared" si="96"/>
        <v>635740.44444444543</v>
      </c>
      <c r="L182" s="42">
        <f t="shared" si="97"/>
        <v>797.33333333333394</v>
      </c>
      <c r="M182" s="43"/>
      <c r="N182" s="42">
        <f t="shared" si="98"/>
        <v>11261.5</v>
      </c>
      <c r="O182" s="42">
        <f t="shared" si="100"/>
        <v>-1001.5</v>
      </c>
      <c r="P182" s="42">
        <f t="shared" si="101"/>
        <v>1003002.25</v>
      </c>
      <c r="Q182" s="42">
        <f t="shared" si="99"/>
        <v>1001.5</v>
      </c>
      <c r="R182" s="43"/>
      <c r="S182" s="42">
        <f t="shared" si="102"/>
        <v>11325</v>
      </c>
      <c r="T182" s="42">
        <f t="shared" si="104"/>
        <v>-1065</v>
      </c>
      <c r="U182" s="42">
        <f t="shared" si="105"/>
        <v>1134225</v>
      </c>
      <c r="V182" s="42">
        <f t="shared" si="103"/>
        <v>1065</v>
      </c>
      <c r="W182" s="43"/>
      <c r="X182" s="42">
        <f t="shared" si="106"/>
        <v>11523.666666666666</v>
      </c>
      <c r="Y182" s="42">
        <f t="shared" si="108"/>
        <v>-1263.6666666666661</v>
      </c>
      <c r="Z182" s="42">
        <f t="shared" si="109"/>
        <v>1596853.4444444429</v>
      </c>
      <c r="AA182" s="42">
        <f t="shared" si="107"/>
        <v>1263.6666666666661</v>
      </c>
      <c r="AB182" s="43"/>
      <c r="AC182" s="42">
        <f t="shared" si="110"/>
        <v>11505.857142857143</v>
      </c>
      <c r="AD182" s="42">
        <f t="shared" si="112"/>
        <v>-1245.8571428571431</v>
      </c>
      <c r="AE182" s="42">
        <f t="shared" si="113"/>
        <v>1552160.020408164</v>
      </c>
      <c r="AF182" s="42">
        <f t="shared" si="111"/>
        <v>1245.8571428571431</v>
      </c>
      <c r="AG182" s="43"/>
      <c r="AH182" s="42">
        <f t="shared" si="114"/>
        <v>11744</v>
      </c>
      <c r="AI182" s="42">
        <f t="shared" si="117"/>
        <v>-1484</v>
      </c>
      <c r="AJ182" s="42">
        <f t="shared" si="115"/>
        <v>2202256</v>
      </c>
      <c r="AK182" s="42">
        <f t="shared" si="116"/>
        <v>1484</v>
      </c>
      <c r="AL182" s="43"/>
      <c r="AM182" s="42">
        <f t="shared" si="118"/>
        <v>11660.222222222223</v>
      </c>
      <c r="AN182" s="42">
        <f t="shared" si="121"/>
        <v>-1400.2222222222226</v>
      </c>
      <c r="AO182" s="42">
        <f t="shared" si="119"/>
        <v>1960622.2716049394</v>
      </c>
      <c r="AP182" s="42">
        <f t="shared" si="120"/>
        <v>1400.2222222222226</v>
      </c>
      <c r="AQ182" s="43"/>
      <c r="AR182" s="42">
        <f t="shared" si="122"/>
        <v>11349.8</v>
      </c>
      <c r="AS182" s="42">
        <f t="shared" si="123"/>
        <v>-1089.7999999999993</v>
      </c>
      <c r="AT182" s="42">
        <f t="shared" si="124"/>
        <v>1187664.0399999984</v>
      </c>
      <c r="AU182" s="42">
        <f t="shared" si="133"/>
        <v>1089.7999999999993</v>
      </c>
      <c r="AV182" s="43"/>
      <c r="AW182" s="42">
        <f t="shared" si="125"/>
        <v>11745.09090909091</v>
      </c>
      <c r="AX182" s="42">
        <f t="shared" si="128"/>
        <v>-1485.0909090909099</v>
      </c>
      <c r="AY182" s="42">
        <f t="shared" si="126"/>
        <v>2205495.0082644653</v>
      </c>
      <c r="AZ182" s="42">
        <f t="shared" si="127"/>
        <v>1485.0909090909099</v>
      </c>
      <c r="BA182" s="43"/>
      <c r="BB182" s="44">
        <f t="shared" si="134"/>
        <v>11644.416666666666</v>
      </c>
      <c r="BC182" s="42">
        <f t="shared" si="131"/>
        <v>-1384.4166666666661</v>
      </c>
      <c r="BD182" s="42">
        <f t="shared" si="129"/>
        <v>1916609.5069444429</v>
      </c>
      <c r="BE182" s="42">
        <f t="shared" si="130"/>
        <v>1384.4166666666661</v>
      </c>
    </row>
    <row r="183" spans="1:57" ht="18" x14ac:dyDescent="0.2">
      <c r="A183" s="7">
        <v>43800</v>
      </c>
      <c r="B183" s="17">
        <v>11250</v>
      </c>
      <c r="D183" s="42">
        <f t="shared" si="135"/>
        <v>9894.5</v>
      </c>
      <c r="E183" s="42">
        <f t="shared" si="132"/>
        <v>1355.5</v>
      </c>
      <c r="F183" s="42">
        <f t="shared" si="92"/>
        <v>1837380.25</v>
      </c>
      <c r="G183" s="42">
        <f t="shared" si="93"/>
        <v>1355.5</v>
      </c>
      <c r="H183" s="43"/>
      <c r="I183" s="42">
        <f t="shared" si="94"/>
        <v>9683.6666666666661</v>
      </c>
      <c r="J183" s="42">
        <f t="shared" si="95"/>
        <v>1566.3333333333339</v>
      </c>
      <c r="K183" s="42">
        <f t="shared" si="96"/>
        <v>2453400.1111111129</v>
      </c>
      <c r="L183" s="42">
        <f t="shared" si="97"/>
        <v>1566.3333333333339</v>
      </c>
      <c r="M183" s="43"/>
      <c r="N183" s="42">
        <f t="shared" si="98"/>
        <v>10858</v>
      </c>
      <c r="O183" s="42">
        <f t="shared" si="100"/>
        <v>392</v>
      </c>
      <c r="P183" s="42">
        <f t="shared" si="101"/>
        <v>153664</v>
      </c>
      <c r="Q183" s="42">
        <f t="shared" si="99"/>
        <v>392</v>
      </c>
      <c r="R183" s="43"/>
      <c r="S183" s="42">
        <f t="shared" si="102"/>
        <v>11061.2</v>
      </c>
      <c r="T183" s="42">
        <f t="shared" si="104"/>
        <v>188.79999999999927</v>
      </c>
      <c r="U183" s="42">
        <f t="shared" si="105"/>
        <v>35645.439999999726</v>
      </c>
      <c r="V183" s="42">
        <f t="shared" si="103"/>
        <v>188.79999999999927</v>
      </c>
      <c r="W183" s="43"/>
      <c r="X183" s="42">
        <f t="shared" si="106"/>
        <v>11147.5</v>
      </c>
      <c r="Y183" s="42">
        <f t="shared" si="108"/>
        <v>102.5</v>
      </c>
      <c r="Z183" s="42">
        <f t="shared" si="109"/>
        <v>10506.25</v>
      </c>
      <c r="AA183" s="42">
        <f t="shared" si="107"/>
        <v>102.5</v>
      </c>
      <c r="AB183" s="43"/>
      <c r="AC183" s="42">
        <f t="shared" si="110"/>
        <v>11343.142857142857</v>
      </c>
      <c r="AD183" s="42">
        <f t="shared" si="112"/>
        <v>-93.142857142856883</v>
      </c>
      <c r="AE183" s="42">
        <f t="shared" si="113"/>
        <v>8675.5918367346458</v>
      </c>
      <c r="AF183" s="42">
        <f t="shared" si="111"/>
        <v>93.142857142856883</v>
      </c>
      <c r="AG183" s="43"/>
      <c r="AH183" s="42">
        <f t="shared" si="114"/>
        <v>11350.125</v>
      </c>
      <c r="AI183" s="42">
        <f t="shared" si="117"/>
        <v>-100.125</v>
      </c>
      <c r="AJ183" s="42">
        <f t="shared" si="115"/>
        <v>10025.015625</v>
      </c>
      <c r="AK183" s="42">
        <f t="shared" si="116"/>
        <v>100.125</v>
      </c>
      <c r="AL183" s="43"/>
      <c r="AM183" s="42">
        <f t="shared" si="118"/>
        <v>11579.111111111111</v>
      </c>
      <c r="AN183" s="42">
        <f t="shared" si="121"/>
        <v>-329.11111111111131</v>
      </c>
      <c r="AO183" s="42">
        <f t="shared" si="119"/>
        <v>108314.12345679026</v>
      </c>
      <c r="AP183" s="42">
        <f t="shared" si="120"/>
        <v>329.11111111111131</v>
      </c>
      <c r="AQ183" s="43"/>
      <c r="AR183" s="42">
        <f t="shared" si="122"/>
        <v>11520.2</v>
      </c>
      <c r="AS183" s="42">
        <f t="shared" si="123"/>
        <v>-270.20000000000073</v>
      </c>
      <c r="AT183" s="42">
        <f t="shared" si="124"/>
        <v>73008.040000000386</v>
      </c>
      <c r="AU183" s="42">
        <f t="shared" si="133"/>
        <v>270.20000000000073</v>
      </c>
      <c r="AV183" s="43"/>
      <c r="AW183" s="42">
        <f t="shared" si="125"/>
        <v>11250.727272727272</v>
      </c>
      <c r="AX183" s="42">
        <f t="shared" si="128"/>
        <v>-0.72727272727206582</v>
      </c>
      <c r="AY183" s="42">
        <f t="shared" si="126"/>
        <v>0.52892561983374864</v>
      </c>
      <c r="AZ183" s="42">
        <f t="shared" si="127"/>
        <v>0.72727272727206582</v>
      </c>
      <c r="BA183" s="43"/>
      <c r="BB183" s="44">
        <f t="shared" si="134"/>
        <v>11621.333333333334</v>
      </c>
      <c r="BC183" s="42">
        <f t="shared" si="131"/>
        <v>-371.33333333333394</v>
      </c>
      <c r="BD183" s="42">
        <f t="shared" si="129"/>
        <v>137888.4444444449</v>
      </c>
      <c r="BE183" s="42">
        <f t="shared" si="130"/>
        <v>371.33333333333394</v>
      </c>
    </row>
    <row r="184" spans="1:57" ht="18" x14ac:dyDescent="0.2">
      <c r="A184" s="7">
        <v>43831</v>
      </c>
      <c r="B184" s="17">
        <v>7765</v>
      </c>
      <c r="D184" s="42">
        <f t="shared" si="135"/>
        <v>10755</v>
      </c>
      <c r="E184" s="42">
        <f t="shared" si="132"/>
        <v>-2990</v>
      </c>
      <c r="F184" s="42">
        <f t="shared" si="92"/>
        <v>8940100</v>
      </c>
      <c r="G184" s="42">
        <f t="shared" si="93"/>
        <v>2990</v>
      </c>
      <c r="H184" s="43"/>
      <c r="I184" s="42">
        <f t="shared" si="94"/>
        <v>10346.333333333334</v>
      </c>
      <c r="J184" s="42">
        <f t="shared" si="95"/>
        <v>-2581.3333333333339</v>
      </c>
      <c r="K184" s="42">
        <f t="shared" si="96"/>
        <v>6663281.7777777808</v>
      </c>
      <c r="L184" s="42">
        <f t="shared" si="97"/>
        <v>2581.3333333333339</v>
      </c>
      <c r="M184" s="43"/>
      <c r="N184" s="42">
        <f t="shared" si="98"/>
        <v>10075.25</v>
      </c>
      <c r="O184" s="42">
        <f t="shared" si="100"/>
        <v>-2310.25</v>
      </c>
      <c r="P184" s="42">
        <f t="shared" si="101"/>
        <v>5337255.0625</v>
      </c>
      <c r="Q184" s="42">
        <f t="shared" si="99"/>
        <v>2310.25</v>
      </c>
      <c r="R184" s="43"/>
      <c r="S184" s="42">
        <f t="shared" si="102"/>
        <v>10936.4</v>
      </c>
      <c r="T184" s="42">
        <f t="shared" si="104"/>
        <v>-3171.3999999999996</v>
      </c>
      <c r="U184" s="42">
        <f t="shared" si="105"/>
        <v>10057777.959999997</v>
      </c>
      <c r="V184" s="42">
        <f t="shared" si="103"/>
        <v>3171.3999999999996</v>
      </c>
      <c r="W184" s="43"/>
      <c r="X184" s="42">
        <f t="shared" si="106"/>
        <v>11092.666666666666</v>
      </c>
      <c r="Y184" s="42">
        <f t="shared" si="108"/>
        <v>-3327.6666666666661</v>
      </c>
      <c r="Z184" s="42">
        <f t="shared" si="109"/>
        <v>11073365.44444444</v>
      </c>
      <c r="AA184" s="42">
        <f t="shared" si="107"/>
        <v>3327.6666666666661</v>
      </c>
      <c r="AB184" s="43"/>
      <c r="AC184" s="42">
        <f t="shared" si="110"/>
        <v>11162.142857142857</v>
      </c>
      <c r="AD184" s="42">
        <f t="shared" si="112"/>
        <v>-3397.1428571428569</v>
      </c>
      <c r="AE184" s="42">
        <f t="shared" si="113"/>
        <v>11540579.591836734</v>
      </c>
      <c r="AF184" s="42">
        <f t="shared" si="111"/>
        <v>3397.1428571428569</v>
      </c>
      <c r="AG184" s="43"/>
      <c r="AH184" s="42">
        <f t="shared" si="114"/>
        <v>11331.5</v>
      </c>
      <c r="AI184" s="42">
        <f t="shared" si="117"/>
        <v>-3566.5</v>
      </c>
      <c r="AJ184" s="42">
        <f t="shared" si="115"/>
        <v>12719922.25</v>
      </c>
      <c r="AK184" s="42">
        <f t="shared" si="116"/>
        <v>3566.5</v>
      </c>
      <c r="AL184" s="43"/>
      <c r="AM184" s="42">
        <f t="shared" si="118"/>
        <v>11339</v>
      </c>
      <c r="AN184" s="42">
        <f t="shared" si="121"/>
        <v>-3574</v>
      </c>
      <c r="AO184" s="42">
        <f t="shared" si="119"/>
        <v>12773476</v>
      </c>
      <c r="AP184" s="42">
        <f t="shared" si="120"/>
        <v>3574</v>
      </c>
      <c r="AQ184" s="43"/>
      <c r="AR184" s="42">
        <f t="shared" si="122"/>
        <v>11546.2</v>
      </c>
      <c r="AS184" s="42">
        <f t="shared" si="123"/>
        <v>-3781.2000000000007</v>
      </c>
      <c r="AT184" s="42">
        <f t="shared" si="124"/>
        <v>14297473.440000005</v>
      </c>
      <c r="AU184" s="42">
        <f t="shared" si="133"/>
        <v>3781.2000000000007</v>
      </c>
      <c r="AV184" s="43"/>
      <c r="AW184" s="42">
        <f t="shared" si="125"/>
        <v>11495.636363636364</v>
      </c>
      <c r="AX184" s="42">
        <f t="shared" si="128"/>
        <v>-3730.636363636364</v>
      </c>
      <c r="AY184" s="42">
        <f t="shared" si="126"/>
        <v>13917647.677685954</v>
      </c>
      <c r="AZ184" s="42">
        <f t="shared" si="127"/>
        <v>3730.636363636364</v>
      </c>
      <c r="BA184" s="43"/>
      <c r="BB184" s="44">
        <f t="shared" si="134"/>
        <v>11250.666666666666</v>
      </c>
      <c r="BC184" s="42">
        <f t="shared" si="131"/>
        <v>-3485.6666666666661</v>
      </c>
      <c r="BD184" s="42">
        <f t="shared" si="129"/>
        <v>12149872.111111106</v>
      </c>
      <c r="BE184" s="42">
        <f t="shared" si="130"/>
        <v>3485.6666666666661</v>
      </c>
    </row>
    <row r="185" spans="1:57" ht="18" x14ac:dyDescent="0.2">
      <c r="A185" s="7">
        <v>43862</v>
      </c>
      <c r="B185" s="17">
        <v>9688</v>
      </c>
      <c r="D185" s="42">
        <f t="shared" si="135"/>
        <v>9507.5</v>
      </c>
      <c r="E185" s="42">
        <f t="shared" si="132"/>
        <v>180.5</v>
      </c>
      <c r="F185" s="42">
        <f t="shared" si="92"/>
        <v>32580.25</v>
      </c>
      <c r="G185" s="42">
        <f t="shared" si="93"/>
        <v>180.5</v>
      </c>
      <c r="H185" s="43"/>
      <c r="I185" s="42">
        <f t="shared" si="94"/>
        <v>9758.3333333333339</v>
      </c>
      <c r="J185" s="42">
        <f t="shared" si="95"/>
        <v>-70.33333333333394</v>
      </c>
      <c r="K185" s="42">
        <f t="shared" si="96"/>
        <v>4946.7777777778629</v>
      </c>
      <c r="L185" s="42">
        <f t="shared" si="97"/>
        <v>70.33333333333394</v>
      </c>
      <c r="M185" s="43"/>
      <c r="N185" s="42">
        <f t="shared" si="98"/>
        <v>9701</v>
      </c>
      <c r="O185" s="42">
        <f t="shared" si="100"/>
        <v>-13</v>
      </c>
      <c r="P185" s="42">
        <f t="shared" si="101"/>
        <v>169</v>
      </c>
      <c r="Q185" s="42">
        <f t="shared" si="99"/>
        <v>13</v>
      </c>
      <c r="R185" s="43"/>
      <c r="S185" s="42">
        <f t="shared" si="102"/>
        <v>9613.2000000000007</v>
      </c>
      <c r="T185" s="42">
        <f t="shared" si="104"/>
        <v>74.799999999999272</v>
      </c>
      <c r="U185" s="42">
        <f t="shared" si="105"/>
        <v>5595.0399999998908</v>
      </c>
      <c r="V185" s="42">
        <f t="shared" si="103"/>
        <v>74.799999999999272</v>
      </c>
      <c r="W185" s="43"/>
      <c r="X185" s="42">
        <f t="shared" si="106"/>
        <v>10407.833333333334</v>
      </c>
      <c r="Y185" s="42">
        <f t="shared" si="108"/>
        <v>-719.83333333333394</v>
      </c>
      <c r="Z185" s="42">
        <f t="shared" si="109"/>
        <v>518160.02777777863</v>
      </c>
      <c r="AA185" s="42">
        <f t="shared" si="107"/>
        <v>719.83333333333394</v>
      </c>
      <c r="AB185" s="43"/>
      <c r="AC185" s="42">
        <f t="shared" si="110"/>
        <v>10617.285714285714</v>
      </c>
      <c r="AD185" s="42">
        <f t="shared" si="112"/>
        <v>-929.28571428571377</v>
      </c>
      <c r="AE185" s="42">
        <f t="shared" si="113"/>
        <v>863571.93877550925</v>
      </c>
      <c r="AF185" s="42">
        <f t="shared" si="111"/>
        <v>929.28571428571377</v>
      </c>
      <c r="AG185" s="43"/>
      <c r="AH185" s="42">
        <f t="shared" si="114"/>
        <v>10737.5</v>
      </c>
      <c r="AI185" s="42">
        <f t="shared" si="117"/>
        <v>-1049.5</v>
      </c>
      <c r="AJ185" s="42">
        <f t="shared" si="115"/>
        <v>1101450.25</v>
      </c>
      <c r="AK185" s="42">
        <f t="shared" si="116"/>
        <v>1049.5</v>
      </c>
      <c r="AL185" s="43"/>
      <c r="AM185" s="42">
        <f t="shared" si="118"/>
        <v>10935.222222222223</v>
      </c>
      <c r="AN185" s="42">
        <f t="shared" si="121"/>
        <v>-1247.2222222222226</v>
      </c>
      <c r="AO185" s="42">
        <f t="shared" si="119"/>
        <v>1555563.2716049394</v>
      </c>
      <c r="AP185" s="42">
        <f t="shared" si="120"/>
        <v>1247.2222222222226</v>
      </c>
      <c r="AQ185" s="43"/>
      <c r="AR185" s="42">
        <f t="shared" si="122"/>
        <v>10981.6</v>
      </c>
      <c r="AS185" s="42">
        <f t="shared" si="123"/>
        <v>-1293.6000000000004</v>
      </c>
      <c r="AT185" s="42">
        <f t="shared" si="124"/>
        <v>1673400.9600000009</v>
      </c>
      <c r="AU185" s="42">
        <f t="shared" si="133"/>
        <v>1293.6000000000004</v>
      </c>
      <c r="AV185" s="43"/>
      <c r="AW185" s="42">
        <f t="shared" si="125"/>
        <v>11202.454545454546</v>
      </c>
      <c r="AX185" s="42">
        <f t="shared" si="128"/>
        <v>-1514.454545454546</v>
      </c>
      <c r="AY185" s="42">
        <f t="shared" si="126"/>
        <v>2293572.5702479356</v>
      </c>
      <c r="AZ185" s="42">
        <f t="shared" si="127"/>
        <v>1514.454545454546</v>
      </c>
      <c r="BA185" s="43"/>
      <c r="BB185" s="44">
        <f t="shared" si="134"/>
        <v>11184.75</v>
      </c>
      <c r="BC185" s="42">
        <f t="shared" si="131"/>
        <v>-1496.75</v>
      </c>
      <c r="BD185" s="42">
        <f t="shared" si="129"/>
        <v>2240260.5625</v>
      </c>
      <c r="BE185" s="42">
        <f t="shared" si="130"/>
        <v>1496.75</v>
      </c>
    </row>
    <row r="186" spans="1:57" ht="18" x14ac:dyDescent="0.2">
      <c r="A186" s="7">
        <v>43891</v>
      </c>
      <c r="B186" s="17">
        <v>6445</v>
      </c>
      <c r="D186" s="42">
        <f t="shared" si="135"/>
        <v>8726.5</v>
      </c>
      <c r="E186" s="42">
        <f t="shared" si="132"/>
        <v>-2281.5</v>
      </c>
      <c r="F186" s="42">
        <f t="shared" si="92"/>
        <v>5205242.25</v>
      </c>
      <c r="G186" s="42">
        <f t="shared" si="93"/>
        <v>2281.5</v>
      </c>
      <c r="H186" s="43"/>
      <c r="I186" s="42">
        <f t="shared" si="94"/>
        <v>9567.6666666666661</v>
      </c>
      <c r="J186" s="42">
        <f t="shared" si="95"/>
        <v>-3122.6666666666661</v>
      </c>
      <c r="K186" s="42">
        <f t="shared" si="96"/>
        <v>9751047.1111111082</v>
      </c>
      <c r="L186" s="42">
        <f t="shared" si="97"/>
        <v>3122.6666666666661</v>
      </c>
      <c r="M186" s="43"/>
      <c r="N186" s="42">
        <f t="shared" si="98"/>
        <v>9740.75</v>
      </c>
      <c r="O186" s="42">
        <f t="shared" si="100"/>
        <v>-3295.75</v>
      </c>
      <c r="P186" s="42">
        <f t="shared" si="101"/>
        <v>10861968.0625</v>
      </c>
      <c r="Q186" s="42">
        <f t="shared" si="99"/>
        <v>3295.75</v>
      </c>
      <c r="R186" s="43"/>
      <c r="S186" s="42">
        <f t="shared" si="102"/>
        <v>9698.4</v>
      </c>
      <c r="T186" s="42">
        <f t="shared" si="104"/>
        <v>-3253.3999999999996</v>
      </c>
      <c r="U186" s="42">
        <f t="shared" si="105"/>
        <v>10584611.559999997</v>
      </c>
      <c r="V186" s="42">
        <f t="shared" si="103"/>
        <v>3253.3999999999996</v>
      </c>
      <c r="W186" s="43"/>
      <c r="X186" s="42">
        <f t="shared" si="106"/>
        <v>9625.6666666666661</v>
      </c>
      <c r="Y186" s="42">
        <f t="shared" si="108"/>
        <v>-3180.6666666666661</v>
      </c>
      <c r="Z186" s="42">
        <f t="shared" si="109"/>
        <v>10116640.44444444</v>
      </c>
      <c r="AA186" s="42">
        <f t="shared" si="107"/>
        <v>3180.6666666666661</v>
      </c>
      <c r="AB186" s="43"/>
      <c r="AC186" s="42">
        <f t="shared" si="110"/>
        <v>10305</v>
      </c>
      <c r="AD186" s="42">
        <f t="shared" si="112"/>
        <v>-3860</v>
      </c>
      <c r="AE186" s="42">
        <f t="shared" si="113"/>
        <v>14899600</v>
      </c>
      <c r="AF186" s="42">
        <f t="shared" si="111"/>
        <v>3860</v>
      </c>
      <c r="AG186" s="43"/>
      <c r="AH186" s="42">
        <f t="shared" si="114"/>
        <v>10501.125</v>
      </c>
      <c r="AI186" s="42">
        <f t="shared" si="117"/>
        <v>-4056.125</v>
      </c>
      <c r="AJ186" s="42">
        <f t="shared" si="115"/>
        <v>16452150.015625</v>
      </c>
      <c r="AK186" s="42">
        <f t="shared" si="116"/>
        <v>4056.125</v>
      </c>
      <c r="AL186" s="43"/>
      <c r="AM186" s="42">
        <f t="shared" si="118"/>
        <v>10620.888888888889</v>
      </c>
      <c r="AN186" s="42">
        <f t="shared" si="121"/>
        <v>-4175.8888888888887</v>
      </c>
      <c r="AO186" s="42">
        <f t="shared" si="119"/>
        <v>17438048.012345679</v>
      </c>
      <c r="AP186" s="42">
        <f t="shared" si="120"/>
        <v>4175.8888888888887</v>
      </c>
      <c r="AQ186" s="43"/>
      <c r="AR186" s="42">
        <f t="shared" si="122"/>
        <v>10810.5</v>
      </c>
      <c r="AS186" s="42">
        <f t="shared" si="123"/>
        <v>-4365.5</v>
      </c>
      <c r="AT186" s="42">
        <f t="shared" si="124"/>
        <v>19057590.25</v>
      </c>
      <c r="AU186" s="42">
        <f t="shared" si="133"/>
        <v>4365.5</v>
      </c>
      <c r="AV186" s="43"/>
      <c r="AW186" s="42">
        <f t="shared" si="125"/>
        <v>10864</v>
      </c>
      <c r="AX186" s="42">
        <f t="shared" si="128"/>
        <v>-4419</v>
      </c>
      <c r="AY186" s="42">
        <f t="shared" si="126"/>
        <v>19527561</v>
      </c>
      <c r="AZ186" s="42">
        <f t="shared" si="127"/>
        <v>4419</v>
      </c>
      <c r="BA186" s="43"/>
      <c r="BB186" s="44">
        <f t="shared" si="134"/>
        <v>11076.25</v>
      </c>
      <c r="BC186" s="42">
        <f t="shared" si="131"/>
        <v>-4631.25</v>
      </c>
      <c r="BD186" s="42">
        <f t="shared" si="129"/>
        <v>21448476.5625</v>
      </c>
      <c r="BE186" s="42">
        <f t="shared" si="130"/>
        <v>4631.25</v>
      </c>
    </row>
    <row r="187" spans="1:57" ht="18" x14ac:dyDescent="0.2">
      <c r="A187" s="7">
        <v>43922</v>
      </c>
      <c r="B187" s="17">
        <v>6562</v>
      </c>
      <c r="D187" s="42">
        <f t="shared" si="135"/>
        <v>8066.5</v>
      </c>
      <c r="E187" s="42">
        <f t="shared" si="132"/>
        <v>-1504.5</v>
      </c>
      <c r="F187" s="42">
        <f t="shared" si="92"/>
        <v>2263520.25</v>
      </c>
      <c r="G187" s="42">
        <f t="shared" si="93"/>
        <v>1504.5</v>
      </c>
      <c r="H187" s="43"/>
      <c r="I187" s="42">
        <f t="shared" si="94"/>
        <v>7966</v>
      </c>
      <c r="J187" s="42">
        <f t="shared" si="95"/>
        <v>-1404</v>
      </c>
      <c r="K187" s="42">
        <f t="shared" si="96"/>
        <v>1971216</v>
      </c>
      <c r="L187" s="42">
        <f t="shared" si="97"/>
        <v>1404</v>
      </c>
      <c r="M187" s="43"/>
      <c r="N187" s="42">
        <f t="shared" si="98"/>
        <v>8787</v>
      </c>
      <c r="O187" s="42">
        <f t="shared" si="100"/>
        <v>-2225</v>
      </c>
      <c r="P187" s="42">
        <f t="shared" si="101"/>
        <v>4950625</v>
      </c>
      <c r="Q187" s="42">
        <f t="shared" si="99"/>
        <v>2225</v>
      </c>
      <c r="R187" s="43"/>
      <c r="S187" s="42">
        <f t="shared" si="102"/>
        <v>9081.6</v>
      </c>
      <c r="T187" s="42">
        <f t="shared" si="104"/>
        <v>-2519.6000000000004</v>
      </c>
      <c r="U187" s="42">
        <f t="shared" si="105"/>
        <v>6348384.160000002</v>
      </c>
      <c r="V187" s="42">
        <f t="shared" si="103"/>
        <v>2519.6000000000004</v>
      </c>
      <c r="W187" s="43"/>
      <c r="X187" s="42">
        <f t="shared" si="106"/>
        <v>9156.1666666666661</v>
      </c>
      <c r="Y187" s="42">
        <f t="shared" si="108"/>
        <v>-2594.1666666666661</v>
      </c>
      <c r="Z187" s="42">
        <f t="shared" si="109"/>
        <v>6729700.6944444412</v>
      </c>
      <c r="AA187" s="42">
        <f t="shared" si="107"/>
        <v>2594.1666666666661</v>
      </c>
      <c r="AB187" s="43"/>
      <c r="AC187" s="42">
        <f t="shared" si="110"/>
        <v>9171.2857142857138</v>
      </c>
      <c r="AD187" s="42">
        <f t="shared" si="112"/>
        <v>-2609.2857142857138</v>
      </c>
      <c r="AE187" s="42">
        <f t="shared" si="113"/>
        <v>6808371.9387755077</v>
      </c>
      <c r="AF187" s="42">
        <f t="shared" si="111"/>
        <v>2609.2857142857138</v>
      </c>
      <c r="AG187" s="43"/>
      <c r="AH187" s="42">
        <f t="shared" si="114"/>
        <v>9822.5</v>
      </c>
      <c r="AI187" s="42">
        <f t="shared" si="117"/>
        <v>-3260.5</v>
      </c>
      <c r="AJ187" s="42">
        <f t="shared" si="115"/>
        <v>10630860.25</v>
      </c>
      <c r="AK187" s="42">
        <f t="shared" si="116"/>
        <v>3260.5</v>
      </c>
      <c r="AL187" s="43"/>
      <c r="AM187" s="42">
        <f t="shared" si="118"/>
        <v>10050.444444444445</v>
      </c>
      <c r="AN187" s="42">
        <f t="shared" si="121"/>
        <v>-3488.4444444444453</v>
      </c>
      <c r="AO187" s="42">
        <f t="shared" si="119"/>
        <v>12169244.641975313</v>
      </c>
      <c r="AP187" s="42">
        <f t="shared" si="120"/>
        <v>3488.4444444444453</v>
      </c>
      <c r="AQ187" s="43"/>
      <c r="AR187" s="42">
        <f t="shared" si="122"/>
        <v>10203.299999999999</v>
      </c>
      <c r="AS187" s="42">
        <f t="shared" si="123"/>
        <v>-3641.2999999999993</v>
      </c>
      <c r="AT187" s="42">
        <f t="shared" si="124"/>
        <v>13259065.689999994</v>
      </c>
      <c r="AU187" s="42">
        <f t="shared" si="133"/>
        <v>3641.2999999999993</v>
      </c>
      <c r="AV187" s="43"/>
      <c r="AW187" s="42">
        <f t="shared" si="125"/>
        <v>10413.636363636364</v>
      </c>
      <c r="AX187" s="42">
        <f t="shared" si="128"/>
        <v>-3851.636363636364</v>
      </c>
      <c r="AY187" s="42">
        <f t="shared" si="126"/>
        <v>14835102.677685954</v>
      </c>
      <c r="AZ187" s="42">
        <f t="shared" si="127"/>
        <v>3851.636363636364</v>
      </c>
      <c r="BA187" s="43"/>
      <c r="BB187" s="44">
        <f t="shared" si="134"/>
        <v>10495.75</v>
      </c>
      <c r="BC187" s="42">
        <f t="shared" si="131"/>
        <v>-3933.75</v>
      </c>
      <c r="BD187" s="42">
        <f t="shared" si="129"/>
        <v>15474389.0625</v>
      </c>
      <c r="BE187" s="42">
        <f t="shared" si="130"/>
        <v>3933.75</v>
      </c>
    </row>
    <row r="188" spans="1:57" ht="18" x14ac:dyDescent="0.2">
      <c r="A188" s="7">
        <v>43952</v>
      </c>
      <c r="B188" s="17">
        <v>12227</v>
      </c>
      <c r="D188" s="42">
        <f t="shared" si="135"/>
        <v>6503.5</v>
      </c>
      <c r="E188" s="42">
        <f t="shared" si="132"/>
        <v>5723.5</v>
      </c>
      <c r="F188" s="42">
        <f t="shared" si="92"/>
        <v>32758452.25</v>
      </c>
      <c r="G188" s="42">
        <f t="shared" si="93"/>
        <v>5723.5</v>
      </c>
      <c r="H188" s="43"/>
      <c r="I188" s="42">
        <f t="shared" si="94"/>
        <v>7565</v>
      </c>
      <c r="J188" s="42">
        <f t="shared" si="95"/>
        <v>4662</v>
      </c>
      <c r="K188" s="42">
        <f t="shared" si="96"/>
        <v>21734244</v>
      </c>
      <c r="L188" s="42">
        <f t="shared" si="97"/>
        <v>4662</v>
      </c>
      <c r="M188" s="43"/>
      <c r="N188" s="42">
        <f t="shared" si="98"/>
        <v>7615</v>
      </c>
      <c r="O188" s="42">
        <f t="shared" si="100"/>
        <v>4612</v>
      </c>
      <c r="P188" s="42">
        <f t="shared" si="101"/>
        <v>21270544</v>
      </c>
      <c r="Q188" s="42">
        <f t="shared" si="99"/>
        <v>4612</v>
      </c>
      <c r="R188" s="43"/>
      <c r="S188" s="42">
        <f t="shared" si="102"/>
        <v>8342</v>
      </c>
      <c r="T188" s="42">
        <f t="shared" si="104"/>
        <v>3885</v>
      </c>
      <c r="U188" s="42">
        <f t="shared" si="105"/>
        <v>15093225</v>
      </c>
      <c r="V188" s="42">
        <f t="shared" si="103"/>
        <v>3885</v>
      </c>
      <c r="W188" s="43"/>
      <c r="X188" s="42">
        <f t="shared" si="106"/>
        <v>8661.6666666666661</v>
      </c>
      <c r="Y188" s="42">
        <f t="shared" si="108"/>
        <v>3565.3333333333339</v>
      </c>
      <c r="Z188" s="42">
        <f t="shared" si="109"/>
        <v>12711601.777777782</v>
      </c>
      <c r="AA188" s="42">
        <f t="shared" si="107"/>
        <v>3565.3333333333339</v>
      </c>
      <c r="AB188" s="43"/>
      <c r="AC188" s="42">
        <f t="shared" si="110"/>
        <v>8785.5714285714294</v>
      </c>
      <c r="AD188" s="42">
        <f t="shared" si="112"/>
        <v>3441.4285714285706</v>
      </c>
      <c r="AE188" s="42">
        <f t="shared" si="113"/>
        <v>11843430.612244893</v>
      </c>
      <c r="AF188" s="42">
        <f t="shared" si="111"/>
        <v>3441.4285714285706</v>
      </c>
      <c r="AG188" s="43"/>
      <c r="AH188" s="42">
        <f t="shared" si="114"/>
        <v>8845.125</v>
      </c>
      <c r="AI188" s="42">
        <f t="shared" si="117"/>
        <v>3381.875</v>
      </c>
      <c r="AJ188" s="42">
        <f t="shared" si="115"/>
        <v>11437078.515625</v>
      </c>
      <c r="AK188" s="42">
        <f t="shared" si="116"/>
        <v>3381.875</v>
      </c>
      <c r="AL188" s="43"/>
      <c r="AM188" s="42">
        <f t="shared" si="118"/>
        <v>9460.2222222222226</v>
      </c>
      <c r="AN188" s="42">
        <f t="shared" si="121"/>
        <v>2766.7777777777774</v>
      </c>
      <c r="AO188" s="42">
        <f t="shared" si="119"/>
        <v>7655059.2716049356</v>
      </c>
      <c r="AP188" s="42">
        <f t="shared" si="120"/>
        <v>2766.7777777777774</v>
      </c>
      <c r="AQ188" s="43"/>
      <c r="AR188" s="42">
        <f t="shared" si="122"/>
        <v>9701.6</v>
      </c>
      <c r="AS188" s="42">
        <f t="shared" si="123"/>
        <v>2525.3999999999996</v>
      </c>
      <c r="AT188" s="42">
        <f t="shared" si="124"/>
        <v>6377645.1599999983</v>
      </c>
      <c r="AU188" s="42">
        <f t="shared" si="133"/>
        <v>2525.3999999999996</v>
      </c>
      <c r="AV188" s="43"/>
      <c r="AW188" s="42">
        <f t="shared" si="125"/>
        <v>9872.2727272727279</v>
      </c>
      <c r="AX188" s="42">
        <f t="shared" si="128"/>
        <v>2354.7272727272721</v>
      </c>
      <c r="AY188" s="42">
        <f t="shared" si="126"/>
        <v>5544740.5289256163</v>
      </c>
      <c r="AZ188" s="42">
        <f t="shared" si="127"/>
        <v>2354.7272727272721</v>
      </c>
      <c r="BA188" s="43"/>
      <c r="BB188" s="44">
        <f t="shared" si="134"/>
        <v>10092.666666666666</v>
      </c>
      <c r="BC188" s="42">
        <f t="shared" si="131"/>
        <v>2134.3333333333339</v>
      </c>
      <c r="BD188" s="42">
        <f t="shared" si="129"/>
        <v>4555378.7777777808</v>
      </c>
      <c r="BE188" s="42">
        <f t="shared" si="130"/>
        <v>2134.3333333333339</v>
      </c>
    </row>
    <row r="189" spans="1:57" ht="18" x14ac:dyDescent="0.2">
      <c r="A189" s="7">
        <v>43983</v>
      </c>
      <c r="B189" s="17">
        <v>12128</v>
      </c>
      <c r="D189" s="42">
        <f t="shared" si="135"/>
        <v>9394.5</v>
      </c>
      <c r="E189" s="42">
        <f t="shared" si="132"/>
        <v>2733.5</v>
      </c>
      <c r="F189" s="42">
        <f t="shared" si="92"/>
        <v>7472022.25</v>
      </c>
      <c r="G189" s="42">
        <f t="shared" si="93"/>
        <v>2733.5</v>
      </c>
      <c r="H189" s="43"/>
      <c r="I189" s="42">
        <f t="shared" si="94"/>
        <v>8411.3333333333339</v>
      </c>
      <c r="J189" s="42">
        <f t="shared" si="95"/>
        <v>3716.6666666666661</v>
      </c>
      <c r="K189" s="42">
        <f t="shared" si="96"/>
        <v>13813611.111111106</v>
      </c>
      <c r="L189" s="42">
        <f t="shared" si="97"/>
        <v>3716.6666666666661</v>
      </c>
      <c r="M189" s="43"/>
      <c r="N189" s="42">
        <f t="shared" si="98"/>
        <v>8730.5</v>
      </c>
      <c r="O189" s="42">
        <f t="shared" si="100"/>
        <v>3397.5</v>
      </c>
      <c r="P189" s="42">
        <f t="shared" si="101"/>
        <v>11543006.25</v>
      </c>
      <c r="Q189" s="42">
        <f t="shared" si="99"/>
        <v>3397.5</v>
      </c>
      <c r="R189" s="43"/>
      <c r="S189" s="42">
        <f t="shared" si="102"/>
        <v>8537.4</v>
      </c>
      <c r="T189" s="42">
        <f t="shared" si="104"/>
        <v>3590.6000000000004</v>
      </c>
      <c r="U189" s="42">
        <f t="shared" si="105"/>
        <v>12892408.360000003</v>
      </c>
      <c r="V189" s="42">
        <f t="shared" si="103"/>
        <v>3590.6000000000004</v>
      </c>
      <c r="W189" s="43"/>
      <c r="X189" s="42">
        <f t="shared" si="106"/>
        <v>8989.5</v>
      </c>
      <c r="Y189" s="42">
        <f t="shared" si="108"/>
        <v>3138.5</v>
      </c>
      <c r="Z189" s="42">
        <f t="shared" si="109"/>
        <v>9850182.25</v>
      </c>
      <c r="AA189" s="42">
        <f t="shared" si="107"/>
        <v>3138.5</v>
      </c>
      <c r="AB189" s="43"/>
      <c r="AC189" s="42">
        <f t="shared" si="110"/>
        <v>9171</v>
      </c>
      <c r="AD189" s="42">
        <f t="shared" si="112"/>
        <v>2957</v>
      </c>
      <c r="AE189" s="42">
        <f t="shared" si="113"/>
        <v>8743849</v>
      </c>
      <c r="AF189" s="42">
        <f t="shared" si="111"/>
        <v>2957</v>
      </c>
      <c r="AG189" s="43"/>
      <c r="AH189" s="42">
        <f t="shared" si="114"/>
        <v>9215.75</v>
      </c>
      <c r="AI189" s="42">
        <f t="shared" si="117"/>
        <v>2912.25</v>
      </c>
      <c r="AJ189" s="42">
        <f t="shared" si="115"/>
        <v>8481200.0625</v>
      </c>
      <c r="AK189" s="42">
        <f t="shared" si="116"/>
        <v>2912.25</v>
      </c>
      <c r="AL189" s="43"/>
      <c r="AM189" s="42">
        <f t="shared" si="118"/>
        <v>9220.8888888888887</v>
      </c>
      <c r="AN189" s="42">
        <f t="shared" si="121"/>
        <v>2907.1111111111113</v>
      </c>
      <c r="AO189" s="42">
        <f t="shared" si="119"/>
        <v>8451295.012345681</v>
      </c>
      <c r="AP189" s="42">
        <f t="shared" si="120"/>
        <v>2907.1111111111113</v>
      </c>
      <c r="AQ189" s="43"/>
      <c r="AR189" s="42">
        <f t="shared" si="122"/>
        <v>9736.9</v>
      </c>
      <c r="AS189" s="42">
        <f t="shared" si="123"/>
        <v>2391.1000000000004</v>
      </c>
      <c r="AT189" s="42">
        <f t="shared" si="124"/>
        <v>5717359.2100000018</v>
      </c>
      <c r="AU189" s="42">
        <f t="shared" si="133"/>
        <v>2391.1000000000004</v>
      </c>
      <c r="AV189" s="43"/>
      <c r="AW189" s="42">
        <f t="shared" si="125"/>
        <v>9931.181818181818</v>
      </c>
      <c r="AX189" s="42">
        <f t="shared" si="128"/>
        <v>2196.818181818182</v>
      </c>
      <c r="AY189" s="42">
        <f t="shared" si="126"/>
        <v>4826010.1239669425</v>
      </c>
      <c r="AZ189" s="42">
        <f t="shared" si="127"/>
        <v>2196.818181818182</v>
      </c>
      <c r="BA189" s="43"/>
      <c r="BB189" s="44">
        <f t="shared" si="134"/>
        <v>10068.5</v>
      </c>
      <c r="BC189" s="42">
        <f t="shared" si="131"/>
        <v>2059.5</v>
      </c>
      <c r="BD189" s="42">
        <f t="shared" si="129"/>
        <v>4241540.25</v>
      </c>
      <c r="BE189" s="42">
        <f t="shared" si="130"/>
        <v>2059.5</v>
      </c>
    </row>
    <row r="190" spans="1:57" ht="18" x14ac:dyDescent="0.2">
      <c r="A190" s="7">
        <v>44013</v>
      </c>
      <c r="B190" s="17">
        <v>12036</v>
      </c>
      <c r="D190" s="42">
        <f t="shared" si="135"/>
        <v>12177.5</v>
      </c>
      <c r="E190" s="42">
        <f t="shared" si="132"/>
        <v>-141.5</v>
      </c>
      <c r="F190" s="42">
        <f t="shared" si="92"/>
        <v>20022.25</v>
      </c>
      <c r="G190" s="42">
        <f t="shared" si="93"/>
        <v>141.5</v>
      </c>
      <c r="H190" s="43"/>
      <c r="I190" s="42">
        <f t="shared" si="94"/>
        <v>10305.666666666666</v>
      </c>
      <c r="J190" s="42">
        <f t="shared" si="95"/>
        <v>1730.3333333333339</v>
      </c>
      <c r="K190" s="42">
        <f t="shared" si="96"/>
        <v>2994053.4444444464</v>
      </c>
      <c r="L190" s="42">
        <f t="shared" si="97"/>
        <v>1730.3333333333339</v>
      </c>
      <c r="M190" s="43"/>
      <c r="N190" s="42">
        <f t="shared" si="98"/>
        <v>9340.5</v>
      </c>
      <c r="O190" s="42">
        <f t="shared" si="100"/>
        <v>2695.5</v>
      </c>
      <c r="P190" s="42">
        <f t="shared" si="101"/>
        <v>7265720.25</v>
      </c>
      <c r="Q190" s="42">
        <f t="shared" si="99"/>
        <v>2695.5</v>
      </c>
      <c r="R190" s="43"/>
      <c r="S190" s="42">
        <f t="shared" si="102"/>
        <v>9410</v>
      </c>
      <c r="T190" s="42">
        <f t="shared" si="104"/>
        <v>2626</v>
      </c>
      <c r="U190" s="42">
        <f t="shared" si="105"/>
        <v>6895876</v>
      </c>
      <c r="V190" s="42">
        <f t="shared" si="103"/>
        <v>2626</v>
      </c>
      <c r="W190" s="43"/>
      <c r="X190" s="42">
        <f t="shared" si="106"/>
        <v>9135.8333333333339</v>
      </c>
      <c r="Y190" s="42">
        <f t="shared" si="108"/>
        <v>2900.1666666666661</v>
      </c>
      <c r="Z190" s="42">
        <f t="shared" si="109"/>
        <v>8410966.6944444403</v>
      </c>
      <c r="AA190" s="42">
        <f t="shared" si="107"/>
        <v>2900.1666666666661</v>
      </c>
      <c r="AB190" s="43"/>
      <c r="AC190" s="42">
        <f t="shared" si="110"/>
        <v>9437.8571428571431</v>
      </c>
      <c r="AD190" s="42">
        <f t="shared" si="112"/>
        <v>2598.1428571428569</v>
      </c>
      <c r="AE190" s="42">
        <f t="shared" si="113"/>
        <v>6750346.3061224474</v>
      </c>
      <c r="AF190" s="42">
        <f t="shared" si="111"/>
        <v>2598.1428571428569</v>
      </c>
      <c r="AG190" s="43"/>
      <c r="AH190" s="42">
        <f t="shared" si="114"/>
        <v>9540.625</v>
      </c>
      <c r="AI190" s="42">
        <f t="shared" si="117"/>
        <v>2495.375</v>
      </c>
      <c r="AJ190" s="42">
        <f t="shared" si="115"/>
        <v>6226896.390625</v>
      </c>
      <c r="AK190" s="42">
        <f t="shared" si="116"/>
        <v>2495.375</v>
      </c>
      <c r="AL190" s="43"/>
      <c r="AM190" s="42">
        <f t="shared" si="118"/>
        <v>9539.3333333333339</v>
      </c>
      <c r="AN190" s="42">
        <f t="shared" si="121"/>
        <v>2496.6666666666661</v>
      </c>
      <c r="AO190" s="42">
        <f t="shared" si="119"/>
        <v>6233344.4444444412</v>
      </c>
      <c r="AP190" s="42">
        <f t="shared" si="120"/>
        <v>2496.6666666666661</v>
      </c>
      <c r="AQ190" s="43"/>
      <c r="AR190" s="42">
        <f t="shared" si="122"/>
        <v>9511.6</v>
      </c>
      <c r="AS190" s="42">
        <f t="shared" si="123"/>
        <v>2524.3999999999996</v>
      </c>
      <c r="AT190" s="42">
        <f t="shared" si="124"/>
        <v>6372595.3599999985</v>
      </c>
      <c r="AU190" s="42">
        <f t="shared" si="133"/>
        <v>2524.3999999999996</v>
      </c>
      <c r="AV190" s="43"/>
      <c r="AW190" s="42">
        <f t="shared" si="125"/>
        <v>9954.2727272727279</v>
      </c>
      <c r="AX190" s="42">
        <f t="shared" si="128"/>
        <v>2081.7272727272721</v>
      </c>
      <c r="AY190" s="42">
        <f t="shared" si="126"/>
        <v>4333588.4380165264</v>
      </c>
      <c r="AZ190" s="42">
        <f t="shared" si="127"/>
        <v>2081.7272727272721</v>
      </c>
      <c r="BA190" s="43"/>
      <c r="BB190" s="44">
        <f t="shared" si="134"/>
        <v>10114.25</v>
      </c>
      <c r="BC190" s="42">
        <f t="shared" si="131"/>
        <v>1921.75</v>
      </c>
      <c r="BD190" s="42">
        <f t="shared" si="129"/>
        <v>3693123.0625</v>
      </c>
      <c r="BE190" s="42">
        <f t="shared" si="130"/>
        <v>1921.75</v>
      </c>
    </row>
    <row r="191" spans="1:57" ht="18" x14ac:dyDescent="0.2">
      <c r="A191" s="7">
        <v>44044</v>
      </c>
      <c r="B191" s="17">
        <v>12508</v>
      </c>
      <c r="D191" s="42">
        <f t="shared" si="135"/>
        <v>12082</v>
      </c>
      <c r="E191" s="42">
        <f t="shared" si="132"/>
        <v>426</v>
      </c>
      <c r="F191" s="42">
        <f t="shared" si="92"/>
        <v>181476</v>
      </c>
      <c r="G191" s="42">
        <f t="shared" si="93"/>
        <v>426</v>
      </c>
      <c r="H191" s="43"/>
      <c r="I191" s="42">
        <f t="shared" si="94"/>
        <v>12130.333333333334</v>
      </c>
      <c r="J191" s="42">
        <f t="shared" si="95"/>
        <v>377.66666666666606</v>
      </c>
      <c r="K191" s="42">
        <f t="shared" si="96"/>
        <v>142632.11111111066</v>
      </c>
      <c r="L191" s="42">
        <f t="shared" si="97"/>
        <v>377.66666666666606</v>
      </c>
      <c r="M191" s="43"/>
      <c r="N191" s="42">
        <f t="shared" si="98"/>
        <v>10738.25</v>
      </c>
      <c r="O191" s="42">
        <f t="shared" si="100"/>
        <v>1769.75</v>
      </c>
      <c r="P191" s="42">
        <f t="shared" si="101"/>
        <v>3132015.0625</v>
      </c>
      <c r="Q191" s="42">
        <f t="shared" si="99"/>
        <v>1769.75</v>
      </c>
      <c r="R191" s="43"/>
      <c r="S191" s="42">
        <f t="shared" si="102"/>
        <v>9879.6</v>
      </c>
      <c r="T191" s="42">
        <f t="shared" si="104"/>
        <v>2628.3999999999996</v>
      </c>
      <c r="U191" s="42">
        <f t="shared" si="105"/>
        <v>6908486.5599999977</v>
      </c>
      <c r="V191" s="42">
        <f t="shared" si="103"/>
        <v>2628.3999999999996</v>
      </c>
      <c r="W191" s="43"/>
      <c r="X191" s="42">
        <f t="shared" si="106"/>
        <v>9847.6666666666661</v>
      </c>
      <c r="Y191" s="42">
        <f t="shared" si="108"/>
        <v>2660.3333333333339</v>
      </c>
      <c r="Z191" s="42">
        <f t="shared" si="109"/>
        <v>7077373.4444444478</v>
      </c>
      <c r="AA191" s="42">
        <f t="shared" si="107"/>
        <v>2660.3333333333339</v>
      </c>
      <c r="AB191" s="43"/>
      <c r="AC191" s="42">
        <f t="shared" si="110"/>
        <v>9550.1428571428569</v>
      </c>
      <c r="AD191" s="42">
        <f t="shared" si="112"/>
        <v>2957.8571428571431</v>
      </c>
      <c r="AE191" s="42">
        <f t="shared" si="113"/>
        <v>8748918.8775510211</v>
      </c>
      <c r="AF191" s="42">
        <f t="shared" si="111"/>
        <v>2957.8571428571431</v>
      </c>
      <c r="AG191" s="43"/>
      <c r="AH191" s="42">
        <f t="shared" si="114"/>
        <v>9762.625</v>
      </c>
      <c r="AI191" s="42">
        <f t="shared" si="117"/>
        <v>2745.375</v>
      </c>
      <c r="AJ191" s="42">
        <f t="shared" si="115"/>
        <v>7537083.890625</v>
      </c>
      <c r="AK191" s="42">
        <f t="shared" si="116"/>
        <v>2745.375</v>
      </c>
      <c r="AL191" s="43"/>
      <c r="AM191" s="42">
        <f t="shared" si="118"/>
        <v>9817.8888888888887</v>
      </c>
      <c r="AN191" s="42">
        <f t="shared" si="121"/>
        <v>2690.1111111111113</v>
      </c>
      <c r="AO191" s="42">
        <f t="shared" si="119"/>
        <v>7236697.790123458</v>
      </c>
      <c r="AP191" s="42">
        <f t="shared" si="120"/>
        <v>2690.1111111111113</v>
      </c>
      <c r="AQ191" s="43"/>
      <c r="AR191" s="42">
        <f t="shared" si="122"/>
        <v>9789</v>
      </c>
      <c r="AS191" s="42">
        <f t="shared" si="123"/>
        <v>2719</v>
      </c>
      <c r="AT191" s="42">
        <f t="shared" si="124"/>
        <v>7392961</v>
      </c>
      <c r="AU191" s="42">
        <f t="shared" si="133"/>
        <v>2719</v>
      </c>
      <c r="AV191" s="43"/>
      <c r="AW191" s="42">
        <f t="shared" si="125"/>
        <v>9741.0909090909099</v>
      </c>
      <c r="AX191" s="42">
        <f t="shared" si="128"/>
        <v>2766.9090909090901</v>
      </c>
      <c r="AY191" s="42">
        <f t="shared" si="126"/>
        <v>7655785.917355367</v>
      </c>
      <c r="AZ191" s="42">
        <f t="shared" si="127"/>
        <v>2766.9090909090901</v>
      </c>
      <c r="BA191" s="43"/>
      <c r="BB191" s="44">
        <f t="shared" si="134"/>
        <v>10127.75</v>
      </c>
      <c r="BC191" s="42">
        <f t="shared" si="131"/>
        <v>2380.25</v>
      </c>
      <c r="BD191" s="42">
        <f t="shared" si="129"/>
        <v>5665590.0625</v>
      </c>
      <c r="BE191" s="42">
        <f t="shared" si="130"/>
        <v>2380.25</v>
      </c>
    </row>
    <row r="192" spans="1:57" ht="18" x14ac:dyDescent="0.2">
      <c r="A192" s="7">
        <v>44075</v>
      </c>
      <c r="B192" s="17">
        <v>10643</v>
      </c>
      <c r="D192" s="42">
        <f t="shared" si="135"/>
        <v>12272</v>
      </c>
      <c r="E192" s="42">
        <f t="shared" si="132"/>
        <v>-1629</v>
      </c>
      <c r="F192" s="42">
        <f t="shared" si="92"/>
        <v>2653641</v>
      </c>
      <c r="G192" s="42">
        <f t="shared" si="93"/>
        <v>1629</v>
      </c>
      <c r="H192" s="43"/>
      <c r="I192" s="42">
        <f t="shared" si="94"/>
        <v>12224</v>
      </c>
      <c r="J192" s="42">
        <f t="shared" si="95"/>
        <v>-1581</v>
      </c>
      <c r="K192" s="42">
        <f t="shared" si="96"/>
        <v>2499561</v>
      </c>
      <c r="L192" s="42">
        <f t="shared" si="97"/>
        <v>1581</v>
      </c>
      <c r="M192" s="43"/>
      <c r="N192" s="42">
        <f t="shared" si="98"/>
        <v>12224.75</v>
      </c>
      <c r="O192" s="42">
        <f t="shared" si="100"/>
        <v>-1581.75</v>
      </c>
      <c r="P192" s="42">
        <f t="shared" si="101"/>
        <v>2501933.0625</v>
      </c>
      <c r="Q192" s="42">
        <f t="shared" si="99"/>
        <v>1581.75</v>
      </c>
      <c r="R192" s="43"/>
      <c r="S192" s="42">
        <f t="shared" si="102"/>
        <v>11092.2</v>
      </c>
      <c r="T192" s="42">
        <f t="shared" si="104"/>
        <v>-449.20000000000073</v>
      </c>
      <c r="U192" s="42">
        <f t="shared" si="105"/>
        <v>201780.64000000065</v>
      </c>
      <c r="V192" s="42">
        <f t="shared" si="103"/>
        <v>449.20000000000073</v>
      </c>
      <c r="W192" s="43"/>
      <c r="X192" s="42">
        <f t="shared" si="106"/>
        <v>10317.666666666666</v>
      </c>
      <c r="Y192" s="42">
        <f t="shared" si="108"/>
        <v>325.33333333333394</v>
      </c>
      <c r="Z192" s="42">
        <f t="shared" si="109"/>
        <v>105841.77777777817</v>
      </c>
      <c r="AA192" s="42">
        <f t="shared" si="107"/>
        <v>325.33333333333394</v>
      </c>
      <c r="AB192" s="43"/>
      <c r="AC192" s="42">
        <f t="shared" si="110"/>
        <v>10227.714285714286</v>
      </c>
      <c r="AD192" s="42">
        <f t="shared" si="112"/>
        <v>415.28571428571377</v>
      </c>
      <c r="AE192" s="42">
        <f t="shared" si="113"/>
        <v>172462.22448979548</v>
      </c>
      <c r="AF192" s="42">
        <f t="shared" si="111"/>
        <v>415.28571428571377</v>
      </c>
      <c r="AG192" s="43"/>
      <c r="AH192" s="42">
        <f t="shared" si="114"/>
        <v>9919.875</v>
      </c>
      <c r="AI192" s="42">
        <f t="shared" si="117"/>
        <v>723.125</v>
      </c>
      <c r="AJ192" s="42">
        <f t="shared" si="115"/>
        <v>522909.765625</v>
      </c>
      <c r="AK192" s="42">
        <f t="shared" si="116"/>
        <v>723.125</v>
      </c>
      <c r="AL192" s="43"/>
      <c r="AM192" s="42">
        <f t="shared" si="118"/>
        <v>10067.666666666666</v>
      </c>
      <c r="AN192" s="42">
        <f t="shared" si="121"/>
        <v>575.33333333333394</v>
      </c>
      <c r="AO192" s="42">
        <f t="shared" si="119"/>
        <v>331008.44444444514</v>
      </c>
      <c r="AP192" s="42">
        <f t="shared" si="120"/>
        <v>575.33333333333394</v>
      </c>
      <c r="AQ192" s="43"/>
      <c r="AR192" s="42">
        <f t="shared" si="122"/>
        <v>10086.9</v>
      </c>
      <c r="AS192" s="42">
        <f t="shared" si="123"/>
        <v>556.10000000000036</v>
      </c>
      <c r="AT192" s="42">
        <f t="shared" si="124"/>
        <v>309247.21000000043</v>
      </c>
      <c r="AU192" s="42">
        <f t="shared" si="133"/>
        <v>556.10000000000036</v>
      </c>
      <c r="AV192" s="43"/>
      <c r="AW192" s="42">
        <f t="shared" si="125"/>
        <v>10036.181818181818</v>
      </c>
      <c r="AX192" s="42">
        <f t="shared" si="128"/>
        <v>606.81818181818198</v>
      </c>
      <c r="AY192" s="42">
        <f t="shared" si="126"/>
        <v>368228.30578512419</v>
      </c>
      <c r="AZ192" s="42">
        <f t="shared" si="127"/>
        <v>606.81818181818198</v>
      </c>
      <c r="BA192" s="43"/>
      <c r="BB192" s="44">
        <f t="shared" si="134"/>
        <v>9971.6666666666661</v>
      </c>
      <c r="BC192" s="42">
        <f t="shared" si="131"/>
        <v>671.33333333333394</v>
      </c>
      <c r="BD192" s="42">
        <f t="shared" si="129"/>
        <v>450688.44444444525</v>
      </c>
      <c r="BE192" s="42">
        <f t="shared" si="130"/>
        <v>671.33333333333394</v>
      </c>
    </row>
    <row r="193" spans="1:57" ht="18" x14ac:dyDescent="0.2">
      <c r="A193" s="7">
        <v>44105</v>
      </c>
      <c r="B193" s="17">
        <v>11631</v>
      </c>
      <c r="D193" s="42">
        <f t="shared" si="135"/>
        <v>11575.5</v>
      </c>
      <c r="E193" s="42">
        <f t="shared" si="132"/>
        <v>55.5</v>
      </c>
      <c r="F193" s="42">
        <f t="shared" si="92"/>
        <v>3080.25</v>
      </c>
      <c r="G193" s="42">
        <f t="shared" si="93"/>
        <v>55.5</v>
      </c>
      <c r="H193" s="43"/>
      <c r="I193" s="42">
        <f t="shared" si="94"/>
        <v>11729</v>
      </c>
      <c r="J193" s="42">
        <f t="shared" si="95"/>
        <v>-98</v>
      </c>
      <c r="K193" s="42">
        <f t="shared" si="96"/>
        <v>9604</v>
      </c>
      <c r="L193" s="42">
        <f t="shared" si="97"/>
        <v>98</v>
      </c>
      <c r="M193" s="43"/>
      <c r="N193" s="42">
        <f t="shared" si="98"/>
        <v>11828.75</v>
      </c>
      <c r="O193" s="42">
        <f t="shared" si="100"/>
        <v>-197.75</v>
      </c>
      <c r="P193" s="42">
        <f t="shared" si="101"/>
        <v>39105.0625</v>
      </c>
      <c r="Q193" s="42">
        <f t="shared" si="99"/>
        <v>197.75</v>
      </c>
      <c r="R193" s="43"/>
      <c r="S193" s="42">
        <f t="shared" si="102"/>
        <v>11908.4</v>
      </c>
      <c r="T193" s="42">
        <f t="shared" si="104"/>
        <v>-277.39999999999964</v>
      </c>
      <c r="U193" s="42">
        <f t="shared" si="105"/>
        <v>76950.759999999791</v>
      </c>
      <c r="V193" s="42">
        <f t="shared" si="103"/>
        <v>277.39999999999964</v>
      </c>
      <c r="W193" s="43"/>
      <c r="X193" s="42">
        <f t="shared" si="106"/>
        <v>11017.333333333334</v>
      </c>
      <c r="Y193" s="42">
        <f t="shared" si="108"/>
        <v>613.66666666666606</v>
      </c>
      <c r="Z193" s="42">
        <f t="shared" si="109"/>
        <v>376586.77777777705</v>
      </c>
      <c r="AA193" s="42">
        <f t="shared" si="107"/>
        <v>613.66666666666606</v>
      </c>
      <c r="AB193" s="43"/>
      <c r="AC193" s="42">
        <f t="shared" si="110"/>
        <v>10364.142857142857</v>
      </c>
      <c r="AD193" s="42">
        <f t="shared" si="112"/>
        <v>1266.8571428571431</v>
      </c>
      <c r="AE193" s="42">
        <f t="shared" si="113"/>
        <v>1604927.020408164</v>
      </c>
      <c r="AF193" s="42">
        <f t="shared" si="111"/>
        <v>1266.8571428571431</v>
      </c>
      <c r="AG193" s="43"/>
      <c r="AH193" s="42">
        <f t="shared" si="114"/>
        <v>10279.625</v>
      </c>
      <c r="AI193" s="42">
        <f t="shared" si="117"/>
        <v>1351.375</v>
      </c>
      <c r="AJ193" s="42">
        <f t="shared" si="115"/>
        <v>1826214.390625</v>
      </c>
      <c r="AK193" s="42">
        <f t="shared" si="116"/>
        <v>1351.375</v>
      </c>
      <c r="AL193" s="43"/>
      <c r="AM193" s="42">
        <f t="shared" si="118"/>
        <v>10000.222222222223</v>
      </c>
      <c r="AN193" s="42">
        <f t="shared" si="121"/>
        <v>1630.7777777777774</v>
      </c>
      <c r="AO193" s="42">
        <f t="shared" si="119"/>
        <v>2659436.160493826</v>
      </c>
      <c r="AP193" s="42">
        <f t="shared" si="120"/>
        <v>1630.7777777777774</v>
      </c>
      <c r="AQ193" s="43"/>
      <c r="AR193" s="42">
        <f t="shared" si="122"/>
        <v>10125.200000000001</v>
      </c>
      <c r="AS193" s="42">
        <f t="shared" si="123"/>
        <v>1505.7999999999993</v>
      </c>
      <c r="AT193" s="42">
        <f t="shared" si="124"/>
        <v>2267433.6399999978</v>
      </c>
      <c r="AU193" s="42">
        <f t="shared" si="133"/>
        <v>1505.7999999999993</v>
      </c>
      <c r="AV193" s="43"/>
      <c r="AW193" s="42">
        <f t="shared" si="125"/>
        <v>10137.454545454546</v>
      </c>
      <c r="AX193" s="42">
        <f t="shared" si="128"/>
        <v>1493.545454545454</v>
      </c>
      <c r="AY193" s="42">
        <f t="shared" si="126"/>
        <v>2230678.0247933869</v>
      </c>
      <c r="AZ193" s="42">
        <f t="shared" si="127"/>
        <v>1493.545454545454</v>
      </c>
      <c r="BA193" s="43"/>
      <c r="BB193" s="44">
        <f t="shared" si="134"/>
        <v>10086.75</v>
      </c>
      <c r="BC193" s="42">
        <f t="shared" si="131"/>
        <v>1544.25</v>
      </c>
      <c r="BD193" s="42">
        <f t="shared" si="129"/>
        <v>2384708.0625</v>
      </c>
      <c r="BE193" s="42">
        <f t="shared" si="130"/>
        <v>1544.25</v>
      </c>
    </row>
    <row r="194" spans="1:57" ht="18" x14ac:dyDescent="0.2">
      <c r="A194" s="7">
        <v>44136</v>
      </c>
      <c r="B194" s="17">
        <v>9126</v>
      </c>
      <c r="D194" s="42">
        <f t="shared" si="135"/>
        <v>11137</v>
      </c>
      <c r="E194" s="42">
        <f t="shared" si="132"/>
        <v>-2011</v>
      </c>
      <c r="F194" s="42">
        <f t="shared" si="92"/>
        <v>4044121</v>
      </c>
      <c r="G194" s="42">
        <f t="shared" si="93"/>
        <v>2011</v>
      </c>
      <c r="H194" s="43"/>
      <c r="I194" s="42">
        <f t="shared" si="94"/>
        <v>11594</v>
      </c>
      <c r="J194" s="42">
        <f t="shared" si="95"/>
        <v>-2468</v>
      </c>
      <c r="K194" s="42">
        <f t="shared" si="96"/>
        <v>6091024</v>
      </c>
      <c r="L194" s="42">
        <f t="shared" si="97"/>
        <v>2468</v>
      </c>
      <c r="M194" s="43"/>
      <c r="N194" s="42">
        <f t="shared" si="98"/>
        <v>11704.5</v>
      </c>
      <c r="O194" s="42">
        <f t="shared" si="100"/>
        <v>-2578.5</v>
      </c>
      <c r="P194" s="42">
        <f t="shared" si="101"/>
        <v>6648662.25</v>
      </c>
      <c r="Q194" s="42">
        <f t="shared" si="99"/>
        <v>2578.5</v>
      </c>
      <c r="R194" s="43"/>
      <c r="S194" s="42">
        <f t="shared" si="102"/>
        <v>11789.2</v>
      </c>
      <c r="T194" s="42">
        <f t="shared" si="104"/>
        <v>-2663.2000000000007</v>
      </c>
      <c r="U194" s="42">
        <f t="shared" si="105"/>
        <v>7092634.2400000039</v>
      </c>
      <c r="V194" s="42">
        <f t="shared" si="103"/>
        <v>2663.2000000000007</v>
      </c>
      <c r="W194" s="43"/>
      <c r="X194" s="42">
        <f t="shared" si="106"/>
        <v>11862.166666666666</v>
      </c>
      <c r="Y194" s="42">
        <f t="shared" si="108"/>
        <v>-2736.1666666666661</v>
      </c>
      <c r="Z194" s="42">
        <f t="shared" si="109"/>
        <v>7486608.0277777743</v>
      </c>
      <c r="AA194" s="42">
        <f t="shared" si="107"/>
        <v>2736.1666666666661</v>
      </c>
      <c r="AB194" s="43"/>
      <c r="AC194" s="42">
        <f t="shared" si="110"/>
        <v>11105</v>
      </c>
      <c r="AD194" s="42">
        <f t="shared" si="112"/>
        <v>-1979</v>
      </c>
      <c r="AE194" s="42">
        <f t="shared" si="113"/>
        <v>3916441</v>
      </c>
      <c r="AF194" s="42">
        <f t="shared" si="111"/>
        <v>1979</v>
      </c>
      <c r="AG194" s="43"/>
      <c r="AH194" s="42">
        <f t="shared" si="114"/>
        <v>10522.5</v>
      </c>
      <c r="AI194" s="42">
        <f t="shared" si="117"/>
        <v>-1396.5</v>
      </c>
      <c r="AJ194" s="42">
        <f t="shared" si="115"/>
        <v>1950212.25</v>
      </c>
      <c r="AK194" s="42">
        <f t="shared" si="116"/>
        <v>1396.5</v>
      </c>
      <c r="AL194" s="43"/>
      <c r="AM194" s="42">
        <f t="shared" si="118"/>
        <v>10429.777777777777</v>
      </c>
      <c r="AN194" s="42">
        <f t="shared" si="121"/>
        <v>-1303.7777777777774</v>
      </c>
      <c r="AO194" s="42">
        <f t="shared" si="119"/>
        <v>1699836.4938271595</v>
      </c>
      <c r="AP194" s="42">
        <f t="shared" si="120"/>
        <v>1303.7777777777774</v>
      </c>
      <c r="AQ194" s="43"/>
      <c r="AR194" s="42">
        <f t="shared" si="122"/>
        <v>10163.299999999999</v>
      </c>
      <c r="AS194" s="42">
        <f t="shared" si="123"/>
        <v>-1037.2999999999993</v>
      </c>
      <c r="AT194" s="42">
        <f t="shared" si="124"/>
        <v>1075991.2899999984</v>
      </c>
      <c r="AU194" s="42">
        <f t="shared" si="133"/>
        <v>1037.2999999999993</v>
      </c>
      <c r="AV194" s="43"/>
      <c r="AW194" s="42">
        <f t="shared" si="125"/>
        <v>10262.09090909091</v>
      </c>
      <c r="AX194" s="42">
        <f t="shared" si="128"/>
        <v>-1136.0909090909099</v>
      </c>
      <c r="AY194" s="42">
        <f t="shared" si="126"/>
        <v>1290702.5537190102</v>
      </c>
      <c r="AZ194" s="42">
        <f t="shared" si="127"/>
        <v>1136.0909090909099</v>
      </c>
      <c r="BA194" s="43"/>
      <c r="BB194" s="44">
        <f t="shared" si="134"/>
        <v>10261.916666666666</v>
      </c>
      <c r="BC194" s="42">
        <f t="shared" si="131"/>
        <v>-1135.9166666666661</v>
      </c>
      <c r="BD194" s="42">
        <f t="shared" si="129"/>
        <v>1290306.6736111098</v>
      </c>
      <c r="BE194" s="42">
        <f t="shared" si="130"/>
        <v>1135.9166666666661</v>
      </c>
    </row>
    <row r="195" spans="1:57" ht="18" x14ac:dyDescent="0.2">
      <c r="A195" s="7">
        <v>44166</v>
      </c>
      <c r="B195" s="17">
        <v>13054</v>
      </c>
      <c r="D195" s="42">
        <f t="shared" si="135"/>
        <v>10378.5</v>
      </c>
      <c r="E195" s="42">
        <f t="shared" si="132"/>
        <v>2675.5</v>
      </c>
      <c r="F195" s="42">
        <f t="shared" si="92"/>
        <v>7158300.25</v>
      </c>
      <c r="G195" s="42">
        <f t="shared" si="93"/>
        <v>2675.5</v>
      </c>
      <c r="H195" s="43"/>
      <c r="I195" s="42">
        <f t="shared" si="94"/>
        <v>10466.666666666666</v>
      </c>
      <c r="J195" s="42">
        <f t="shared" si="95"/>
        <v>2587.3333333333339</v>
      </c>
      <c r="K195" s="42">
        <f t="shared" si="96"/>
        <v>6694293.7777777808</v>
      </c>
      <c r="L195" s="42">
        <f t="shared" si="97"/>
        <v>2587.3333333333339</v>
      </c>
      <c r="M195" s="43"/>
      <c r="N195" s="42">
        <f t="shared" si="98"/>
        <v>10977</v>
      </c>
      <c r="O195" s="42">
        <f t="shared" si="100"/>
        <v>2077</v>
      </c>
      <c r="P195" s="42">
        <f t="shared" si="101"/>
        <v>4313929</v>
      </c>
      <c r="Q195" s="42">
        <f t="shared" si="99"/>
        <v>2077</v>
      </c>
      <c r="R195" s="43"/>
      <c r="S195" s="42">
        <f t="shared" si="102"/>
        <v>11188.8</v>
      </c>
      <c r="T195" s="42">
        <f t="shared" si="104"/>
        <v>1865.2000000000007</v>
      </c>
      <c r="U195" s="42">
        <f t="shared" si="105"/>
        <v>3478971.0400000028</v>
      </c>
      <c r="V195" s="42">
        <f t="shared" si="103"/>
        <v>1865.2000000000007</v>
      </c>
      <c r="W195" s="43"/>
      <c r="X195" s="42">
        <f t="shared" si="106"/>
        <v>11345.333333333334</v>
      </c>
      <c r="Y195" s="42">
        <f t="shared" si="108"/>
        <v>1708.6666666666661</v>
      </c>
      <c r="Z195" s="42">
        <f t="shared" si="109"/>
        <v>2919541.7777777757</v>
      </c>
      <c r="AA195" s="42">
        <f t="shared" si="107"/>
        <v>1708.6666666666661</v>
      </c>
      <c r="AB195" s="43"/>
      <c r="AC195" s="42">
        <f t="shared" si="110"/>
        <v>11471.285714285714</v>
      </c>
      <c r="AD195" s="42">
        <f t="shared" si="112"/>
        <v>1582.7142857142862</v>
      </c>
      <c r="AE195" s="42">
        <f t="shared" si="113"/>
        <v>2504984.5102040833</v>
      </c>
      <c r="AF195" s="42">
        <f t="shared" si="111"/>
        <v>1582.7142857142862</v>
      </c>
      <c r="AG195" s="43"/>
      <c r="AH195" s="42">
        <f t="shared" si="114"/>
        <v>10857.625</v>
      </c>
      <c r="AI195" s="42">
        <f t="shared" si="117"/>
        <v>2196.375</v>
      </c>
      <c r="AJ195" s="42">
        <f t="shared" si="115"/>
        <v>4824063.140625</v>
      </c>
      <c r="AK195" s="42">
        <f t="shared" si="116"/>
        <v>2196.375</v>
      </c>
      <c r="AL195" s="43"/>
      <c r="AM195" s="42">
        <f t="shared" si="118"/>
        <v>10367.333333333334</v>
      </c>
      <c r="AN195" s="42">
        <f t="shared" si="121"/>
        <v>2686.6666666666661</v>
      </c>
      <c r="AO195" s="42">
        <f t="shared" si="119"/>
        <v>7218177.7777777743</v>
      </c>
      <c r="AP195" s="42">
        <f t="shared" si="120"/>
        <v>2686.6666666666661</v>
      </c>
      <c r="AQ195" s="43"/>
      <c r="AR195" s="42">
        <f t="shared" si="122"/>
        <v>10299.4</v>
      </c>
      <c r="AS195" s="42">
        <f t="shared" si="123"/>
        <v>2754.6000000000004</v>
      </c>
      <c r="AT195" s="42">
        <f t="shared" si="124"/>
        <v>7587821.160000002</v>
      </c>
      <c r="AU195" s="42">
        <f t="shared" si="133"/>
        <v>2754.6000000000004</v>
      </c>
      <c r="AV195" s="43"/>
      <c r="AW195" s="42">
        <f t="shared" si="125"/>
        <v>10069</v>
      </c>
      <c r="AX195" s="42">
        <f t="shared" si="128"/>
        <v>2985</v>
      </c>
      <c r="AY195" s="42">
        <f t="shared" si="126"/>
        <v>8910225</v>
      </c>
      <c r="AZ195" s="42">
        <f t="shared" si="127"/>
        <v>2985</v>
      </c>
      <c r="BA195" s="43"/>
      <c r="BB195" s="44">
        <f t="shared" si="134"/>
        <v>10167.416666666666</v>
      </c>
      <c r="BC195" s="42">
        <f t="shared" si="131"/>
        <v>2886.5833333333339</v>
      </c>
      <c r="BD195" s="42">
        <f t="shared" si="129"/>
        <v>8332363.3402777817</v>
      </c>
      <c r="BE195" s="42">
        <f t="shared" si="130"/>
        <v>2886.5833333333339</v>
      </c>
    </row>
    <row r="196" spans="1:57" ht="18" x14ac:dyDescent="0.2">
      <c r="A196" s="7">
        <v>44197</v>
      </c>
      <c r="B196" s="17">
        <v>8602</v>
      </c>
      <c r="D196" s="42">
        <f t="shared" si="135"/>
        <v>11090</v>
      </c>
      <c r="E196" s="42">
        <f t="shared" si="132"/>
        <v>-2488</v>
      </c>
      <c r="F196" s="42">
        <f t="shared" si="92"/>
        <v>6190144</v>
      </c>
      <c r="G196" s="42">
        <f t="shared" si="93"/>
        <v>2488</v>
      </c>
      <c r="H196" s="43"/>
      <c r="I196" s="42">
        <f t="shared" si="94"/>
        <v>11270.333333333334</v>
      </c>
      <c r="J196" s="42">
        <f t="shared" si="95"/>
        <v>-2668.3333333333339</v>
      </c>
      <c r="K196" s="42">
        <f t="shared" si="96"/>
        <v>7120002.7777777808</v>
      </c>
      <c r="L196" s="42">
        <f t="shared" si="97"/>
        <v>2668.3333333333339</v>
      </c>
      <c r="M196" s="43"/>
      <c r="N196" s="42">
        <f t="shared" si="98"/>
        <v>11113.5</v>
      </c>
      <c r="O196" s="42">
        <f t="shared" si="100"/>
        <v>-2511.5</v>
      </c>
      <c r="P196" s="42">
        <f t="shared" si="101"/>
        <v>6307632.25</v>
      </c>
      <c r="Q196" s="42">
        <f t="shared" si="99"/>
        <v>2511.5</v>
      </c>
      <c r="R196" s="43"/>
      <c r="S196" s="42">
        <f t="shared" si="102"/>
        <v>11392.4</v>
      </c>
      <c r="T196" s="42">
        <f t="shared" si="104"/>
        <v>-2790.3999999999996</v>
      </c>
      <c r="U196" s="42">
        <f t="shared" si="105"/>
        <v>7786332.1599999983</v>
      </c>
      <c r="V196" s="42">
        <f t="shared" si="103"/>
        <v>2790.3999999999996</v>
      </c>
      <c r="W196" s="43"/>
      <c r="X196" s="42">
        <f t="shared" si="106"/>
        <v>11499.666666666666</v>
      </c>
      <c r="Y196" s="42">
        <f t="shared" si="108"/>
        <v>-2897.6666666666661</v>
      </c>
      <c r="Z196" s="42">
        <f t="shared" si="109"/>
        <v>8396472.1111111082</v>
      </c>
      <c r="AA196" s="42">
        <f t="shared" si="107"/>
        <v>2897.6666666666661</v>
      </c>
      <c r="AB196" s="43"/>
      <c r="AC196" s="42">
        <f t="shared" si="110"/>
        <v>11589.428571428571</v>
      </c>
      <c r="AD196" s="42">
        <f t="shared" si="112"/>
        <v>-2987.4285714285706</v>
      </c>
      <c r="AE196" s="42">
        <f t="shared" si="113"/>
        <v>8924729.4693877511</v>
      </c>
      <c r="AF196" s="42">
        <f t="shared" si="111"/>
        <v>2987.4285714285706</v>
      </c>
      <c r="AG196" s="43"/>
      <c r="AH196" s="42">
        <f t="shared" si="114"/>
        <v>11669.125</v>
      </c>
      <c r="AI196" s="42">
        <f t="shared" si="117"/>
        <v>-3067.125</v>
      </c>
      <c r="AJ196" s="42">
        <f t="shared" si="115"/>
        <v>9407255.765625</v>
      </c>
      <c r="AK196" s="42">
        <f t="shared" si="116"/>
        <v>3067.125</v>
      </c>
      <c r="AL196" s="43"/>
      <c r="AM196" s="42">
        <f t="shared" si="118"/>
        <v>11101.666666666666</v>
      </c>
      <c r="AN196" s="42">
        <f t="shared" si="121"/>
        <v>-2499.6666666666661</v>
      </c>
      <c r="AO196" s="42">
        <f t="shared" si="119"/>
        <v>6248333.4444444412</v>
      </c>
      <c r="AP196" s="42">
        <f t="shared" si="120"/>
        <v>2499.6666666666661</v>
      </c>
      <c r="AQ196" s="43"/>
      <c r="AR196" s="42">
        <f t="shared" si="122"/>
        <v>10636</v>
      </c>
      <c r="AS196" s="42">
        <f t="shared" si="123"/>
        <v>-2034</v>
      </c>
      <c r="AT196" s="42">
        <f t="shared" si="124"/>
        <v>4137156</v>
      </c>
      <c r="AU196" s="42">
        <f t="shared" si="133"/>
        <v>2034</v>
      </c>
      <c r="AV196" s="43"/>
      <c r="AW196" s="42">
        <f t="shared" si="125"/>
        <v>10549.818181818182</v>
      </c>
      <c r="AX196" s="42">
        <f t="shared" si="128"/>
        <v>-1947.818181818182</v>
      </c>
      <c r="AY196" s="42">
        <f t="shared" si="126"/>
        <v>3793995.6694214884</v>
      </c>
      <c r="AZ196" s="42">
        <f t="shared" si="127"/>
        <v>1947.818181818182</v>
      </c>
      <c r="BA196" s="43"/>
      <c r="BB196" s="44">
        <f t="shared" si="134"/>
        <v>10317.75</v>
      </c>
      <c r="BC196" s="42">
        <f t="shared" si="131"/>
        <v>-1715.75</v>
      </c>
      <c r="BD196" s="42">
        <f t="shared" si="129"/>
        <v>2943798.0625</v>
      </c>
      <c r="BE196" s="42">
        <f t="shared" si="130"/>
        <v>1715.75</v>
      </c>
    </row>
    <row r="197" spans="1:57" ht="18" x14ac:dyDescent="0.2">
      <c r="A197" s="7">
        <v>44228</v>
      </c>
      <c r="B197" s="17">
        <v>10689</v>
      </c>
      <c r="D197" s="42">
        <f t="shared" si="135"/>
        <v>10828</v>
      </c>
      <c r="E197" s="42">
        <f t="shared" si="132"/>
        <v>-139</v>
      </c>
      <c r="F197" s="42">
        <f t="shared" si="92"/>
        <v>19321</v>
      </c>
      <c r="G197" s="42">
        <f t="shared" si="93"/>
        <v>139</v>
      </c>
      <c r="H197" s="43"/>
      <c r="I197" s="42">
        <f t="shared" si="94"/>
        <v>10260.666666666666</v>
      </c>
      <c r="J197" s="42">
        <f t="shared" si="95"/>
        <v>428.33333333333394</v>
      </c>
      <c r="K197" s="42">
        <f t="shared" si="96"/>
        <v>183469.44444444496</v>
      </c>
      <c r="L197" s="42">
        <f t="shared" si="97"/>
        <v>428.33333333333394</v>
      </c>
      <c r="M197" s="43"/>
      <c r="N197" s="42">
        <f t="shared" si="98"/>
        <v>10603.25</v>
      </c>
      <c r="O197" s="42">
        <f t="shared" si="100"/>
        <v>85.75</v>
      </c>
      <c r="P197" s="42">
        <f t="shared" si="101"/>
        <v>7353.0625</v>
      </c>
      <c r="Q197" s="42">
        <f t="shared" si="99"/>
        <v>85.75</v>
      </c>
      <c r="R197" s="43"/>
      <c r="S197" s="42">
        <f t="shared" si="102"/>
        <v>10611.2</v>
      </c>
      <c r="T197" s="42">
        <f t="shared" si="104"/>
        <v>77.799999999999272</v>
      </c>
      <c r="U197" s="42">
        <f t="shared" si="105"/>
        <v>6052.8399999998865</v>
      </c>
      <c r="V197" s="42">
        <f t="shared" si="103"/>
        <v>77.799999999999272</v>
      </c>
      <c r="W197" s="43"/>
      <c r="X197" s="42">
        <f t="shared" si="106"/>
        <v>10927.333333333334</v>
      </c>
      <c r="Y197" s="42">
        <f t="shared" si="108"/>
        <v>-238.33333333333394</v>
      </c>
      <c r="Z197" s="42">
        <f t="shared" si="109"/>
        <v>56802.777777778065</v>
      </c>
      <c r="AA197" s="42">
        <f t="shared" si="107"/>
        <v>238.33333333333394</v>
      </c>
      <c r="AB197" s="43"/>
      <c r="AC197" s="42">
        <f t="shared" si="110"/>
        <v>11085.714285714286</v>
      </c>
      <c r="AD197" s="42">
        <f t="shared" si="112"/>
        <v>-396.71428571428623</v>
      </c>
      <c r="AE197" s="42">
        <f t="shared" si="113"/>
        <v>157382.22448979632</v>
      </c>
      <c r="AF197" s="42">
        <f t="shared" si="111"/>
        <v>396.71428571428623</v>
      </c>
      <c r="AG197" s="43"/>
      <c r="AH197" s="42">
        <f t="shared" si="114"/>
        <v>11216</v>
      </c>
      <c r="AI197" s="42">
        <f t="shared" si="117"/>
        <v>-527</v>
      </c>
      <c r="AJ197" s="42">
        <f t="shared" si="115"/>
        <v>277729</v>
      </c>
      <c r="AK197" s="42">
        <f t="shared" si="116"/>
        <v>527</v>
      </c>
      <c r="AL197" s="43"/>
      <c r="AM197" s="42">
        <f t="shared" si="118"/>
        <v>11328.333333333334</v>
      </c>
      <c r="AN197" s="42">
        <f t="shared" si="121"/>
        <v>-639.33333333333394</v>
      </c>
      <c r="AO197" s="42">
        <f t="shared" si="119"/>
        <v>408747.11111111188</v>
      </c>
      <c r="AP197" s="42">
        <f t="shared" si="120"/>
        <v>639.33333333333394</v>
      </c>
      <c r="AQ197" s="43"/>
      <c r="AR197" s="42">
        <f t="shared" si="122"/>
        <v>10851.7</v>
      </c>
      <c r="AS197" s="42">
        <f t="shared" si="123"/>
        <v>-162.70000000000073</v>
      </c>
      <c r="AT197" s="42">
        <f t="shared" si="124"/>
        <v>26471.290000000237</v>
      </c>
      <c r="AU197" s="42">
        <f t="shared" si="133"/>
        <v>162.70000000000073</v>
      </c>
      <c r="AV197" s="43"/>
      <c r="AW197" s="42">
        <f t="shared" si="125"/>
        <v>10451.09090909091</v>
      </c>
      <c r="AX197" s="42">
        <f t="shared" si="128"/>
        <v>237.90909090909008</v>
      </c>
      <c r="AY197" s="42">
        <f t="shared" si="126"/>
        <v>56600.735537189692</v>
      </c>
      <c r="AZ197" s="42">
        <f t="shared" si="127"/>
        <v>237.90909090909008</v>
      </c>
      <c r="BA197" s="43"/>
      <c r="BB197" s="44">
        <f t="shared" si="134"/>
        <v>10387.5</v>
      </c>
      <c r="BC197" s="42">
        <f t="shared" si="131"/>
        <v>301.5</v>
      </c>
      <c r="BD197" s="42">
        <f t="shared" si="129"/>
        <v>90902.25</v>
      </c>
      <c r="BE197" s="42">
        <f t="shared" si="130"/>
        <v>301.5</v>
      </c>
    </row>
    <row r="198" spans="1:57" ht="18" x14ac:dyDescent="0.2">
      <c r="A198" s="7">
        <v>44256</v>
      </c>
      <c r="B198" s="17">
        <v>12160</v>
      </c>
      <c r="D198" s="42">
        <f t="shared" si="135"/>
        <v>9645.5</v>
      </c>
      <c r="E198" s="42">
        <f t="shared" si="132"/>
        <v>2514.5</v>
      </c>
      <c r="F198" s="42">
        <f t="shared" si="92"/>
        <v>6322710.25</v>
      </c>
      <c r="G198" s="42">
        <f t="shared" si="93"/>
        <v>2514.5</v>
      </c>
      <c r="H198" s="43"/>
      <c r="I198" s="42">
        <f t="shared" si="94"/>
        <v>10781.666666666666</v>
      </c>
      <c r="J198" s="42">
        <f t="shared" si="95"/>
        <v>1378.3333333333339</v>
      </c>
      <c r="K198" s="42">
        <f t="shared" si="96"/>
        <v>1899802.7777777794</v>
      </c>
      <c r="L198" s="42">
        <f t="shared" si="97"/>
        <v>1378.3333333333339</v>
      </c>
      <c r="M198" s="43"/>
      <c r="N198" s="42">
        <f t="shared" si="98"/>
        <v>10367.75</v>
      </c>
      <c r="O198" s="42">
        <f t="shared" si="100"/>
        <v>1792.25</v>
      </c>
      <c r="P198" s="42">
        <f t="shared" si="101"/>
        <v>3212160.0625</v>
      </c>
      <c r="Q198" s="42">
        <f t="shared" si="99"/>
        <v>1792.25</v>
      </c>
      <c r="R198" s="43"/>
      <c r="S198" s="42">
        <f t="shared" si="102"/>
        <v>10620.4</v>
      </c>
      <c r="T198" s="42">
        <f t="shared" si="104"/>
        <v>1539.6000000000004</v>
      </c>
      <c r="U198" s="42">
        <f t="shared" si="105"/>
        <v>2370368.1600000011</v>
      </c>
      <c r="V198" s="42">
        <f t="shared" si="103"/>
        <v>1539.6000000000004</v>
      </c>
      <c r="W198" s="43"/>
      <c r="X198" s="42">
        <f t="shared" si="106"/>
        <v>10624.166666666666</v>
      </c>
      <c r="Y198" s="42">
        <f t="shared" si="108"/>
        <v>1535.8333333333339</v>
      </c>
      <c r="Z198" s="42">
        <f t="shared" si="109"/>
        <v>2358784.0277777798</v>
      </c>
      <c r="AA198" s="42">
        <f t="shared" si="107"/>
        <v>1535.8333333333339</v>
      </c>
      <c r="AB198" s="43"/>
      <c r="AC198" s="42">
        <f t="shared" si="110"/>
        <v>10893.285714285714</v>
      </c>
      <c r="AD198" s="42">
        <f t="shared" si="112"/>
        <v>1266.7142857142862</v>
      </c>
      <c r="AE198" s="42">
        <f t="shared" si="113"/>
        <v>1604565.0816326544</v>
      </c>
      <c r="AF198" s="42">
        <f t="shared" si="111"/>
        <v>1266.7142857142862</v>
      </c>
      <c r="AG198" s="43"/>
      <c r="AH198" s="42">
        <f t="shared" si="114"/>
        <v>11036.125</v>
      </c>
      <c r="AI198" s="42">
        <f t="shared" si="117"/>
        <v>1123.875</v>
      </c>
      <c r="AJ198" s="42">
        <f t="shared" si="115"/>
        <v>1263095.015625</v>
      </c>
      <c r="AK198" s="42">
        <f t="shared" si="116"/>
        <v>1123.875</v>
      </c>
      <c r="AL198" s="43"/>
      <c r="AM198" s="42">
        <f t="shared" si="118"/>
        <v>11157.444444444445</v>
      </c>
      <c r="AN198" s="42">
        <f t="shared" si="121"/>
        <v>1002.5555555555547</v>
      </c>
      <c r="AO198" s="42">
        <f t="shared" si="119"/>
        <v>1005117.641975307</v>
      </c>
      <c r="AP198" s="42">
        <f t="shared" si="120"/>
        <v>1002.5555555555547</v>
      </c>
      <c r="AQ198" s="43"/>
      <c r="AR198" s="42">
        <f t="shared" si="122"/>
        <v>11264.4</v>
      </c>
      <c r="AS198" s="42">
        <f t="shared" si="123"/>
        <v>895.60000000000036</v>
      </c>
      <c r="AT198" s="42">
        <f t="shared" si="124"/>
        <v>802099.36000000068</v>
      </c>
      <c r="AU198" s="42">
        <f t="shared" si="133"/>
        <v>895.60000000000036</v>
      </c>
      <c r="AV198" s="43"/>
      <c r="AW198" s="42">
        <f t="shared" si="125"/>
        <v>10836.90909090909</v>
      </c>
      <c r="AX198" s="42">
        <f t="shared" si="128"/>
        <v>1323.0909090909099</v>
      </c>
      <c r="AY198" s="42">
        <f t="shared" si="126"/>
        <v>1750569.5537190104</v>
      </c>
      <c r="AZ198" s="42">
        <f t="shared" si="127"/>
        <v>1323.0909090909099</v>
      </c>
      <c r="BA198" s="43"/>
      <c r="BB198" s="44">
        <f t="shared" si="134"/>
        <v>10470.916666666666</v>
      </c>
      <c r="BC198" s="42">
        <f t="shared" si="131"/>
        <v>1689.0833333333339</v>
      </c>
      <c r="BD198" s="42">
        <f t="shared" si="129"/>
        <v>2853002.5069444464</v>
      </c>
      <c r="BE198" s="42">
        <f t="shared" si="130"/>
        <v>1689.0833333333339</v>
      </c>
    </row>
    <row r="199" spans="1:57" ht="18" x14ac:dyDescent="0.2">
      <c r="A199" s="7">
        <v>44287</v>
      </c>
      <c r="B199" s="17">
        <v>13915</v>
      </c>
      <c r="D199" s="42">
        <f t="shared" si="135"/>
        <v>11424.5</v>
      </c>
      <c r="E199" s="42">
        <f t="shared" si="132"/>
        <v>2490.5</v>
      </c>
      <c r="F199" s="42">
        <f t="shared" si="92"/>
        <v>6202590.25</v>
      </c>
      <c r="G199" s="42">
        <f t="shared" si="93"/>
        <v>2490.5</v>
      </c>
      <c r="H199" s="43"/>
      <c r="I199" s="42">
        <f t="shared" si="94"/>
        <v>10483.666666666666</v>
      </c>
      <c r="J199" s="42">
        <f t="shared" si="95"/>
        <v>3431.3333333333339</v>
      </c>
      <c r="K199" s="42">
        <f t="shared" si="96"/>
        <v>11774048.444444448</v>
      </c>
      <c r="L199" s="42">
        <f t="shared" si="97"/>
        <v>3431.3333333333339</v>
      </c>
      <c r="M199" s="43"/>
      <c r="N199" s="42">
        <f t="shared" si="98"/>
        <v>11126.25</v>
      </c>
      <c r="O199" s="42">
        <f t="shared" si="100"/>
        <v>2788.75</v>
      </c>
      <c r="P199" s="42">
        <f t="shared" si="101"/>
        <v>7777126.5625</v>
      </c>
      <c r="Q199" s="42">
        <f t="shared" si="99"/>
        <v>2788.75</v>
      </c>
      <c r="R199" s="43"/>
      <c r="S199" s="42">
        <f t="shared" si="102"/>
        <v>10726.2</v>
      </c>
      <c r="T199" s="42">
        <f t="shared" si="104"/>
        <v>3188.7999999999993</v>
      </c>
      <c r="U199" s="42">
        <f t="shared" si="105"/>
        <v>10168445.439999996</v>
      </c>
      <c r="V199" s="42">
        <f t="shared" si="103"/>
        <v>3188.7999999999993</v>
      </c>
      <c r="W199" s="43"/>
      <c r="X199" s="42">
        <f t="shared" si="106"/>
        <v>10877</v>
      </c>
      <c r="Y199" s="42">
        <f t="shared" si="108"/>
        <v>3038</v>
      </c>
      <c r="Z199" s="42">
        <f t="shared" si="109"/>
        <v>9229444</v>
      </c>
      <c r="AA199" s="42">
        <f t="shared" si="107"/>
        <v>3038</v>
      </c>
      <c r="AB199" s="43"/>
      <c r="AC199" s="42">
        <f t="shared" si="110"/>
        <v>10843.571428571429</v>
      </c>
      <c r="AD199" s="42">
        <f t="shared" si="112"/>
        <v>3071.4285714285706</v>
      </c>
      <c r="AE199" s="42">
        <f t="shared" si="113"/>
        <v>9433673.4693877511</v>
      </c>
      <c r="AF199" s="42">
        <f t="shared" si="111"/>
        <v>3071.4285714285706</v>
      </c>
      <c r="AG199" s="43"/>
      <c r="AH199" s="42">
        <f t="shared" si="114"/>
        <v>11051.625</v>
      </c>
      <c r="AI199" s="42">
        <f t="shared" si="117"/>
        <v>2863.375</v>
      </c>
      <c r="AJ199" s="42">
        <f t="shared" si="115"/>
        <v>8198916.390625</v>
      </c>
      <c r="AK199" s="42">
        <f t="shared" si="116"/>
        <v>2863.375</v>
      </c>
      <c r="AL199" s="43"/>
      <c r="AM199" s="42">
        <f t="shared" si="118"/>
        <v>11161</v>
      </c>
      <c r="AN199" s="42">
        <f t="shared" si="121"/>
        <v>2754</v>
      </c>
      <c r="AO199" s="42">
        <f t="shared" si="119"/>
        <v>7584516</v>
      </c>
      <c r="AP199" s="42">
        <f t="shared" si="120"/>
        <v>2754</v>
      </c>
      <c r="AQ199" s="43"/>
      <c r="AR199" s="42">
        <f t="shared" si="122"/>
        <v>11257.7</v>
      </c>
      <c r="AS199" s="42">
        <f t="shared" si="123"/>
        <v>2657.2999999999993</v>
      </c>
      <c r="AT199" s="42">
        <f t="shared" si="124"/>
        <v>7061243.2899999963</v>
      </c>
      <c r="AU199" s="42">
        <f t="shared" si="133"/>
        <v>2657.2999999999993</v>
      </c>
      <c r="AV199" s="43"/>
      <c r="AW199" s="42">
        <f t="shared" si="125"/>
        <v>11345.818181818182</v>
      </c>
      <c r="AX199" s="42">
        <f t="shared" si="128"/>
        <v>2569.181818181818</v>
      </c>
      <c r="AY199" s="42">
        <f t="shared" si="126"/>
        <v>6600695.2148760324</v>
      </c>
      <c r="AZ199" s="42">
        <f t="shared" si="127"/>
        <v>2569.181818181818</v>
      </c>
      <c r="BA199" s="43"/>
      <c r="BB199" s="44">
        <f t="shared" si="134"/>
        <v>10947.166666666666</v>
      </c>
      <c r="BC199" s="42">
        <f t="shared" si="131"/>
        <v>2967.8333333333339</v>
      </c>
      <c r="BD199" s="42">
        <f t="shared" si="129"/>
        <v>8808034.6944444478</v>
      </c>
      <c r="BE199" s="42">
        <f t="shared" si="130"/>
        <v>2967.8333333333339</v>
      </c>
    </row>
    <row r="200" spans="1:57" ht="18" x14ac:dyDescent="0.2">
      <c r="A200" s="7">
        <v>44317</v>
      </c>
      <c r="B200" s="17">
        <v>16480</v>
      </c>
      <c r="D200" s="42">
        <f t="shared" si="135"/>
        <v>13037.5</v>
      </c>
      <c r="E200" s="42">
        <f t="shared" si="132"/>
        <v>3442.5</v>
      </c>
      <c r="F200" s="42">
        <f t="shared" ref="F200:F246" si="136">E200^2</f>
        <v>11850806.25</v>
      </c>
      <c r="G200" s="42">
        <f t="shared" ref="G200:G246" si="137">ABS(E200)</f>
        <v>3442.5</v>
      </c>
      <c r="H200" s="43"/>
      <c r="I200" s="42">
        <f t="shared" ref="I200:I245" si="138">AVERAGE(B197:B199)</f>
        <v>12254.666666666666</v>
      </c>
      <c r="J200" s="42">
        <f t="shared" si="95"/>
        <v>4225.3333333333339</v>
      </c>
      <c r="K200" s="42">
        <f t="shared" si="96"/>
        <v>17853441.777777784</v>
      </c>
      <c r="L200" s="42">
        <f t="shared" si="97"/>
        <v>4225.3333333333339</v>
      </c>
      <c r="M200" s="43"/>
      <c r="N200" s="42">
        <f t="shared" si="98"/>
        <v>11341.5</v>
      </c>
      <c r="O200" s="42">
        <f t="shared" si="100"/>
        <v>5138.5</v>
      </c>
      <c r="P200" s="42">
        <f t="shared" si="101"/>
        <v>26404182.25</v>
      </c>
      <c r="Q200" s="42">
        <f t="shared" si="99"/>
        <v>5138.5</v>
      </c>
      <c r="R200" s="43"/>
      <c r="S200" s="42">
        <f t="shared" si="102"/>
        <v>11684</v>
      </c>
      <c r="T200" s="42">
        <f t="shared" si="104"/>
        <v>4796</v>
      </c>
      <c r="U200" s="42">
        <f t="shared" si="105"/>
        <v>23001616</v>
      </c>
      <c r="V200" s="42">
        <f t="shared" si="103"/>
        <v>4796</v>
      </c>
      <c r="W200" s="43"/>
      <c r="X200" s="42">
        <f t="shared" si="106"/>
        <v>11257.666666666666</v>
      </c>
      <c r="Y200" s="42">
        <f t="shared" si="108"/>
        <v>5222.3333333333339</v>
      </c>
      <c r="Z200" s="42">
        <f t="shared" si="109"/>
        <v>27272765.444444451</v>
      </c>
      <c r="AA200" s="42">
        <f t="shared" si="107"/>
        <v>5222.3333333333339</v>
      </c>
      <c r="AB200" s="43"/>
      <c r="AC200" s="42">
        <f t="shared" si="110"/>
        <v>11311</v>
      </c>
      <c r="AD200" s="42">
        <f t="shared" si="112"/>
        <v>5169</v>
      </c>
      <c r="AE200" s="42">
        <f t="shared" si="113"/>
        <v>26718561</v>
      </c>
      <c r="AF200" s="42">
        <f t="shared" si="111"/>
        <v>5169</v>
      </c>
      <c r="AG200" s="43"/>
      <c r="AH200" s="42">
        <f t="shared" si="114"/>
        <v>11227.5</v>
      </c>
      <c r="AI200" s="42">
        <f t="shared" si="117"/>
        <v>5252.5</v>
      </c>
      <c r="AJ200" s="42">
        <f t="shared" si="115"/>
        <v>27588756.25</v>
      </c>
      <c r="AK200" s="42">
        <f t="shared" si="116"/>
        <v>5252.5</v>
      </c>
      <c r="AL200" s="43"/>
      <c r="AM200" s="42">
        <f t="shared" si="118"/>
        <v>11369.777777777777</v>
      </c>
      <c r="AN200" s="42">
        <f t="shared" si="121"/>
        <v>5110.2222222222226</v>
      </c>
      <c r="AO200" s="42">
        <f t="shared" si="119"/>
        <v>26114371.160493832</v>
      </c>
      <c r="AP200" s="42">
        <f t="shared" si="120"/>
        <v>5110.2222222222226</v>
      </c>
      <c r="AQ200" s="43"/>
      <c r="AR200" s="42">
        <f t="shared" si="122"/>
        <v>11436.4</v>
      </c>
      <c r="AS200" s="42">
        <f t="shared" si="123"/>
        <v>5043.6000000000004</v>
      </c>
      <c r="AT200" s="42">
        <f t="shared" si="124"/>
        <v>25437900.960000005</v>
      </c>
      <c r="AU200" s="42">
        <f t="shared" si="133"/>
        <v>5043.6000000000004</v>
      </c>
      <c r="AV200" s="43"/>
      <c r="AW200" s="42">
        <f t="shared" si="125"/>
        <v>11499.272727272728</v>
      </c>
      <c r="AX200" s="42">
        <f t="shared" si="128"/>
        <v>4980.7272727272721</v>
      </c>
      <c r="AY200" s="42">
        <f t="shared" si="126"/>
        <v>24807644.165289249</v>
      </c>
      <c r="AZ200" s="42">
        <f t="shared" si="127"/>
        <v>4980.7272727272721</v>
      </c>
      <c r="BA200" s="43"/>
      <c r="BB200" s="44">
        <f t="shared" si="134"/>
        <v>11559.916666666666</v>
      </c>
      <c r="BC200" s="42">
        <f t="shared" si="131"/>
        <v>4920.0833333333339</v>
      </c>
      <c r="BD200" s="42">
        <f t="shared" si="129"/>
        <v>24207220.006944451</v>
      </c>
      <c r="BE200" s="42">
        <f t="shared" si="130"/>
        <v>4920.0833333333339</v>
      </c>
    </row>
    <row r="201" spans="1:57" ht="18" x14ac:dyDescent="0.2">
      <c r="A201" s="7">
        <v>44348</v>
      </c>
      <c r="B201" s="17">
        <v>14714</v>
      </c>
      <c r="D201" s="42">
        <f t="shared" si="135"/>
        <v>15197.5</v>
      </c>
      <c r="E201" s="42">
        <f t="shared" si="132"/>
        <v>-483.5</v>
      </c>
      <c r="F201" s="42">
        <f t="shared" si="136"/>
        <v>233772.25</v>
      </c>
      <c r="G201" s="42">
        <f t="shared" si="137"/>
        <v>483.5</v>
      </c>
      <c r="H201" s="43"/>
      <c r="I201" s="42">
        <f t="shared" si="138"/>
        <v>14185</v>
      </c>
      <c r="J201" s="42">
        <f t="shared" ref="J201:J246" si="139">$B201-I201</f>
        <v>529</v>
      </c>
      <c r="K201" s="42">
        <f t="shared" ref="K201:K246" si="140">J201^2</f>
        <v>279841</v>
      </c>
      <c r="L201" s="42">
        <f t="shared" ref="L201:L246" si="141">ABS(J201)</f>
        <v>529</v>
      </c>
      <c r="M201" s="43"/>
      <c r="N201" s="42">
        <f t="shared" ref="N201:N246" si="142">AVERAGE(B197:B200)</f>
        <v>13311</v>
      </c>
      <c r="O201" s="42">
        <f t="shared" si="100"/>
        <v>1403</v>
      </c>
      <c r="P201" s="42">
        <f t="shared" si="101"/>
        <v>1968409</v>
      </c>
      <c r="Q201" s="42">
        <f t="shared" ref="Q201:Q246" si="143">ABS(O201)</f>
        <v>1403</v>
      </c>
      <c r="R201" s="43"/>
      <c r="S201" s="42">
        <f t="shared" si="102"/>
        <v>12369.2</v>
      </c>
      <c r="T201" s="42">
        <f t="shared" si="104"/>
        <v>2344.7999999999993</v>
      </c>
      <c r="U201" s="42">
        <f t="shared" si="105"/>
        <v>5498087.0399999963</v>
      </c>
      <c r="V201" s="42">
        <f t="shared" si="103"/>
        <v>2344.7999999999993</v>
      </c>
      <c r="W201" s="43"/>
      <c r="X201" s="42">
        <f t="shared" si="106"/>
        <v>12483.333333333334</v>
      </c>
      <c r="Y201" s="42">
        <f t="shared" si="108"/>
        <v>2230.6666666666661</v>
      </c>
      <c r="Z201" s="42">
        <f t="shared" si="109"/>
        <v>4975873.7777777752</v>
      </c>
      <c r="AA201" s="42">
        <f t="shared" si="107"/>
        <v>2230.6666666666661</v>
      </c>
      <c r="AB201" s="43"/>
      <c r="AC201" s="42">
        <f t="shared" si="110"/>
        <v>12003.714285714286</v>
      </c>
      <c r="AD201" s="42">
        <f t="shared" si="112"/>
        <v>2710.2857142857138</v>
      </c>
      <c r="AE201" s="42">
        <f t="shared" si="113"/>
        <v>7345648.6530612214</v>
      </c>
      <c r="AF201" s="42">
        <f t="shared" si="111"/>
        <v>2710.2857142857138</v>
      </c>
      <c r="AG201" s="43"/>
      <c r="AH201" s="42">
        <f t="shared" si="114"/>
        <v>11957.125</v>
      </c>
      <c r="AI201" s="42">
        <f t="shared" si="117"/>
        <v>2756.875</v>
      </c>
      <c r="AJ201" s="42">
        <f t="shared" si="115"/>
        <v>7600359.765625</v>
      </c>
      <c r="AK201" s="42">
        <f t="shared" si="116"/>
        <v>2756.875</v>
      </c>
      <c r="AL201" s="43"/>
      <c r="AM201" s="42">
        <f t="shared" si="118"/>
        <v>11811.111111111111</v>
      </c>
      <c r="AN201" s="42">
        <f t="shared" si="121"/>
        <v>2902.8888888888887</v>
      </c>
      <c r="AO201" s="42">
        <f t="shared" si="119"/>
        <v>8426763.9012345672</v>
      </c>
      <c r="AP201" s="42">
        <f t="shared" si="120"/>
        <v>2902.8888888888887</v>
      </c>
      <c r="AQ201" s="43"/>
      <c r="AR201" s="42">
        <f t="shared" si="122"/>
        <v>11880.8</v>
      </c>
      <c r="AS201" s="42">
        <f t="shared" si="123"/>
        <v>2833.2000000000007</v>
      </c>
      <c r="AT201" s="42">
        <f t="shared" si="124"/>
        <v>8027022.2400000039</v>
      </c>
      <c r="AU201" s="42">
        <f t="shared" si="133"/>
        <v>2833.2000000000007</v>
      </c>
      <c r="AV201" s="43"/>
      <c r="AW201" s="42">
        <f t="shared" si="125"/>
        <v>11894.90909090909</v>
      </c>
      <c r="AX201" s="42">
        <f t="shared" si="128"/>
        <v>2819.0909090909099</v>
      </c>
      <c r="AY201" s="42">
        <f t="shared" si="126"/>
        <v>7947273.553719013</v>
      </c>
      <c r="AZ201" s="42">
        <f t="shared" si="127"/>
        <v>2819.0909090909099</v>
      </c>
      <c r="BA201" s="43"/>
      <c r="BB201" s="44">
        <f t="shared" si="134"/>
        <v>11914.333333333334</v>
      </c>
      <c r="BC201" s="42">
        <f t="shared" si="131"/>
        <v>2799.6666666666661</v>
      </c>
      <c r="BD201" s="42">
        <f t="shared" si="129"/>
        <v>7838133.4444444412</v>
      </c>
      <c r="BE201" s="42">
        <f t="shared" si="130"/>
        <v>2799.6666666666661</v>
      </c>
    </row>
    <row r="202" spans="1:57" ht="18" x14ac:dyDescent="0.2">
      <c r="A202" s="7">
        <v>44378</v>
      </c>
      <c r="B202" s="17">
        <v>14506</v>
      </c>
      <c r="D202" s="42">
        <f t="shared" si="135"/>
        <v>15597</v>
      </c>
      <c r="E202" s="42">
        <f t="shared" si="132"/>
        <v>-1091</v>
      </c>
      <c r="F202" s="42">
        <f t="shared" si="136"/>
        <v>1190281</v>
      </c>
      <c r="G202" s="42">
        <f t="shared" si="137"/>
        <v>1091</v>
      </c>
      <c r="H202" s="43"/>
      <c r="I202" s="42">
        <f t="shared" si="138"/>
        <v>15036.333333333334</v>
      </c>
      <c r="J202" s="42">
        <f t="shared" si="139"/>
        <v>-530.33333333333394</v>
      </c>
      <c r="K202" s="42">
        <f t="shared" si="140"/>
        <v>281253.44444444508</v>
      </c>
      <c r="L202" s="42">
        <f t="shared" si="141"/>
        <v>530.33333333333394</v>
      </c>
      <c r="M202" s="43"/>
      <c r="N202" s="42">
        <f t="shared" si="142"/>
        <v>14317.25</v>
      </c>
      <c r="O202" s="42">
        <f t="shared" ref="O202:O246" si="144">$B202-N202</f>
        <v>188.75</v>
      </c>
      <c r="P202" s="42">
        <f t="shared" ref="P202:P246" si="145">O202^2</f>
        <v>35626.5625</v>
      </c>
      <c r="Q202" s="42">
        <f t="shared" si="143"/>
        <v>188.75</v>
      </c>
      <c r="R202" s="43"/>
      <c r="S202" s="42">
        <f t="shared" ref="S202:S246" si="146">AVERAGE(B197:B201)</f>
        <v>13591.6</v>
      </c>
      <c r="T202" s="42">
        <f t="shared" si="104"/>
        <v>914.39999999999964</v>
      </c>
      <c r="U202" s="42">
        <f t="shared" si="105"/>
        <v>836127.35999999929</v>
      </c>
      <c r="V202" s="42">
        <f t="shared" ref="V202:V246" si="147">ABS(T202)</f>
        <v>914.39999999999964</v>
      </c>
      <c r="W202" s="43"/>
      <c r="X202" s="42">
        <f t="shared" si="106"/>
        <v>12760</v>
      </c>
      <c r="Y202" s="42">
        <f t="shared" si="108"/>
        <v>1746</v>
      </c>
      <c r="Z202" s="42">
        <f t="shared" si="109"/>
        <v>3048516</v>
      </c>
      <c r="AA202" s="42">
        <f t="shared" si="107"/>
        <v>1746</v>
      </c>
      <c r="AB202" s="43"/>
      <c r="AC202" s="42">
        <f t="shared" si="110"/>
        <v>12802</v>
      </c>
      <c r="AD202" s="42">
        <f t="shared" si="112"/>
        <v>1704</v>
      </c>
      <c r="AE202" s="42">
        <f t="shared" si="113"/>
        <v>2903616</v>
      </c>
      <c r="AF202" s="42">
        <f t="shared" si="111"/>
        <v>1704</v>
      </c>
      <c r="AG202" s="43"/>
      <c r="AH202" s="42">
        <f t="shared" si="114"/>
        <v>12342.5</v>
      </c>
      <c r="AI202" s="42">
        <f t="shared" si="117"/>
        <v>2163.5</v>
      </c>
      <c r="AJ202" s="42">
        <f t="shared" si="115"/>
        <v>4680732.25</v>
      </c>
      <c r="AK202" s="42">
        <f t="shared" si="116"/>
        <v>2163.5</v>
      </c>
      <c r="AL202" s="43"/>
      <c r="AM202" s="42">
        <f t="shared" si="118"/>
        <v>12263.444444444445</v>
      </c>
      <c r="AN202" s="42">
        <f t="shared" si="121"/>
        <v>2242.5555555555547</v>
      </c>
      <c r="AO202" s="42">
        <f t="shared" si="119"/>
        <v>5029055.419753083</v>
      </c>
      <c r="AP202" s="42">
        <f t="shared" si="120"/>
        <v>2242.5555555555547</v>
      </c>
      <c r="AQ202" s="43"/>
      <c r="AR202" s="42">
        <f t="shared" si="122"/>
        <v>12101.4</v>
      </c>
      <c r="AS202" s="42">
        <f t="shared" si="123"/>
        <v>2404.6000000000004</v>
      </c>
      <c r="AT202" s="42">
        <f t="shared" si="124"/>
        <v>5782101.160000002</v>
      </c>
      <c r="AU202" s="42">
        <f t="shared" si="133"/>
        <v>2404.6000000000004</v>
      </c>
      <c r="AV202" s="43"/>
      <c r="AW202" s="42">
        <f t="shared" si="125"/>
        <v>12138.363636363636</v>
      </c>
      <c r="AX202" s="42">
        <f t="shared" si="128"/>
        <v>2367.636363636364</v>
      </c>
      <c r="AY202" s="42">
        <f t="shared" si="126"/>
        <v>5605701.9504132243</v>
      </c>
      <c r="AZ202" s="42">
        <f t="shared" si="127"/>
        <v>2367.636363636364</v>
      </c>
      <c r="BA202" s="43"/>
      <c r="BB202" s="44">
        <f t="shared" si="134"/>
        <v>12129.833333333334</v>
      </c>
      <c r="BC202" s="42">
        <f t="shared" si="131"/>
        <v>2376.1666666666661</v>
      </c>
      <c r="BD202" s="42">
        <f t="shared" si="129"/>
        <v>5646168.0277777752</v>
      </c>
      <c r="BE202" s="42">
        <f t="shared" si="130"/>
        <v>2376.1666666666661</v>
      </c>
    </row>
    <row r="203" spans="1:57" ht="18" x14ac:dyDescent="0.2">
      <c r="A203" s="7">
        <v>44409</v>
      </c>
      <c r="B203" s="17">
        <v>11371</v>
      </c>
      <c r="D203" s="42">
        <f t="shared" si="135"/>
        <v>14610</v>
      </c>
      <c r="E203" s="42">
        <f t="shared" si="132"/>
        <v>-3239</v>
      </c>
      <c r="F203" s="42">
        <f t="shared" si="136"/>
        <v>10491121</v>
      </c>
      <c r="G203" s="42">
        <f t="shared" si="137"/>
        <v>3239</v>
      </c>
      <c r="H203" s="43"/>
      <c r="I203" s="42">
        <f t="shared" si="138"/>
        <v>15233.333333333334</v>
      </c>
      <c r="J203" s="42">
        <f t="shared" si="139"/>
        <v>-3862.3333333333339</v>
      </c>
      <c r="K203" s="42">
        <f t="shared" si="140"/>
        <v>14917618.777777782</v>
      </c>
      <c r="L203" s="42">
        <f t="shared" si="141"/>
        <v>3862.3333333333339</v>
      </c>
      <c r="M203" s="43"/>
      <c r="N203" s="42">
        <f t="shared" si="142"/>
        <v>14903.75</v>
      </c>
      <c r="O203" s="42">
        <f t="shared" si="144"/>
        <v>-3532.75</v>
      </c>
      <c r="P203" s="42">
        <f t="shared" si="145"/>
        <v>12480322.5625</v>
      </c>
      <c r="Q203" s="42">
        <f t="shared" si="143"/>
        <v>3532.75</v>
      </c>
      <c r="R203" s="43"/>
      <c r="S203" s="42">
        <f t="shared" si="146"/>
        <v>14355</v>
      </c>
      <c r="T203" s="42">
        <f t="shared" ref="T203:T246" si="148">$B203-S203</f>
        <v>-2984</v>
      </c>
      <c r="U203" s="42">
        <f t="shared" ref="U203:U246" si="149">T203^2</f>
        <v>8904256</v>
      </c>
      <c r="V203" s="42">
        <f t="shared" si="147"/>
        <v>2984</v>
      </c>
      <c r="W203" s="43"/>
      <c r="X203" s="42">
        <f t="shared" ref="X203:X246" si="150">AVERAGE(B197:B202)</f>
        <v>13744</v>
      </c>
      <c r="Y203" s="42">
        <f t="shared" si="108"/>
        <v>-2373</v>
      </c>
      <c r="Z203" s="42">
        <f t="shared" si="109"/>
        <v>5631129</v>
      </c>
      <c r="AA203" s="42">
        <f t="shared" ref="AA203:AA246" si="151">ABS(Y203)</f>
        <v>2373</v>
      </c>
      <c r="AB203" s="43"/>
      <c r="AC203" s="42">
        <f t="shared" si="110"/>
        <v>13009.428571428571</v>
      </c>
      <c r="AD203" s="42">
        <f t="shared" si="112"/>
        <v>-1638.4285714285706</v>
      </c>
      <c r="AE203" s="42">
        <f t="shared" si="113"/>
        <v>2684448.183673467</v>
      </c>
      <c r="AF203" s="42">
        <f t="shared" si="111"/>
        <v>1638.4285714285706</v>
      </c>
      <c r="AG203" s="43"/>
      <c r="AH203" s="42">
        <f t="shared" si="114"/>
        <v>13015</v>
      </c>
      <c r="AI203" s="42">
        <f t="shared" si="117"/>
        <v>-1644</v>
      </c>
      <c r="AJ203" s="42">
        <f t="shared" si="115"/>
        <v>2702736</v>
      </c>
      <c r="AK203" s="42">
        <f t="shared" si="116"/>
        <v>1644</v>
      </c>
      <c r="AL203" s="43"/>
      <c r="AM203" s="42">
        <f t="shared" si="118"/>
        <v>12582.888888888889</v>
      </c>
      <c r="AN203" s="42">
        <f t="shared" si="121"/>
        <v>-1211.8888888888887</v>
      </c>
      <c r="AO203" s="42">
        <f t="shared" si="119"/>
        <v>1468674.6790123452</v>
      </c>
      <c r="AP203" s="42">
        <f t="shared" si="120"/>
        <v>1211.8888888888887</v>
      </c>
      <c r="AQ203" s="43"/>
      <c r="AR203" s="42">
        <f t="shared" si="122"/>
        <v>12487.7</v>
      </c>
      <c r="AS203" s="42">
        <f t="shared" si="123"/>
        <v>-1116.7000000000007</v>
      </c>
      <c r="AT203" s="42">
        <f t="shared" si="124"/>
        <v>1247018.8900000015</v>
      </c>
      <c r="AU203" s="42">
        <f t="shared" si="133"/>
        <v>1116.7000000000007</v>
      </c>
      <c r="AV203" s="43"/>
      <c r="AW203" s="42">
        <f t="shared" si="125"/>
        <v>12320</v>
      </c>
      <c r="AX203" s="42">
        <f t="shared" si="128"/>
        <v>-949</v>
      </c>
      <c r="AY203" s="42">
        <f t="shared" si="126"/>
        <v>900601</v>
      </c>
      <c r="AZ203" s="42">
        <f t="shared" si="127"/>
        <v>949</v>
      </c>
      <c r="BA203" s="43"/>
      <c r="BB203" s="44">
        <f t="shared" si="134"/>
        <v>12335.666666666666</v>
      </c>
      <c r="BC203" s="42">
        <f t="shared" si="131"/>
        <v>-964.66666666666606</v>
      </c>
      <c r="BD203" s="42">
        <f t="shared" si="129"/>
        <v>930581.77777777659</v>
      </c>
      <c r="BE203" s="42">
        <f t="shared" si="130"/>
        <v>964.66666666666606</v>
      </c>
    </row>
    <row r="204" spans="1:57" ht="18" x14ac:dyDescent="0.2">
      <c r="A204" s="7">
        <v>44440</v>
      </c>
      <c r="B204" s="17">
        <v>12230</v>
      </c>
      <c r="D204" s="42">
        <f t="shared" si="135"/>
        <v>12938.5</v>
      </c>
      <c r="E204" s="42">
        <f t="shared" si="132"/>
        <v>-708.5</v>
      </c>
      <c r="F204" s="42">
        <f t="shared" si="136"/>
        <v>501972.25</v>
      </c>
      <c r="G204" s="42">
        <f t="shared" si="137"/>
        <v>708.5</v>
      </c>
      <c r="H204" s="43"/>
      <c r="I204" s="42">
        <f t="shared" si="138"/>
        <v>13530.333333333334</v>
      </c>
      <c r="J204" s="42">
        <f t="shared" si="139"/>
        <v>-1300.3333333333339</v>
      </c>
      <c r="K204" s="42">
        <f t="shared" si="140"/>
        <v>1690866.7777777794</v>
      </c>
      <c r="L204" s="42">
        <f t="shared" si="141"/>
        <v>1300.3333333333339</v>
      </c>
      <c r="M204" s="43"/>
      <c r="N204" s="42">
        <f t="shared" si="142"/>
        <v>14267.75</v>
      </c>
      <c r="O204" s="42">
        <f t="shared" si="144"/>
        <v>-2037.75</v>
      </c>
      <c r="P204" s="42">
        <f t="shared" si="145"/>
        <v>4152425.0625</v>
      </c>
      <c r="Q204" s="42">
        <f t="shared" si="143"/>
        <v>2037.75</v>
      </c>
      <c r="R204" s="43"/>
      <c r="S204" s="42">
        <f t="shared" si="146"/>
        <v>14197.2</v>
      </c>
      <c r="T204" s="42">
        <f t="shared" si="148"/>
        <v>-1967.2000000000007</v>
      </c>
      <c r="U204" s="42">
        <f t="shared" si="149"/>
        <v>3869875.8400000026</v>
      </c>
      <c r="V204" s="42">
        <f t="shared" si="147"/>
        <v>1967.2000000000007</v>
      </c>
      <c r="W204" s="43"/>
      <c r="X204" s="42">
        <f t="shared" si="150"/>
        <v>13857.666666666666</v>
      </c>
      <c r="Y204" s="42">
        <f t="shared" ref="Y204:Y246" si="152">$B204-X204</f>
        <v>-1627.6666666666661</v>
      </c>
      <c r="Z204" s="42">
        <f t="shared" ref="Z204:Z246" si="153">Y204^2</f>
        <v>2649298.7777777757</v>
      </c>
      <c r="AA204" s="42">
        <f t="shared" si="151"/>
        <v>1627.6666666666661</v>
      </c>
      <c r="AB204" s="43"/>
      <c r="AC204" s="42">
        <f t="shared" ref="AC204:AC246" si="154">AVERAGE(B197:B203)</f>
        <v>13405</v>
      </c>
      <c r="AD204" s="42">
        <f t="shared" si="112"/>
        <v>-1175</v>
      </c>
      <c r="AE204" s="42">
        <f t="shared" si="113"/>
        <v>1380625</v>
      </c>
      <c r="AF204" s="42">
        <f t="shared" ref="AF204:AF246" si="155">ABS(AD204)</f>
        <v>1175</v>
      </c>
      <c r="AG204" s="43"/>
      <c r="AH204" s="42">
        <f t="shared" si="114"/>
        <v>12804.625</v>
      </c>
      <c r="AI204" s="42">
        <f t="shared" si="117"/>
        <v>-574.625</v>
      </c>
      <c r="AJ204" s="42">
        <f t="shared" si="115"/>
        <v>330193.890625</v>
      </c>
      <c r="AK204" s="42">
        <f t="shared" si="116"/>
        <v>574.625</v>
      </c>
      <c r="AL204" s="43"/>
      <c r="AM204" s="42">
        <f t="shared" si="118"/>
        <v>12832.333333333334</v>
      </c>
      <c r="AN204" s="42">
        <f t="shared" si="121"/>
        <v>-602.33333333333394</v>
      </c>
      <c r="AO204" s="42">
        <f t="shared" si="119"/>
        <v>362805.44444444519</v>
      </c>
      <c r="AP204" s="42">
        <f t="shared" si="120"/>
        <v>602.33333333333394</v>
      </c>
      <c r="AQ204" s="43"/>
      <c r="AR204" s="42">
        <f t="shared" si="122"/>
        <v>12461.7</v>
      </c>
      <c r="AS204" s="42">
        <f t="shared" si="123"/>
        <v>-231.70000000000073</v>
      </c>
      <c r="AT204" s="42">
        <f t="shared" si="124"/>
        <v>53684.890000000334</v>
      </c>
      <c r="AU204" s="42">
        <f t="shared" si="133"/>
        <v>231.70000000000073</v>
      </c>
      <c r="AV204" s="43"/>
      <c r="AW204" s="42">
        <f t="shared" si="125"/>
        <v>12386.181818181818</v>
      </c>
      <c r="AX204" s="42">
        <f t="shared" si="128"/>
        <v>-156.18181818181802</v>
      </c>
      <c r="AY204" s="42">
        <f t="shared" si="126"/>
        <v>24392.760330578461</v>
      </c>
      <c r="AZ204" s="42">
        <f t="shared" si="127"/>
        <v>156.18181818181802</v>
      </c>
      <c r="BA204" s="43"/>
      <c r="BB204" s="44">
        <f t="shared" si="134"/>
        <v>12240.916666666666</v>
      </c>
      <c r="BC204" s="42">
        <f t="shared" si="131"/>
        <v>-10.91666666666606</v>
      </c>
      <c r="BD204" s="42">
        <f t="shared" si="129"/>
        <v>119.17361111109787</v>
      </c>
      <c r="BE204" s="42">
        <f t="shared" si="130"/>
        <v>10.91666666666606</v>
      </c>
    </row>
    <row r="205" spans="1:57" ht="18" x14ac:dyDescent="0.2">
      <c r="A205" s="7">
        <v>44470</v>
      </c>
      <c r="B205" s="17">
        <v>9480</v>
      </c>
      <c r="D205" s="42">
        <f t="shared" si="135"/>
        <v>11800.5</v>
      </c>
      <c r="E205" s="42">
        <f t="shared" si="132"/>
        <v>-2320.5</v>
      </c>
      <c r="F205" s="42">
        <f t="shared" si="136"/>
        <v>5384720.25</v>
      </c>
      <c r="G205" s="42">
        <f t="shared" si="137"/>
        <v>2320.5</v>
      </c>
      <c r="H205" s="43"/>
      <c r="I205" s="42">
        <f t="shared" si="138"/>
        <v>12702.333333333334</v>
      </c>
      <c r="J205" s="42">
        <f t="shared" si="139"/>
        <v>-3222.3333333333339</v>
      </c>
      <c r="K205" s="42">
        <f t="shared" si="140"/>
        <v>10383432.111111116</v>
      </c>
      <c r="L205" s="42">
        <f t="shared" si="141"/>
        <v>3222.3333333333339</v>
      </c>
      <c r="M205" s="43"/>
      <c r="N205" s="42">
        <f t="shared" si="142"/>
        <v>13205.25</v>
      </c>
      <c r="O205" s="42">
        <f t="shared" si="144"/>
        <v>-3725.25</v>
      </c>
      <c r="P205" s="42">
        <f t="shared" si="145"/>
        <v>13877487.5625</v>
      </c>
      <c r="Q205" s="42">
        <f t="shared" si="143"/>
        <v>3725.25</v>
      </c>
      <c r="R205" s="43"/>
      <c r="S205" s="42">
        <f t="shared" si="146"/>
        <v>13860.2</v>
      </c>
      <c r="T205" s="42">
        <f t="shared" si="148"/>
        <v>-4380.2000000000007</v>
      </c>
      <c r="U205" s="42">
        <f t="shared" si="149"/>
        <v>19186152.040000007</v>
      </c>
      <c r="V205" s="42">
        <f t="shared" si="147"/>
        <v>4380.2000000000007</v>
      </c>
      <c r="W205" s="43"/>
      <c r="X205" s="42">
        <f t="shared" si="150"/>
        <v>13869.333333333334</v>
      </c>
      <c r="Y205" s="42">
        <f t="shared" si="152"/>
        <v>-4389.3333333333339</v>
      </c>
      <c r="Z205" s="42">
        <f t="shared" si="153"/>
        <v>19266247.111111116</v>
      </c>
      <c r="AA205" s="42">
        <f t="shared" si="151"/>
        <v>4389.3333333333339</v>
      </c>
      <c r="AB205" s="43"/>
      <c r="AC205" s="42">
        <f t="shared" si="154"/>
        <v>13625.142857142857</v>
      </c>
      <c r="AD205" s="42">
        <f t="shared" ref="AD205:AD246" si="156">$B205-AC205</f>
        <v>-4145.1428571428569</v>
      </c>
      <c r="AE205" s="42">
        <f t="shared" ref="AE205:AE246" si="157">AD205^2</f>
        <v>17182209.306122448</v>
      </c>
      <c r="AF205" s="42">
        <f t="shared" si="155"/>
        <v>4145.1428571428569</v>
      </c>
      <c r="AG205" s="43"/>
      <c r="AH205" s="42">
        <f t="shared" ref="AH205:AH246" si="158">AVERAGE(B197:B204)</f>
        <v>13258.125</v>
      </c>
      <c r="AI205" s="42">
        <f t="shared" si="117"/>
        <v>-3778.125</v>
      </c>
      <c r="AJ205" s="42">
        <f t="shared" ref="AJ205:AJ246" si="159">AI205^2</f>
        <v>14274228.515625</v>
      </c>
      <c r="AK205" s="42">
        <f t="shared" ref="AK205:AK246" si="160">ABS(AI205)</f>
        <v>3778.125</v>
      </c>
      <c r="AL205" s="43"/>
      <c r="AM205" s="42">
        <f t="shared" si="118"/>
        <v>12740.777777777777</v>
      </c>
      <c r="AN205" s="42">
        <f t="shared" si="121"/>
        <v>-3260.7777777777774</v>
      </c>
      <c r="AO205" s="42">
        <f t="shared" si="119"/>
        <v>10632671.716049381</v>
      </c>
      <c r="AP205" s="42">
        <f t="shared" si="120"/>
        <v>3260.7777777777774</v>
      </c>
      <c r="AQ205" s="43"/>
      <c r="AR205" s="42">
        <f t="shared" si="122"/>
        <v>12772.1</v>
      </c>
      <c r="AS205" s="42">
        <f t="shared" si="123"/>
        <v>-3292.1000000000004</v>
      </c>
      <c r="AT205" s="42">
        <f t="shared" si="124"/>
        <v>10837922.410000002</v>
      </c>
      <c r="AU205" s="42">
        <f t="shared" si="133"/>
        <v>3292.1000000000004</v>
      </c>
      <c r="AV205" s="43"/>
      <c r="AW205" s="42">
        <f t="shared" si="125"/>
        <v>12440.636363636364</v>
      </c>
      <c r="AX205" s="42">
        <f t="shared" si="128"/>
        <v>-2960.636363636364</v>
      </c>
      <c r="AY205" s="42">
        <f t="shared" si="126"/>
        <v>8765367.6776859518</v>
      </c>
      <c r="AZ205" s="42">
        <f t="shared" si="127"/>
        <v>2960.636363636364</v>
      </c>
      <c r="BA205" s="43"/>
      <c r="BB205" s="44">
        <f t="shared" si="134"/>
        <v>12373.166666666666</v>
      </c>
      <c r="BC205" s="42">
        <f t="shared" si="131"/>
        <v>-2893.1666666666661</v>
      </c>
      <c r="BD205" s="42">
        <f t="shared" si="129"/>
        <v>8370413.3611111073</v>
      </c>
      <c r="BE205" s="42">
        <f t="shared" si="130"/>
        <v>2893.1666666666661</v>
      </c>
    </row>
    <row r="206" spans="1:57" ht="18" x14ac:dyDescent="0.2">
      <c r="A206" s="7">
        <v>44501</v>
      </c>
      <c r="B206" s="17">
        <v>7629</v>
      </c>
      <c r="D206" s="42">
        <f t="shared" si="135"/>
        <v>10855</v>
      </c>
      <c r="E206" s="42">
        <f t="shared" si="132"/>
        <v>-3226</v>
      </c>
      <c r="F206" s="42">
        <f t="shared" si="136"/>
        <v>10407076</v>
      </c>
      <c r="G206" s="42">
        <f t="shared" si="137"/>
        <v>3226</v>
      </c>
      <c r="H206" s="43"/>
      <c r="I206" s="42">
        <f t="shared" si="138"/>
        <v>11027</v>
      </c>
      <c r="J206" s="42">
        <f t="shared" si="139"/>
        <v>-3398</v>
      </c>
      <c r="K206" s="42">
        <f t="shared" si="140"/>
        <v>11546404</v>
      </c>
      <c r="L206" s="42">
        <f t="shared" si="141"/>
        <v>3398</v>
      </c>
      <c r="M206" s="43"/>
      <c r="N206" s="42">
        <f t="shared" si="142"/>
        <v>11896.75</v>
      </c>
      <c r="O206" s="42">
        <f t="shared" si="144"/>
        <v>-4267.75</v>
      </c>
      <c r="P206" s="42">
        <f t="shared" si="145"/>
        <v>18213690.0625</v>
      </c>
      <c r="Q206" s="42">
        <f t="shared" si="143"/>
        <v>4267.75</v>
      </c>
      <c r="R206" s="43"/>
      <c r="S206" s="42">
        <f t="shared" si="146"/>
        <v>12460.2</v>
      </c>
      <c r="T206" s="42">
        <f t="shared" si="148"/>
        <v>-4831.2000000000007</v>
      </c>
      <c r="U206" s="42">
        <f t="shared" si="149"/>
        <v>23340493.440000009</v>
      </c>
      <c r="V206" s="42">
        <f t="shared" si="147"/>
        <v>4831.2000000000007</v>
      </c>
      <c r="W206" s="43"/>
      <c r="X206" s="42">
        <f t="shared" si="150"/>
        <v>13130.166666666666</v>
      </c>
      <c r="Y206" s="42">
        <f t="shared" si="152"/>
        <v>-5501.1666666666661</v>
      </c>
      <c r="Z206" s="42">
        <f t="shared" si="153"/>
        <v>30262834.694444437</v>
      </c>
      <c r="AA206" s="42">
        <f t="shared" si="151"/>
        <v>5501.1666666666661</v>
      </c>
      <c r="AB206" s="43"/>
      <c r="AC206" s="42">
        <f t="shared" si="154"/>
        <v>13242.285714285714</v>
      </c>
      <c r="AD206" s="42">
        <f t="shared" si="156"/>
        <v>-5613.2857142857138</v>
      </c>
      <c r="AE206" s="42">
        <f t="shared" si="157"/>
        <v>31508976.510204077</v>
      </c>
      <c r="AF206" s="42">
        <f t="shared" si="155"/>
        <v>5613.2857142857138</v>
      </c>
      <c r="AG206" s="43"/>
      <c r="AH206" s="42">
        <f t="shared" si="158"/>
        <v>13107</v>
      </c>
      <c r="AI206" s="42">
        <f t="shared" ref="AI206:AI246" si="161">$B206-AH206</f>
        <v>-5478</v>
      </c>
      <c r="AJ206" s="42">
        <f t="shared" si="159"/>
        <v>30008484</v>
      </c>
      <c r="AK206" s="42">
        <f t="shared" si="160"/>
        <v>5478</v>
      </c>
      <c r="AL206" s="43"/>
      <c r="AM206" s="42">
        <f t="shared" ref="AM206:AM246" si="162">AVERAGE(B197:B205)</f>
        <v>12838.333333333334</v>
      </c>
      <c r="AN206" s="42">
        <f t="shared" si="121"/>
        <v>-5209.3333333333339</v>
      </c>
      <c r="AO206" s="42">
        <f t="shared" ref="AO206:AO246" si="163">AN206^2</f>
        <v>27137153.777777784</v>
      </c>
      <c r="AP206" s="42">
        <f t="shared" ref="AP206:AP246" si="164">ABS(AN206)</f>
        <v>5209.3333333333339</v>
      </c>
      <c r="AQ206" s="43"/>
      <c r="AR206" s="42">
        <f t="shared" si="122"/>
        <v>12414.7</v>
      </c>
      <c r="AS206" s="42">
        <f t="shared" si="123"/>
        <v>-4785.7000000000007</v>
      </c>
      <c r="AT206" s="42">
        <f t="shared" si="124"/>
        <v>22902924.490000006</v>
      </c>
      <c r="AU206" s="42">
        <f t="shared" si="133"/>
        <v>4785.7000000000007</v>
      </c>
      <c r="AV206" s="43"/>
      <c r="AW206" s="42">
        <f t="shared" si="125"/>
        <v>12472.818181818182</v>
      </c>
      <c r="AX206" s="42">
        <f t="shared" si="128"/>
        <v>-4843.818181818182</v>
      </c>
      <c r="AY206" s="42">
        <f t="shared" si="126"/>
        <v>23462574.578512397</v>
      </c>
      <c r="AZ206" s="42">
        <f t="shared" si="127"/>
        <v>4843.818181818182</v>
      </c>
      <c r="BA206" s="43"/>
      <c r="BB206" s="44">
        <f t="shared" si="134"/>
        <v>12193.916666666666</v>
      </c>
      <c r="BC206" s="42">
        <f t="shared" si="131"/>
        <v>-4564.9166666666661</v>
      </c>
      <c r="BD206" s="42">
        <f t="shared" si="129"/>
        <v>20838464.173611104</v>
      </c>
      <c r="BE206" s="42">
        <f t="shared" si="130"/>
        <v>4564.9166666666661</v>
      </c>
    </row>
    <row r="207" spans="1:57" ht="18" x14ac:dyDescent="0.2">
      <c r="A207" s="7">
        <v>44531</v>
      </c>
      <c r="B207" s="17">
        <v>11286</v>
      </c>
      <c r="D207" s="42">
        <f t="shared" si="135"/>
        <v>8554.5</v>
      </c>
      <c r="E207" s="42">
        <f t="shared" si="132"/>
        <v>2731.5</v>
      </c>
      <c r="F207" s="42">
        <f t="shared" si="136"/>
        <v>7461092.25</v>
      </c>
      <c r="G207" s="42">
        <f t="shared" si="137"/>
        <v>2731.5</v>
      </c>
      <c r="H207" s="43"/>
      <c r="I207" s="42">
        <f t="shared" si="138"/>
        <v>9779.6666666666661</v>
      </c>
      <c r="J207" s="42">
        <f t="shared" si="139"/>
        <v>1506.3333333333339</v>
      </c>
      <c r="K207" s="42">
        <f t="shared" si="140"/>
        <v>2269040.1111111129</v>
      </c>
      <c r="L207" s="42">
        <f t="shared" si="141"/>
        <v>1506.3333333333339</v>
      </c>
      <c r="M207" s="43"/>
      <c r="N207" s="42">
        <f t="shared" si="142"/>
        <v>10177.5</v>
      </c>
      <c r="O207" s="42">
        <f t="shared" si="144"/>
        <v>1108.5</v>
      </c>
      <c r="P207" s="42">
        <f t="shared" si="145"/>
        <v>1228772.25</v>
      </c>
      <c r="Q207" s="42">
        <f t="shared" si="143"/>
        <v>1108.5</v>
      </c>
      <c r="R207" s="43"/>
      <c r="S207" s="42">
        <f t="shared" si="146"/>
        <v>11043.2</v>
      </c>
      <c r="T207" s="42">
        <f t="shared" si="148"/>
        <v>242.79999999999927</v>
      </c>
      <c r="U207" s="42">
        <f t="shared" si="149"/>
        <v>58951.839999999647</v>
      </c>
      <c r="V207" s="42">
        <f t="shared" si="147"/>
        <v>242.79999999999927</v>
      </c>
      <c r="W207" s="43"/>
      <c r="X207" s="42">
        <f t="shared" si="150"/>
        <v>11655</v>
      </c>
      <c r="Y207" s="42">
        <f t="shared" si="152"/>
        <v>-369</v>
      </c>
      <c r="Z207" s="42">
        <f t="shared" si="153"/>
        <v>136161</v>
      </c>
      <c r="AA207" s="42">
        <f t="shared" si="151"/>
        <v>369</v>
      </c>
      <c r="AB207" s="43"/>
      <c r="AC207" s="42">
        <f t="shared" si="154"/>
        <v>12344.285714285714</v>
      </c>
      <c r="AD207" s="42">
        <f t="shared" si="156"/>
        <v>-1058.2857142857138</v>
      </c>
      <c r="AE207" s="42">
        <f t="shared" si="157"/>
        <v>1119968.6530612234</v>
      </c>
      <c r="AF207" s="42">
        <f t="shared" si="155"/>
        <v>1058.2857142857138</v>
      </c>
      <c r="AG207" s="43"/>
      <c r="AH207" s="42">
        <f t="shared" si="158"/>
        <v>12540.625</v>
      </c>
      <c r="AI207" s="42">
        <f t="shared" si="161"/>
        <v>-1254.625</v>
      </c>
      <c r="AJ207" s="42">
        <f t="shared" si="159"/>
        <v>1574083.890625</v>
      </c>
      <c r="AK207" s="42">
        <f t="shared" si="160"/>
        <v>1254.625</v>
      </c>
      <c r="AL207" s="43"/>
      <c r="AM207" s="42">
        <f t="shared" si="162"/>
        <v>12498.333333333334</v>
      </c>
      <c r="AN207" s="42">
        <f t="shared" ref="AN207:AN246" si="165">$B207-AM207</f>
        <v>-1212.3333333333339</v>
      </c>
      <c r="AO207" s="42">
        <f t="shared" si="163"/>
        <v>1469752.1111111126</v>
      </c>
      <c r="AP207" s="42">
        <f t="shared" si="164"/>
        <v>1212.3333333333339</v>
      </c>
      <c r="AQ207" s="43"/>
      <c r="AR207" s="42">
        <f t="shared" ref="AR207:AR246" si="166">AVERAGE(B197:B206)</f>
        <v>12317.4</v>
      </c>
      <c r="AS207" s="42">
        <f t="shared" si="123"/>
        <v>-1031.3999999999996</v>
      </c>
      <c r="AT207" s="42">
        <f t="shared" si="124"/>
        <v>1063785.9599999993</v>
      </c>
      <c r="AU207" s="42">
        <f t="shared" si="133"/>
        <v>1031.3999999999996</v>
      </c>
      <c r="AV207" s="43"/>
      <c r="AW207" s="42">
        <f t="shared" si="125"/>
        <v>11979.636363636364</v>
      </c>
      <c r="AX207" s="42">
        <f t="shared" si="128"/>
        <v>-693.63636363636397</v>
      </c>
      <c r="AY207" s="42">
        <f t="shared" si="126"/>
        <v>481131.40495867812</v>
      </c>
      <c r="AZ207" s="42">
        <f t="shared" si="127"/>
        <v>693.63636363636397</v>
      </c>
      <c r="BA207" s="43"/>
      <c r="BB207" s="44">
        <f t="shared" si="134"/>
        <v>12069.166666666666</v>
      </c>
      <c r="BC207" s="42">
        <f t="shared" si="131"/>
        <v>-783.16666666666606</v>
      </c>
      <c r="BD207" s="42">
        <f t="shared" si="129"/>
        <v>613350.02777777682</v>
      </c>
      <c r="BE207" s="42">
        <f t="shared" si="130"/>
        <v>783.16666666666606</v>
      </c>
    </row>
    <row r="208" spans="1:57" ht="18" x14ac:dyDescent="0.2">
      <c r="A208" s="7">
        <v>44562</v>
      </c>
      <c r="B208" s="17">
        <v>6998</v>
      </c>
      <c r="D208" s="42">
        <f t="shared" si="135"/>
        <v>9457.5</v>
      </c>
      <c r="E208" s="42">
        <f t="shared" si="132"/>
        <v>-2459.5</v>
      </c>
      <c r="F208" s="42">
        <f t="shared" si="136"/>
        <v>6049140.25</v>
      </c>
      <c r="G208" s="42">
        <f t="shared" si="137"/>
        <v>2459.5</v>
      </c>
      <c r="H208" s="43"/>
      <c r="I208" s="42">
        <f t="shared" si="138"/>
        <v>9465</v>
      </c>
      <c r="J208" s="42">
        <f t="shared" si="139"/>
        <v>-2467</v>
      </c>
      <c r="K208" s="42">
        <f t="shared" si="140"/>
        <v>6086089</v>
      </c>
      <c r="L208" s="42">
        <f t="shared" si="141"/>
        <v>2467</v>
      </c>
      <c r="M208" s="43"/>
      <c r="N208" s="42">
        <f t="shared" si="142"/>
        <v>10156.25</v>
      </c>
      <c r="O208" s="42">
        <f t="shared" si="144"/>
        <v>-3158.25</v>
      </c>
      <c r="P208" s="42">
        <f t="shared" si="145"/>
        <v>9974543.0625</v>
      </c>
      <c r="Q208" s="42">
        <f t="shared" si="143"/>
        <v>3158.25</v>
      </c>
      <c r="R208" s="43"/>
      <c r="S208" s="42">
        <f t="shared" si="146"/>
        <v>10399.200000000001</v>
      </c>
      <c r="T208" s="42">
        <f t="shared" si="148"/>
        <v>-3401.2000000000007</v>
      </c>
      <c r="U208" s="42">
        <f t="shared" si="149"/>
        <v>11568161.440000005</v>
      </c>
      <c r="V208" s="42">
        <f t="shared" si="147"/>
        <v>3401.2000000000007</v>
      </c>
      <c r="W208" s="43"/>
      <c r="X208" s="42">
        <f t="shared" si="150"/>
        <v>11083.666666666666</v>
      </c>
      <c r="Y208" s="42">
        <f t="shared" si="152"/>
        <v>-4085.6666666666661</v>
      </c>
      <c r="Z208" s="42">
        <f t="shared" si="153"/>
        <v>16692672.111111106</v>
      </c>
      <c r="AA208" s="42">
        <f t="shared" si="151"/>
        <v>4085.6666666666661</v>
      </c>
      <c r="AB208" s="43"/>
      <c r="AC208" s="42">
        <f t="shared" si="154"/>
        <v>11602.285714285714</v>
      </c>
      <c r="AD208" s="42">
        <f t="shared" si="156"/>
        <v>-4604.2857142857138</v>
      </c>
      <c r="AE208" s="42">
        <f t="shared" si="157"/>
        <v>21199446.938775506</v>
      </c>
      <c r="AF208" s="42">
        <f t="shared" si="155"/>
        <v>4604.2857142857138</v>
      </c>
      <c r="AG208" s="43"/>
      <c r="AH208" s="42">
        <f t="shared" si="158"/>
        <v>12212</v>
      </c>
      <c r="AI208" s="42">
        <f t="shared" si="161"/>
        <v>-5214</v>
      </c>
      <c r="AJ208" s="42">
        <f t="shared" si="159"/>
        <v>27185796</v>
      </c>
      <c r="AK208" s="42">
        <f t="shared" si="160"/>
        <v>5214</v>
      </c>
      <c r="AL208" s="43"/>
      <c r="AM208" s="42">
        <f t="shared" si="162"/>
        <v>12401.222222222223</v>
      </c>
      <c r="AN208" s="42">
        <f t="shared" si="165"/>
        <v>-5403.2222222222226</v>
      </c>
      <c r="AO208" s="42">
        <f t="shared" si="163"/>
        <v>29194810.382716052</v>
      </c>
      <c r="AP208" s="42">
        <f t="shared" si="164"/>
        <v>5403.2222222222226</v>
      </c>
      <c r="AQ208" s="43"/>
      <c r="AR208" s="42">
        <f t="shared" si="166"/>
        <v>12377.1</v>
      </c>
      <c r="AS208" s="42">
        <f t="shared" ref="AS208:AS246" si="167">$B208-AR208</f>
        <v>-5379.1</v>
      </c>
      <c r="AT208" s="42">
        <f t="shared" ref="AT208:AT246" si="168">AS208^2</f>
        <v>28934716.810000002</v>
      </c>
      <c r="AU208" s="42">
        <f t="shared" si="133"/>
        <v>5379.1</v>
      </c>
      <c r="AV208" s="43"/>
      <c r="AW208" s="42">
        <f t="shared" ref="AW208:AW246" si="169">AVERAGE(B197:B207)</f>
        <v>12223.636363636364</v>
      </c>
      <c r="AX208" s="42">
        <f t="shared" si="128"/>
        <v>-5225.636363636364</v>
      </c>
      <c r="AY208" s="42">
        <f t="shared" ref="AY208:AY246" si="170">AX208^2</f>
        <v>27307275.40495868</v>
      </c>
      <c r="AZ208" s="42">
        <f t="shared" ref="AZ208:AZ246" si="171">ABS(AX208)</f>
        <v>5225.636363636364</v>
      </c>
      <c r="BA208" s="43"/>
      <c r="BB208" s="44">
        <f t="shared" si="134"/>
        <v>11921.833333333334</v>
      </c>
      <c r="BC208" s="42">
        <f t="shared" si="131"/>
        <v>-4923.8333333333339</v>
      </c>
      <c r="BD208" s="42">
        <f t="shared" si="129"/>
        <v>24244134.694444451</v>
      </c>
      <c r="BE208" s="42">
        <f t="shared" si="130"/>
        <v>4923.8333333333339</v>
      </c>
    </row>
    <row r="209" spans="1:57" ht="18" x14ac:dyDescent="0.2">
      <c r="A209" s="7">
        <v>44593</v>
      </c>
      <c r="B209" s="17">
        <v>8163</v>
      </c>
      <c r="D209" s="42">
        <f t="shared" si="135"/>
        <v>9142</v>
      </c>
      <c r="E209" s="42">
        <f t="shared" si="132"/>
        <v>-979</v>
      </c>
      <c r="F209" s="42">
        <f t="shared" si="136"/>
        <v>958441</v>
      </c>
      <c r="G209" s="42">
        <f t="shared" si="137"/>
        <v>979</v>
      </c>
      <c r="H209" s="43"/>
      <c r="I209" s="42">
        <f t="shared" si="138"/>
        <v>8637.6666666666661</v>
      </c>
      <c r="J209" s="42">
        <f t="shared" si="139"/>
        <v>-474.66666666666606</v>
      </c>
      <c r="K209" s="42">
        <f t="shared" si="140"/>
        <v>225308.44444444386</v>
      </c>
      <c r="L209" s="42">
        <f t="shared" si="141"/>
        <v>474.66666666666606</v>
      </c>
      <c r="M209" s="43"/>
      <c r="N209" s="42">
        <f t="shared" si="142"/>
        <v>8848.25</v>
      </c>
      <c r="O209" s="42">
        <f t="shared" si="144"/>
        <v>-685.25</v>
      </c>
      <c r="P209" s="42">
        <f t="shared" si="145"/>
        <v>469567.5625</v>
      </c>
      <c r="Q209" s="42">
        <f t="shared" si="143"/>
        <v>685.25</v>
      </c>
      <c r="R209" s="43"/>
      <c r="S209" s="42">
        <f t="shared" si="146"/>
        <v>9524.6</v>
      </c>
      <c r="T209" s="42">
        <f t="shared" si="148"/>
        <v>-1361.6000000000004</v>
      </c>
      <c r="U209" s="42">
        <f t="shared" si="149"/>
        <v>1853954.560000001</v>
      </c>
      <c r="V209" s="42">
        <f t="shared" si="147"/>
        <v>1361.6000000000004</v>
      </c>
      <c r="W209" s="43"/>
      <c r="X209" s="42">
        <f t="shared" si="150"/>
        <v>9832.3333333333339</v>
      </c>
      <c r="Y209" s="42">
        <f t="shared" si="152"/>
        <v>-1669.3333333333339</v>
      </c>
      <c r="Z209" s="42">
        <f t="shared" si="153"/>
        <v>2786673.7777777798</v>
      </c>
      <c r="AA209" s="42">
        <f t="shared" si="151"/>
        <v>1669.3333333333339</v>
      </c>
      <c r="AB209" s="43"/>
      <c r="AC209" s="42">
        <f t="shared" si="154"/>
        <v>10500</v>
      </c>
      <c r="AD209" s="42">
        <f t="shared" si="156"/>
        <v>-2337</v>
      </c>
      <c r="AE209" s="42">
        <f t="shared" si="157"/>
        <v>5461569</v>
      </c>
      <c r="AF209" s="42">
        <f t="shared" si="155"/>
        <v>2337</v>
      </c>
      <c r="AG209" s="43"/>
      <c r="AH209" s="42">
        <f t="shared" si="158"/>
        <v>11026.75</v>
      </c>
      <c r="AI209" s="42">
        <f t="shared" si="161"/>
        <v>-2863.75</v>
      </c>
      <c r="AJ209" s="42">
        <f t="shared" si="159"/>
        <v>8201064.0625</v>
      </c>
      <c r="AK209" s="42">
        <f t="shared" si="160"/>
        <v>2863.75</v>
      </c>
      <c r="AL209" s="43"/>
      <c r="AM209" s="42">
        <f t="shared" si="162"/>
        <v>11632.666666666666</v>
      </c>
      <c r="AN209" s="42">
        <f t="shared" si="165"/>
        <v>-3469.6666666666661</v>
      </c>
      <c r="AO209" s="42">
        <f t="shared" si="163"/>
        <v>12038586.777777774</v>
      </c>
      <c r="AP209" s="42">
        <f t="shared" si="164"/>
        <v>3469.6666666666661</v>
      </c>
      <c r="AQ209" s="43"/>
      <c r="AR209" s="42">
        <f t="shared" si="166"/>
        <v>11860.9</v>
      </c>
      <c r="AS209" s="42">
        <f t="shared" si="167"/>
        <v>-3697.8999999999996</v>
      </c>
      <c r="AT209" s="42">
        <f t="shared" si="168"/>
        <v>13674464.409999996</v>
      </c>
      <c r="AU209" s="42">
        <f t="shared" si="133"/>
        <v>3697.8999999999996</v>
      </c>
      <c r="AV209" s="43"/>
      <c r="AW209" s="42">
        <f t="shared" si="169"/>
        <v>11888.09090909091</v>
      </c>
      <c r="AX209" s="42">
        <f t="shared" ref="AX209:AX246" si="172">$B209-AW209</f>
        <v>-3725.0909090909099</v>
      </c>
      <c r="AY209" s="42">
        <f t="shared" si="170"/>
        <v>13876302.280991742</v>
      </c>
      <c r="AZ209" s="42">
        <f t="shared" si="171"/>
        <v>3725.0909090909099</v>
      </c>
      <c r="BA209" s="43"/>
      <c r="BB209" s="44">
        <f t="shared" si="134"/>
        <v>11788.166666666666</v>
      </c>
      <c r="BC209" s="42">
        <f t="shared" si="131"/>
        <v>-3625.1666666666661</v>
      </c>
      <c r="BD209" s="42">
        <f t="shared" ref="BD209:BD246" si="173">BC209^2</f>
        <v>13141833.361111106</v>
      </c>
      <c r="BE209" s="42">
        <f t="shared" ref="BE209:BE246" si="174">ABS(BC209)</f>
        <v>3625.1666666666661</v>
      </c>
    </row>
    <row r="210" spans="1:57" ht="18" x14ac:dyDescent="0.2">
      <c r="A210" s="7">
        <v>44621</v>
      </c>
      <c r="B210" s="17">
        <v>8828</v>
      </c>
      <c r="D210" s="42">
        <f t="shared" si="135"/>
        <v>7580.5</v>
      </c>
      <c r="E210" s="42">
        <f t="shared" si="132"/>
        <v>1247.5</v>
      </c>
      <c r="F210" s="42">
        <f t="shared" si="136"/>
        <v>1556256.25</v>
      </c>
      <c r="G210" s="42">
        <f t="shared" si="137"/>
        <v>1247.5</v>
      </c>
      <c r="H210" s="43"/>
      <c r="I210" s="42">
        <f t="shared" si="138"/>
        <v>8815.6666666666661</v>
      </c>
      <c r="J210" s="42">
        <f t="shared" si="139"/>
        <v>12.33333333333394</v>
      </c>
      <c r="K210" s="42">
        <f t="shared" si="140"/>
        <v>152.11111111112606</v>
      </c>
      <c r="L210" s="42">
        <f t="shared" si="141"/>
        <v>12.33333333333394</v>
      </c>
      <c r="M210" s="43"/>
      <c r="N210" s="42">
        <f t="shared" si="142"/>
        <v>8519</v>
      </c>
      <c r="O210" s="42">
        <f t="shared" si="144"/>
        <v>309</v>
      </c>
      <c r="P210" s="42">
        <f t="shared" si="145"/>
        <v>95481</v>
      </c>
      <c r="Q210" s="42">
        <f t="shared" si="143"/>
        <v>309</v>
      </c>
      <c r="R210" s="43"/>
      <c r="S210" s="42">
        <f t="shared" si="146"/>
        <v>8711.2000000000007</v>
      </c>
      <c r="T210" s="42">
        <f t="shared" si="148"/>
        <v>116.79999999999927</v>
      </c>
      <c r="U210" s="42">
        <f t="shared" si="149"/>
        <v>13642.239999999831</v>
      </c>
      <c r="V210" s="42">
        <f t="shared" si="147"/>
        <v>116.79999999999927</v>
      </c>
      <c r="W210" s="43"/>
      <c r="X210" s="42">
        <f t="shared" si="150"/>
        <v>9297.6666666666661</v>
      </c>
      <c r="Y210" s="42">
        <f t="shared" si="152"/>
        <v>-469.66666666666606</v>
      </c>
      <c r="Z210" s="42">
        <f t="shared" si="153"/>
        <v>220586.7777777772</v>
      </c>
      <c r="AA210" s="42">
        <f t="shared" si="151"/>
        <v>469.66666666666606</v>
      </c>
      <c r="AB210" s="43"/>
      <c r="AC210" s="42">
        <f t="shared" si="154"/>
        <v>9593.8571428571431</v>
      </c>
      <c r="AD210" s="42">
        <f t="shared" si="156"/>
        <v>-765.85714285714312</v>
      </c>
      <c r="AE210" s="42">
        <f t="shared" si="157"/>
        <v>586537.1632653065</v>
      </c>
      <c r="AF210" s="42">
        <f t="shared" si="155"/>
        <v>765.85714285714312</v>
      </c>
      <c r="AG210" s="43"/>
      <c r="AH210" s="42">
        <f t="shared" si="158"/>
        <v>10207.875</v>
      </c>
      <c r="AI210" s="42">
        <f t="shared" si="161"/>
        <v>-1379.875</v>
      </c>
      <c r="AJ210" s="42">
        <f t="shared" si="159"/>
        <v>1904055.015625</v>
      </c>
      <c r="AK210" s="42">
        <f t="shared" si="160"/>
        <v>1379.875</v>
      </c>
      <c r="AL210" s="43"/>
      <c r="AM210" s="42">
        <f t="shared" si="162"/>
        <v>10708.555555555555</v>
      </c>
      <c r="AN210" s="42">
        <f t="shared" si="165"/>
        <v>-1880.5555555555547</v>
      </c>
      <c r="AO210" s="42">
        <f t="shared" si="163"/>
        <v>3536489.197530861</v>
      </c>
      <c r="AP210" s="42">
        <f t="shared" si="164"/>
        <v>1880.5555555555547</v>
      </c>
      <c r="AQ210" s="43"/>
      <c r="AR210" s="42">
        <f t="shared" si="166"/>
        <v>11285.7</v>
      </c>
      <c r="AS210" s="42">
        <f t="shared" si="167"/>
        <v>-2457.7000000000007</v>
      </c>
      <c r="AT210" s="42">
        <f t="shared" si="168"/>
        <v>6040289.2900000038</v>
      </c>
      <c r="AU210" s="42">
        <f t="shared" si="133"/>
        <v>2457.7000000000007</v>
      </c>
      <c r="AV210" s="43"/>
      <c r="AW210" s="42">
        <f t="shared" si="169"/>
        <v>11524.727272727272</v>
      </c>
      <c r="AX210" s="42">
        <f t="shared" si="172"/>
        <v>-2696.7272727272721</v>
      </c>
      <c r="AY210" s="42">
        <f t="shared" si="170"/>
        <v>7272337.9834710704</v>
      </c>
      <c r="AZ210" s="42">
        <f t="shared" si="171"/>
        <v>2696.7272727272721</v>
      </c>
      <c r="BA210" s="43"/>
      <c r="BB210" s="44">
        <f t="shared" si="134"/>
        <v>11577.666666666666</v>
      </c>
      <c r="BC210" s="42">
        <f t="shared" ref="BC210:BC246" si="175">$B210-BB210</f>
        <v>-2749.6666666666661</v>
      </c>
      <c r="BD210" s="42">
        <f t="shared" si="173"/>
        <v>7560666.7777777743</v>
      </c>
      <c r="BE210" s="42">
        <f t="shared" si="174"/>
        <v>2749.6666666666661</v>
      </c>
    </row>
    <row r="211" spans="1:57" ht="18" x14ac:dyDescent="0.2">
      <c r="A211" s="7">
        <v>44652</v>
      </c>
      <c r="B211" s="17">
        <v>7994</v>
      </c>
      <c r="D211" s="42">
        <f t="shared" si="135"/>
        <v>8495.5</v>
      </c>
      <c r="E211" s="42">
        <f t="shared" si="132"/>
        <v>-501.5</v>
      </c>
      <c r="F211" s="42">
        <f t="shared" si="136"/>
        <v>251502.25</v>
      </c>
      <c r="G211" s="42">
        <f t="shared" si="137"/>
        <v>501.5</v>
      </c>
      <c r="H211" s="43"/>
      <c r="I211" s="42">
        <f t="shared" si="138"/>
        <v>7996.333333333333</v>
      </c>
      <c r="J211" s="42">
        <f t="shared" si="139"/>
        <v>-2.3333333333330302</v>
      </c>
      <c r="K211" s="42">
        <f t="shared" si="140"/>
        <v>5.4444444444430298</v>
      </c>
      <c r="L211" s="42">
        <f t="shared" si="141"/>
        <v>2.3333333333330302</v>
      </c>
      <c r="M211" s="43"/>
      <c r="N211" s="42">
        <f t="shared" si="142"/>
        <v>8818.75</v>
      </c>
      <c r="O211" s="42">
        <f t="shared" si="144"/>
        <v>-824.75</v>
      </c>
      <c r="P211" s="42">
        <f t="shared" si="145"/>
        <v>680212.5625</v>
      </c>
      <c r="Q211" s="42">
        <f t="shared" si="143"/>
        <v>824.75</v>
      </c>
      <c r="R211" s="43"/>
      <c r="S211" s="42">
        <f t="shared" si="146"/>
        <v>8580.7999999999993</v>
      </c>
      <c r="T211" s="42">
        <f t="shared" si="148"/>
        <v>-586.79999999999927</v>
      </c>
      <c r="U211" s="42">
        <f t="shared" si="149"/>
        <v>344334.23999999912</v>
      </c>
      <c r="V211" s="42">
        <f t="shared" si="147"/>
        <v>586.79999999999927</v>
      </c>
      <c r="W211" s="43"/>
      <c r="X211" s="42">
        <f t="shared" si="150"/>
        <v>8730.6666666666661</v>
      </c>
      <c r="Y211" s="42">
        <f t="shared" si="152"/>
        <v>-736.66666666666606</v>
      </c>
      <c r="Z211" s="42">
        <f t="shared" si="153"/>
        <v>542677.77777777694</v>
      </c>
      <c r="AA211" s="42">
        <f t="shared" si="151"/>
        <v>736.66666666666606</v>
      </c>
      <c r="AB211" s="43"/>
      <c r="AC211" s="42">
        <f t="shared" si="154"/>
        <v>9230.5714285714294</v>
      </c>
      <c r="AD211" s="42">
        <f t="shared" si="156"/>
        <v>-1236.5714285714294</v>
      </c>
      <c r="AE211" s="42">
        <f t="shared" si="157"/>
        <v>1529108.8979591855</v>
      </c>
      <c r="AF211" s="42">
        <f t="shared" si="155"/>
        <v>1236.5714285714294</v>
      </c>
      <c r="AG211" s="43"/>
      <c r="AH211" s="42">
        <f t="shared" si="158"/>
        <v>9498.125</v>
      </c>
      <c r="AI211" s="42">
        <f t="shared" si="161"/>
        <v>-1504.125</v>
      </c>
      <c r="AJ211" s="42">
        <f t="shared" si="159"/>
        <v>2262392.015625</v>
      </c>
      <c r="AK211" s="42">
        <f t="shared" si="160"/>
        <v>1504.125</v>
      </c>
      <c r="AL211" s="43"/>
      <c r="AM211" s="42">
        <f t="shared" si="162"/>
        <v>10054.555555555555</v>
      </c>
      <c r="AN211" s="42">
        <f t="shared" si="165"/>
        <v>-2060.5555555555547</v>
      </c>
      <c r="AO211" s="42">
        <f t="shared" si="163"/>
        <v>4245889.197530861</v>
      </c>
      <c r="AP211" s="42">
        <f t="shared" si="164"/>
        <v>2060.5555555555547</v>
      </c>
      <c r="AQ211" s="43"/>
      <c r="AR211" s="42">
        <f t="shared" si="166"/>
        <v>10520.5</v>
      </c>
      <c r="AS211" s="42">
        <f t="shared" si="167"/>
        <v>-2526.5</v>
      </c>
      <c r="AT211" s="42">
        <f t="shared" si="168"/>
        <v>6383202.25</v>
      </c>
      <c r="AU211" s="42">
        <f t="shared" si="133"/>
        <v>2526.5</v>
      </c>
      <c r="AV211" s="43"/>
      <c r="AW211" s="42">
        <f t="shared" si="169"/>
        <v>11062.272727272728</v>
      </c>
      <c r="AX211" s="42">
        <f t="shared" si="172"/>
        <v>-3068.2727272727279</v>
      </c>
      <c r="AY211" s="42">
        <f t="shared" si="170"/>
        <v>9414297.5289256237</v>
      </c>
      <c r="AZ211" s="42">
        <f t="shared" si="171"/>
        <v>3068.2727272727279</v>
      </c>
      <c r="BA211" s="43"/>
      <c r="BB211" s="44">
        <f t="shared" si="134"/>
        <v>11300</v>
      </c>
      <c r="BC211" s="42">
        <f t="shared" si="175"/>
        <v>-3306</v>
      </c>
      <c r="BD211" s="42">
        <f t="shared" si="173"/>
        <v>10929636</v>
      </c>
      <c r="BE211" s="42">
        <f t="shared" si="174"/>
        <v>3306</v>
      </c>
    </row>
    <row r="212" spans="1:57" ht="18" x14ac:dyDescent="0.2">
      <c r="A212" s="7">
        <v>44682</v>
      </c>
      <c r="B212" s="17">
        <v>8713</v>
      </c>
      <c r="D212" s="42">
        <f t="shared" si="135"/>
        <v>8411</v>
      </c>
      <c r="E212" s="42">
        <f t="shared" si="132"/>
        <v>302</v>
      </c>
      <c r="F212" s="42">
        <f t="shared" si="136"/>
        <v>91204</v>
      </c>
      <c r="G212" s="42">
        <f t="shared" si="137"/>
        <v>302</v>
      </c>
      <c r="H212" s="43"/>
      <c r="I212" s="42">
        <f t="shared" si="138"/>
        <v>8328.3333333333339</v>
      </c>
      <c r="J212" s="42">
        <f t="shared" si="139"/>
        <v>384.66666666666606</v>
      </c>
      <c r="K212" s="42">
        <f t="shared" si="140"/>
        <v>147968.44444444397</v>
      </c>
      <c r="L212" s="42">
        <f t="shared" si="141"/>
        <v>384.66666666666606</v>
      </c>
      <c r="M212" s="43"/>
      <c r="N212" s="42">
        <f t="shared" si="142"/>
        <v>7995.75</v>
      </c>
      <c r="O212" s="42">
        <f t="shared" si="144"/>
        <v>717.25</v>
      </c>
      <c r="P212" s="42">
        <f t="shared" si="145"/>
        <v>514447.5625</v>
      </c>
      <c r="Q212" s="42">
        <f t="shared" si="143"/>
        <v>717.25</v>
      </c>
      <c r="R212" s="43"/>
      <c r="S212" s="42">
        <f t="shared" si="146"/>
        <v>8653.7999999999993</v>
      </c>
      <c r="T212" s="42">
        <f t="shared" si="148"/>
        <v>59.200000000000728</v>
      </c>
      <c r="U212" s="42">
        <f t="shared" si="149"/>
        <v>3504.6400000000863</v>
      </c>
      <c r="V212" s="42">
        <f t="shared" si="147"/>
        <v>59.200000000000728</v>
      </c>
      <c r="W212" s="43"/>
      <c r="X212" s="42">
        <f t="shared" si="150"/>
        <v>8483</v>
      </c>
      <c r="Y212" s="42">
        <f t="shared" si="152"/>
        <v>230</v>
      </c>
      <c r="Z212" s="42">
        <f t="shared" si="153"/>
        <v>52900</v>
      </c>
      <c r="AA212" s="42">
        <f t="shared" si="151"/>
        <v>230</v>
      </c>
      <c r="AB212" s="43"/>
      <c r="AC212" s="42">
        <f t="shared" si="154"/>
        <v>8625.4285714285706</v>
      </c>
      <c r="AD212" s="42">
        <f t="shared" si="156"/>
        <v>87.571428571429351</v>
      </c>
      <c r="AE212" s="42">
        <f t="shared" si="157"/>
        <v>7668.7551020409528</v>
      </c>
      <c r="AF212" s="42">
        <f t="shared" si="155"/>
        <v>87.571428571429351</v>
      </c>
      <c r="AG212" s="43"/>
      <c r="AH212" s="42">
        <f t="shared" si="158"/>
        <v>9076</v>
      </c>
      <c r="AI212" s="42">
        <f t="shared" si="161"/>
        <v>-363</v>
      </c>
      <c r="AJ212" s="42">
        <f t="shared" si="159"/>
        <v>131769</v>
      </c>
      <c r="AK212" s="42">
        <f t="shared" si="160"/>
        <v>363</v>
      </c>
      <c r="AL212" s="43"/>
      <c r="AM212" s="42">
        <f t="shared" si="162"/>
        <v>9331</v>
      </c>
      <c r="AN212" s="42">
        <f t="shared" si="165"/>
        <v>-618</v>
      </c>
      <c r="AO212" s="42">
        <f t="shared" si="163"/>
        <v>381924</v>
      </c>
      <c r="AP212" s="42">
        <f t="shared" si="164"/>
        <v>618</v>
      </c>
      <c r="AQ212" s="43"/>
      <c r="AR212" s="42">
        <f t="shared" si="166"/>
        <v>9848.5</v>
      </c>
      <c r="AS212" s="42">
        <f t="shared" si="167"/>
        <v>-1135.5</v>
      </c>
      <c r="AT212" s="42">
        <f t="shared" si="168"/>
        <v>1289360.25</v>
      </c>
      <c r="AU212" s="42">
        <f t="shared" si="133"/>
        <v>1135.5</v>
      </c>
      <c r="AV212" s="43"/>
      <c r="AW212" s="42">
        <f t="shared" si="169"/>
        <v>10290.818181818182</v>
      </c>
      <c r="AX212" s="42">
        <f t="shared" si="172"/>
        <v>-1577.818181818182</v>
      </c>
      <c r="AY212" s="42">
        <f t="shared" si="170"/>
        <v>2489510.2148760334</v>
      </c>
      <c r="AZ212" s="42">
        <f t="shared" si="171"/>
        <v>1577.818181818182</v>
      </c>
      <c r="BA212" s="43"/>
      <c r="BB212" s="44">
        <f t="shared" si="134"/>
        <v>10806.583333333334</v>
      </c>
      <c r="BC212" s="42">
        <f t="shared" si="175"/>
        <v>-2093.5833333333339</v>
      </c>
      <c r="BD212" s="42">
        <f t="shared" si="173"/>
        <v>4383091.1736111138</v>
      </c>
      <c r="BE212" s="42">
        <f t="shared" si="174"/>
        <v>2093.5833333333339</v>
      </c>
    </row>
    <row r="213" spans="1:57" ht="18" x14ac:dyDescent="0.2">
      <c r="A213" s="7">
        <v>44713</v>
      </c>
      <c r="B213" s="17">
        <v>5739</v>
      </c>
      <c r="D213" s="42">
        <f t="shared" si="135"/>
        <v>8353.5</v>
      </c>
      <c r="E213" s="42">
        <f t="shared" si="132"/>
        <v>-2614.5</v>
      </c>
      <c r="F213" s="42">
        <f t="shared" si="136"/>
        <v>6835610.25</v>
      </c>
      <c r="G213" s="42">
        <f t="shared" si="137"/>
        <v>2614.5</v>
      </c>
      <c r="H213" s="43"/>
      <c r="I213" s="42">
        <f t="shared" si="138"/>
        <v>8511.6666666666661</v>
      </c>
      <c r="J213" s="42">
        <f t="shared" si="139"/>
        <v>-2772.6666666666661</v>
      </c>
      <c r="K213" s="42">
        <f t="shared" si="140"/>
        <v>7687680.4444444412</v>
      </c>
      <c r="L213" s="42">
        <f t="shared" si="141"/>
        <v>2772.6666666666661</v>
      </c>
      <c r="M213" s="43"/>
      <c r="N213" s="42">
        <f t="shared" si="142"/>
        <v>8424.5</v>
      </c>
      <c r="O213" s="42">
        <f t="shared" si="144"/>
        <v>-2685.5</v>
      </c>
      <c r="P213" s="42">
        <f t="shared" si="145"/>
        <v>7211910.25</v>
      </c>
      <c r="Q213" s="42">
        <f t="shared" si="143"/>
        <v>2685.5</v>
      </c>
      <c r="R213" s="43"/>
      <c r="S213" s="42">
        <f t="shared" si="146"/>
        <v>8139.2</v>
      </c>
      <c r="T213" s="42">
        <f t="shared" si="148"/>
        <v>-2400.1999999999998</v>
      </c>
      <c r="U213" s="42">
        <f t="shared" si="149"/>
        <v>5760960.0399999991</v>
      </c>
      <c r="V213" s="42">
        <f t="shared" si="147"/>
        <v>2400.1999999999998</v>
      </c>
      <c r="W213" s="43"/>
      <c r="X213" s="42">
        <f t="shared" si="150"/>
        <v>8663.6666666666661</v>
      </c>
      <c r="Y213" s="42">
        <f t="shared" si="152"/>
        <v>-2924.6666666666661</v>
      </c>
      <c r="Z213" s="42">
        <f t="shared" si="153"/>
        <v>8553675.1111111082</v>
      </c>
      <c r="AA213" s="42">
        <f t="shared" si="151"/>
        <v>2924.6666666666661</v>
      </c>
      <c r="AB213" s="43"/>
      <c r="AC213" s="42">
        <f t="shared" si="154"/>
        <v>8515.8571428571431</v>
      </c>
      <c r="AD213" s="42">
        <f t="shared" si="156"/>
        <v>-2776.8571428571431</v>
      </c>
      <c r="AE213" s="42">
        <f t="shared" si="157"/>
        <v>7710935.5918367365</v>
      </c>
      <c r="AF213" s="42">
        <f t="shared" si="155"/>
        <v>2776.8571428571431</v>
      </c>
      <c r="AG213" s="43"/>
      <c r="AH213" s="42">
        <f t="shared" si="158"/>
        <v>8636.375</v>
      </c>
      <c r="AI213" s="42">
        <f t="shared" si="161"/>
        <v>-2897.375</v>
      </c>
      <c r="AJ213" s="42">
        <f t="shared" si="159"/>
        <v>8394781.890625</v>
      </c>
      <c r="AK213" s="42">
        <f t="shared" si="160"/>
        <v>2897.375</v>
      </c>
      <c r="AL213" s="43"/>
      <c r="AM213" s="42">
        <f t="shared" si="162"/>
        <v>9035.6666666666661</v>
      </c>
      <c r="AN213" s="42">
        <f t="shared" si="165"/>
        <v>-3296.6666666666661</v>
      </c>
      <c r="AO213" s="42">
        <f t="shared" si="163"/>
        <v>10868011.111111106</v>
      </c>
      <c r="AP213" s="42">
        <f t="shared" si="164"/>
        <v>3296.6666666666661</v>
      </c>
      <c r="AQ213" s="43"/>
      <c r="AR213" s="42">
        <f t="shared" si="166"/>
        <v>9269.2000000000007</v>
      </c>
      <c r="AS213" s="42">
        <f t="shared" si="167"/>
        <v>-3530.2000000000007</v>
      </c>
      <c r="AT213" s="42">
        <f t="shared" si="168"/>
        <v>12462312.040000005</v>
      </c>
      <c r="AU213" s="42">
        <f t="shared" si="133"/>
        <v>3530.2000000000007</v>
      </c>
      <c r="AV213" s="43"/>
      <c r="AW213" s="42">
        <f t="shared" si="169"/>
        <v>9745.2727272727279</v>
      </c>
      <c r="AX213" s="42">
        <f t="shared" si="172"/>
        <v>-4006.2727272727279</v>
      </c>
      <c r="AY213" s="42">
        <f t="shared" si="170"/>
        <v>16050221.165289262</v>
      </c>
      <c r="AZ213" s="42">
        <f t="shared" si="171"/>
        <v>4006.2727272727279</v>
      </c>
      <c r="BA213" s="43"/>
      <c r="BB213" s="44">
        <f t="shared" si="134"/>
        <v>10159.333333333334</v>
      </c>
      <c r="BC213" s="42">
        <f t="shared" si="175"/>
        <v>-4420.3333333333339</v>
      </c>
      <c r="BD213" s="42">
        <f t="shared" si="173"/>
        <v>19539346.777777784</v>
      </c>
      <c r="BE213" s="42">
        <f t="shared" si="174"/>
        <v>4420.3333333333339</v>
      </c>
    </row>
    <row r="214" spans="1:57" ht="18" x14ac:dyDescent="0.2">
      <c r="A214" s="7">
        <v>44743</v>
      </c>
      <c r="B214" s="17">
        <v>10615</v>
      </c>
      <c r="D214" s="42">
        <f t="shared" si="135"/>
        <v>7226</v>
      </c>
      <c r="E214" s="42">
        <f t="shared" si="132"/>
        <v>3389</v>
      </c>
      <c r="F214" s="42">
        <f t="shared" si="136"/>
        <v>11485321</v>
      </c>
      <c r="G214" s="42">
        <f t="shared" si="137"/>
        <v>3389</v>
      </c>
      <c r="H214" s="43"/>
      <c r="I214" s="42">
        <f t="shared" si="138"/>
        <v>7482</v>
      </c>
      <c r="J214" s="42">
        <f t="shared" si="139"/>
        <v>3133</v>
      </c>
      <c r="K214" s="42">
        <f t="shared" si="140"/>
        <v>9815689</v>
      </c>
      <c r="L214" s="42">
        <f t="shared" si="141"/>
        <v>3133</v>
      </c>
      <c r="M214" s="43"/>
      <c r="N214" s="42">
        <f t="shared" si="142"/>
        <v>7818.5</v>
      </c>
      <c r="O214" s="42">
        <f t="shared" si="144"/>
        <v>2796.5</v>
      </c>
      <c r="P214" s="42">
        <f t="shared" si="145"/>
        <v>7820412.25</v>
      </c>
      <c r="Q214" s="42">
        <f t="shared" si="143"/>
        <v>2796.5</v>
      </c>
      <c r="R214" s="43"/>
      <c r="S214" s="42">
        <f t="shared" si="146"/>
        <v>7887.4</v>
      </c>
      <c r="T214" s="42">
        <f t="shared" si="148"/>
        <v>2727.6000000000004</v>
      </c>
      <c r="U214" s="42">
        <f t="shared" si="149"/>
        <v>7439801.7600000016</v>
      </c>
      <c r="V214" s="42">
        <f t="shared" si="147"/>
        <v>2727.6000000000004</v>
      </c>
      <c r="W214" s="43"/>
      <c r="X214" s="42">
        <f t="shared" si="150"/>
        <v>7739.166666666667</v>
      </c>
      <c r="Y214" s="42">
        <f t="shared" si="152"/>
        <v>2875.833333333333</v>
      </c>
      <c r="Z214" s="42">
        <f t="shared" si="153"/>
        <v>8270417.3611111091</v>
      </c>
      <c r="AA214" s="42">
        <f t="shared" si="151"/>
        <v>2875.833333333333</v>
      </c>
      <c r="AB214" s="43"/>
      <c r="AC214" s="42">
        <f t="shared" si="154"/>
        <v>8245.8571428571431</v>
      </c>
      <c r="AD214" s="42">
        <f t="shared" si="156"/>
        <v>2369.1428571428569</v>
      </c>
      <c r="AE214" s="42">
        <f t="shared" si="157"/>
        <v>5612837.8775510192</v>
      </c>
      <c r="AF214" s="42">
        <f t="shared" si="155"/>
        <v>2369.1428571428569</v>
      </c>
      <c r="AG214" s="43"/>
      <c r="AH214" s="42">
        <f t="shared" si="158"/>
        <v>8168.75</v>
      </c>
      <c r="AI214" s="42">
        <f t="shared" si="161"/>
        <v>2446.25</v>
      </c>
      <c r="AJ214" s="42">
        <f t="shared" si="159"/>
        <v>5984139.0625</v>
      </c>
      <c r="AK214" s="42">
        <f t="shared" si="160"/>
        <v>2446.25</v>
      </c>
      <c r="AL214" s="43"/>
      <c r="AM214" s="42">
        <f t="shared" si="162"/>
        <v>8314.4444444444453</v>
      </c>
      <c r="AN214" s="42">
        <f t="shared" si="165"/>
        <v>2300.5555555555547</v>
      </c>
      <c r="AO214" s="42">
        <f t="shared" si="163"/>
        <v>5292555.8641975271</v>
      </c>
      <c r="AP214" s="42">
        <f t="shared" si="164"/>
        <v>2300.5555555555547</v>
      </c>
      <c r="AQ214" s="43"/>
      <c r="AR214" s="42">
        <f t="shared" si="166"/>
        <v>8706</v>
      </c>
      <c r="AS214" s="42">
        <f t="shared" si="167"/>
        <v>1909</v>
      </c>
      <c r="AT214" s="42">
        <f t="shared" si="168"/>
        <v>3644281</v>
      </c>
      <c r="AU214" s="42">
        <f t="shared" si="133"/>
        <v>1909</v>
      </c>
      <c r="AV214" s="43"/>
      <c r="AW214" s="42">
        <f t="shared" si="169"/>
        <v>8948.2727272727279</v>
      </c>
      <c r="AX214" s="42">
        <f t="shared" si="172"/>
        <v>1666.7272727272721</v>
      </c>
      <c r="AY214" s="42">
        <f t="shared" si="170"/>
        <v>2777979.8016528902</v>
      </c>
      <c r="AZ214" s="42">
        <f t="shared" si="171"/>
        <v>1666.7272727272721</v>
      </c>
      <c r="BA214" s="43"/>
      <c r="BB214" s="44">
        <f t="shared" si="134"/>
        <v>9411.4166666666661</v>
      </c>
      <c r="BC214" s="42">
        <f t="shared" si="175"/>
        <v>1203.5833333333339</v>
      </c>
      <c r="BD214" s="42">
        <f t="shared" si="173"/>
        <v>1448612.8402777791</v>
      </c>
      <c r="BE214" s="42">
        <f t="shared" si="174"/>
        <v>1203.5833333333339</v>
      </c>
    </row>
    <row r="215" spans="1:57" ht="18" x14ac:dyDescent="0.2">
      <c r="A215" s="7">
        <v>44774</v>
      </c>
      <c r="B215" s="17">
        <v>8690</v>
      </c>
      <c r="D215" s="42">
        <f t="shared" si="135"/>
        <v>8177</v>
      </c>
      <c r="E215" s="42">
        <f t="shared" si="132"/>
        <v>513</v>
      </c>
      <c r="F215" s="42">
        <f t="shared" si="136"/>
        <v>263169</v>
      </c>
      <c r="G215" s="42">
        <f t="shared" si="137"/>
        <v>513</v>
      </c>
      <c r="H215" s="43"/>
      <c r="I215" s="42">
        <f t="shared" si="138"/>
        <v>8355.6666666666661</v>
      </c>
      <c r="J215" s="42">
        <f t="shared" si="139"/>
        <v>334.33333333333394</v>
      </c>
      <c r="K215" s="42">
        <f t="shared" si="140"/>
        <v>111778.77777777819</v>
      </c>
      <c r="L215" s="42">
        <f t="shared" si="141"/>
        <v>334.33333333333394</v>
      </c>
      <c r="M215" s="43"/>
      <c r="N215" s="42">
        <f t="shared" si="142"/>
        <v>8265.25</v>
      </c>
      <c r="O215" s="42">
        <f t="shared" si="144"/>
        <v>424.75</v>
      </c>
      <c r="P215" s="42">
        <f t="shared" si="145"/>
        <v>180412.5625</v>
      </c>
      <c r="Q215" s="42">
        <f t="shared" si="143"/>
        <v>424.75</v>
      </c>
      <c r="R215" s="43"/>
      <c r="S215" s="42">
        <f t="shared" si="146"/>
        <v>8377.7999999999993</v>
      </c>
      <c r="T215" s="42">
        <f t="shared" si="148"/>
        <v>312.20000000000073</v>
      </c>
      <c r="U215" s="42">
        <f t="shared" si="149"/>
        <v>97468.840000000448</v>
      </c>
      <c r="V215" s="42">
        <f t="shared" si="147"/>
        <v>312.20000000000073</v>
      </c>
      <c r="W215" s="43"/>
      <c r="X215" s="42">
        <f t="shared" si="150"/>
        <v>8342</v>
      </c>
      <c r="Y215" s="42">
        <f t="shared" si="152"/>
        <v>348</v>
      </c>
      <c r="Z215" s="42">
        <f t="shared" si="153"/>
        <v>121104</v>
      </c>
      <c r="AA215" s="42">
        <f t="shared" si="151"/>
        <v>348</v>
      </c>
      <c r="AB215" s="43"/>
      <c r="AC215" s="42">
        <f t="shared" si="154"/>
        <v>8150</v>
      </c>
      <c r="AD215" s="42">
        <f t="shared" si="156"/>
        <v>540</v>
      </c>
      <c r="AE215" s="42">
        <f t="shared" si="157"/>
        <v>291600</v>
      </c>
      <c r="AF215" s="42">
        <f t="shared" si="155"/>
        <v>540</v>
      </c>
      <c r="AG215" s="43"/>
      <c r="AH215" s="42">
        <f t="shared" si="158"/>
        <v>8542</v>
      </c>
      <c r="AI215" s="42">
        <f t="shared" si="161"/>
        <v>148</v>
      </c>
      <c r="AJ215" s="42">
        <f t="shared" si="159"/>
        <v>21904</v>
      </c>
      <c r="AK215" s="42">
        <f t="shared" si="160"/>
        <v>148</v>
      </c>
      <c r="AL215" s="43"/>
      <c r="AM215" s="42">
        <f t="shared" si="162"/>
        <v>8440.5555555555547</v>
      </c>
      <c r="AN215" s="42">
        <f t="shared" si="165"/>
        <v>249.44444444444525</v>
      </c>
      <c r="AO215" s="42">
        <f t="shared" si="163"/>
        <v>62222.530864197935</v>
      </c>
      <c r="AP215" s="42">
        <f t="shared" si="164"/>
        <v>249.44444444444525</v>
      </c>
      <c r="AQ215" s="43"/>
      <c r="AR215" s="42">
        <f t="shared" si="166"/>
        <v>8544.5</v>
      </c>
      <c r="AS215" s="42">
        <f t="shared" si="167"/>
        <v>145.5</v>
      </c>
      <c r="AT215" s="42">
        <f t="shared" si="168"/>
        <v>21170.25</v>
      </c>
      <c r="AU215" s="42">
        <f t="shared" si="133"/>
        <v>145.5</v>
      </c>
      <c r="AV215" s="43"/>
      <c r="AW215" s="42">
        <f t="shared" si="169"/>
        <v>8879.545454545454</v>
      </c>
      <c r="AX215" s="42">
        <f t="shared" si="172"/>
        <v>-189.54545454545405</v>
      </c>
      <c r="AY215" s="42">
        <f t="shared" si="170"/>
        <v>35927.479338842786</v>
      </c>
      <c r="AZ215" s="42">
        <f t="shared" si="171"/>
        <v>189.54545454545405</v>
      </c>
      <c r="BA215" s="43"/>
      <c r="BB215" s="44">
        <f t="shared" si="134"/>
        <v>9087.1666666666661</v>
      </c>
      <c r="BC215" s="42">
        <f t="shared" si="175"/>
        <v>-397.16666666666606</v>
      </c>
      <c r="BD215" s="42">
        <f t="shared" si="173"/>
        <v>157741.36111111063</v>
      </c>
      <c r="BE215" s="42">
        <f t="shared" si="174"/>
        <v>397.16666666666606</v>
      </c>
    </row>
    <row r="216" spans="1:57" ht="18" x14ac:dyDescent="0.2">
      <c r="A216" s="7">
        <v>44805</v>
      </c>
      <c r="B216" s="17">
        <v>8212</v>
      </c>
      <c r="D216" s="42">
        <f t="shared" si="135"/>
        <v>9652.5</v>
      </c>
      <c r="E216" s="42">
        <f t="shared" si="132"/>
        <v>-1440.5</v>
      </c>
      <c r="F216" s="42">
        <f t="shared" si="136"/>
        <v>2075040.25</v>
      </c>
      <c r="G216" s="42">
        <f t="shared" si="137"/>
        <v>1440.5</v>
      </c>
      <c r="H216" s="43"/>
      <c r="I216" s="42">
        <f t="shared" si="138"/>
        <v>8348</v>
      </c>
      <c r="J216" s="42">
        <f t="shared" si="139"/>
        <v>-136</v>
      </c>
      <c r="K216" s="42">
        <f t="shared" si="140"/>
        <v>18496</v>
      </c>
      <c r="L216" s="42">
        <f t="shared" si="141"/>
        <v>136</v>
      </c>
      <c r="M216" s="43"/>
      <c r="N216" s="42">
        <f t="shared" si="142"/>
        <v>8439.25</v>
      </c>
      <c r="O216" s="42">
        <f t="shared" si="144"/>
        <v>-227.25</v>
      </c>
      <c r="P216" s="42">
        <f t="shared" si="145"/>
        <v>51642.5625</v>
      </c>
      <c r="Q216" s="42">
        <f t="shared" si="143"/>
        <v>227.25</v>
      </c>
      <c r="R216" s="43"/>
      <c r="S216" s="42">
        <f t="shared" si="146"/>
        <v>8350.2000000000007</v>
      </c>
      <c r="T216" s="42">
        <f t="shared" si="148"/>
        <v>-138.20000000000073</v>
      </c>
      <c r="U216" s="42">
        <f t="shared" si="149"/>
        <v>19099.240000000202</v>
      </c>
      <c r="V216" s="42">
        <f t="shared" si="147"/>
        <v>138.20000000000073</v>
      </c>
      <c r="W216" s="43"/>
      <c r="X216" s="42">
        <f t="shared" si="150"/>
        <v>8429.8333333333339</v>
      </c>
      <c r="Y216" s="42">
        <f t="shared" si="152"/>
        <v>-217.83333333333394</v>
      </c>
      <c r="Z216" s="42">
        <f t="shared" si="153"/>
        <v>47451.361111111379</v>
      </c>
      <c r="AA216" s="42">
        <f t="shared" si="151"/>
        <v>217.83333333333394</v>
      </c>
      <c r="AB216" s="43"/>
      <c r="AC216" s="42">
        <f t="shared" si="154"/>
        <v>8391.7142857142862</v>
      </c>
      <c r="AD216" s="42">
        <f t="shared" si="156"/>
        <v>-179.71428571428623</v>
      </c>
      <c r="AE216" s="42">
        <f t="shared" si="157"/>
        <v>32297.224489796106</v>
      </c>
      <c r="AF216" s="42">
        <f t="shared" si="155"/>
        <v>179.71428571428623</v>
      </c>
      <c r="AG216" s="43"/>
      <c r="AH216" s="42">
        <f t="shared" si="158"/>
        <v>8217.5</v>
      </c>
      <c r="AI216" s="42">
        <f t="shared" si="161"/>
        <v>-5.5</v>
      </c>
      <c r="AJ216" s="42">
        <f t="shared" si="159"/>
        <v>30.25</v>
      </c>
      <c r="AK216" s="42">
        <f t="shared" si="160"/>
        <v>5.5</v>
      </c>
      <c r="AL216" s="43"/>
      <c r="AM216" s="42">
        <f t="shared" si="162"/>
        <v>8558.4444444444453</v>
      </c>
      <c r="AN216" s="42">
        <f t="shared" si="165"/>
        <v>-346.44444444444525</v>
      </c>
      <c r="AO216" s="42">
        <f t="shared" si="163"/>
        <v>120023.75308642031</v>
      </c>
      <c r="AP216" s="42">
        <f t="shared" si="164"/>
        <v>346.44444444444525</v>
      </c>
      <c r="AQ216" s="43"/>
      <c r="AR216" s="42">
        <f t="shared" si="166"/>
        <v>8465.5</v>
      </c>
      <c r="AS216" s="42">
        <f t="shared" si="167"/>
        <v>-253.5</v>
      </c>
      <c r="AT216" s="42">
        <f t="shared" si="168"/>
        <v>64262.25</v>
      </c>
      <c r="AU216" s="42">
        <f t="shared" si="133"/>
        <v>253.5</v>
      </c>
      <c r="AV216" s="43"/>
      <c r="AW216" s="42">
        <f t="shared" si="169"/>
        <v>8557.7272727272721</v>
      </c>
      <c r="AX216" s="42">
        <f t="shared" si="172"/>
        <v>-345.72727272727207</v>
      </c>
      <c r="AY216" s="42">
        <f t="shared" si="170"/>
        <v>119527.34710743756</v>
      </c>
      <c r="AZ216" s="42">
        <f t="shared" si="171"/>
        <v>345.72727272727207</v>
      </c>
      <c r="BA216" s="43"/>
      <c r="BB216" s="44">
        <f t="shared" si="134"/>
        <v>8863.75</v>
      </c>
      <c r="BC216" s="42">
        <f t="shared" si="175"/>
        <v>-651.75</v>
      </c>
      <c r="BD216" s="42">
        <f t="shared" si="173"/>
        <v>424778.0625</v>
      </c>
      <c r="BE216" s="42">
        <f t="shared" si="174"/>
        <v>651.75</v>
      </c>
    </row>
    <row r="217" spans="1:57" ht="18" x14ac:dyDescent="0.2">
      <c r="A217" s="7">
        <v>44835</v>
      </c>
      <c r="B217" s="17">
        <v>8843</v>
      </c>
      <c r="D217" s="42">
        <f t="shared" si="135"/>
        <v>8451</v>
      </c>
      <c r="E217" s="42">
        <f t="shared" si="132"/>
        <v>392</v>
      </c>
      <c r="F217" s="42">
        <f t="shared" si="136"/>
        <v>153664</v>
      </c>
      <c r="G217" s="42">
        <f t="shared" si="137"/>
        <v>392</v>
      </c>
      <c r="H217" s="43"/>
      <c r="I217" s="42">
        <f t="shared" si="138"/>
        <v>9172.3333333333339</v>
      </c>
      <c r="J217" s="42">
        <f t="shared" si="139"/>
        <v>-329.33333333333394</v>
      </c>
      <c r="K217" s="42">
        <f t="shared" si="140"/>
        <v>108460.44444444485</v>
      </c>
      <c r="L217" s="42">
        <f t="shared" si="141"/>
        <v>329.33333333333394</v>
      </c>
      <c r="M217" s="43"/>
      <c r="N217" s="42">
        <f t="shared" si="142"/>
        <v>8314</v>
      </c>
      <c r="O217" s="42">
        <f t="shared" si="144"/>
        <v>529</v>
      </c>
      <c r="P217" s="42">
        <f t="shared" si="145"/>
        <v>279841</v>
      </c>
      <c r="Q217" s="42">
        <f t="shared" si="143"/>
        <v>529</v>
      </c>
      <c r="R217" s="43"/>
      <c r="S217" s="42">
        <f t="shared" si="146"/>
        <v>8393.7999999999993</v>
      </c>
      <c r="T217" s="42">
        <f t="shared" si="148"/>
        <v>449.20000000000073</v>
      </c>
      <c r="U217" s="42">
        <f t="shared" si="149"/>
        <v>201780.64000000065</v>
      </c>
      <c r="V217" s="42">
        <f t="shared" si="147"/>
        <v>449.20000000000073</v>
      </c>
      <c r="W217" s="43"/>
      <c r="X217" s="42">
        <f t="shared" si="150"/>
        <v>8327.1666666666661</v>
      </c>
      <c r="Y217" s="42">
        <f t="shared" si="152"/>
        <v>515.83333333333394</v>
      </c>
      <c r="Z217" s="42">
        <f t="shared" si="153"/>
        <v>266084.02777777839</v>
      </c>
      <c r="AA217" s="42">
        <f t="shared" si="151"/>
        <v>515.83333333333394</v>
      </c>
      <c r="AB217" s="43"/>
      <c r="AC217" s="42">
        <f t="shared" si="154"/>
        <v>8398.7142857142862</v>
      </c>
      <c r="AD217" s="42">
        <f t="shared" si="156"/>
        <v>444.28571428571377</v>
      </c>
      <c r="AE217" s="42">
        <f t="shared" si="157"/>
        <v>197389.79591836687</v>
      </c>
      <c r="AF217" s="42">
        <f t="shared" si="155"/>
        <v>444.28571428571377</v>
      </c>
      <c r="AG217" s="43"/>
      <c r="AH217" s="42">
        <f t="shared" si="158"/>
        <v>8369.25</v>
      </c>
      <c r="AI217" s="42">
        <f t="shared" si="161"/>
        <v>473.75</v>
      </c>
      <c r="AJ217" s="42">
        <f t="shared" si="159"/>
        <v>224439.0625</v>
      </c>
      <c r="AK217" s="42">
        <f t="shared" si="160"/>
        <v>473.75</v>
      </c>
      <c r="AL217" s="43"/>
      <c r="AM217" s="42">
        <f t="shared" si="162"/>
        <v>8216.8888888888887</v>
      </c>
      <c r="AN217" s="42">
        <f t="shared" si="165"/>
        <v>626.11111111111131</v>
      </c>
      <c r="AO217" s="42">
        <f t="shared" si="163"/>
        <v>392015.1234567904</v>
      </c>
      <c r="AP217" s="42">
        <f t="shared" si="164"/>
        <v>626.11111111111131</v>
      </c>
      <c r="AQ217" s="43"/>
      <c r="AR217" s="42">
        <f t="shared" si="166"/>
        <v>8523.7999999999993</v>
      </c>
      <c r="AS217" s="42">
        <f t="shared" si="167"/>
        <v>319.20000000000073</v>
      </c>
      <c r="AT217" s="42">
        <f t="shared" si="168"/>
        <v>101888.64000000047</v>
      </c>
      <c r="AU217" s="42">
        <f t="shared" si="133"/>
        <v>319.20000000000073</v>
      </c>
      <c r="AV217" s="43"/>
      <c r="AW217" s="42">
        <f t="shared" si="169"/>
        <v>8442.454545454546</v>
      </c>
      <c r="AX217" s="42">
        <f t="shared" si="172"/>
        <v>400.54545454545405</v>
      </c>
      <c r="AY217" s="42">
        <f t="shared" si="170"/>
        <v>160436.66115702438</v>
      </c>
      <c r="AZ217" s="42">
        <f t="shared" si="171"/>
        <v>400.54545454545405</v>
      </c>
      <c r="BA217" s="43"/>
      <c r="BB217" s="44">
        <f t="shared" si="134"/>
        <v>8528.9166666666661</v>
      </c>
      <c r="BC217" s="42">
        <f t="shared" si="175"/>
        <v>314.08333333333394</v>
      </c>
      <c r="BD217" s="42">
        <f t="shared" si="173"/>
        <v>98648.340277778159</v>
      </c>
      <c r="BE217" s="42">
        <f t="shared" si="174"/>
        <v>314.08333333333394</v>
      </c>
    </row>
    <row r="218" spans="1:57" ht="18" x14ac:dyDescent="0.2">
      <c r="A218" s="7">
        <v>44866</v>
      </c>
      <c r="B218" s="17">
        <v>7781</v>
      </c>
      <c r="D218" s="42">
        <f t="shared" si="135"/>
        <v>8527.5</v>
      </c>
      <c r="E218" s="42">
        <f t="shared" si="132"/>
        <v>-746.5</v>
      </c>
      <c r="F218" s="42">
        <f t="shared" si="136"/>
        <v>557262.25</v>
      </c>
      <c r="G218" s="42">
        <f t="shared" si="137"/>
        <v>746.5</v>
      </c>
      <c r="H218" s="43"/>
      <c r="I218" s="42">
        <f t="shared" si="138"/>
        <v>8581.6666666666661</v>
      </c>
      <c r="J218" s="42">
        <f t="shared" si="139"/>
        <v>-800.66666666666606</v>
      </c>
      <c r="K218" s="42">
        <f t="shared" si="140"/>
        <v>641067.11111111019</v>
      </c>
      <c r="L218" s="42">
        <f t="shared" si="141"/>
        <v>800.66666666666606</v>
      </c>
      <c r="M218" s="43"/>
      <c r="N218" s="42">
        <f t="shared" si="142"/>
        <v>9090</v>
      </c>
      <c r="O218" s="42">
        <f t="shared" si="144"/>
        <v>-1309</v>
      </c>
      <c r="P218" s="42">
        <f t="shared" si="145"/>
        <v>1713481</v>
      </c>
      <c r="Q218" s="42">
        <f t="shared" si="143"/>
        <v>1309</v>
      </c>
      <c r="R218" s="43"/>
      <c r="S218" s="42">
        <f t="shared" si="146"/>
        <v>8419.7999999999993</v>
      </c>
      <c r="T218" s="42">
        <f t="shared" si="148"/>
        <v>-638.79999999999927</v>
      </c>
      <c r="U218" s="42">
        <f t="shared" si="149"/>
        <v>408065.43999999907</v>
      </c>
      <c r="V218" s="42">
        <f t="shared" si="147"/>
        <v>638.79999999999927</v>
      </c>
      <c r="W218" s="43"/>
      <c r="X218" s="42">
        <f t="shared" si="150"/>
        <v>8468.6666666666661</v>
      </c>
      <c r="Y218" s="42">
        <f t="shared" si="152"/>
        <v>-687.66666666666606</v>
      </c>
      <c r="Z218" s="42">
        <f t="shared" si="153"/>
        <v>472885.44444444362</v>
      </c>
      <c r="AA218" s="42">
        <f t="shared" si="151"/>
        <v>687.66666666666606</v>
      </c>
      <c r="AB218" s="43"/>
      <c r="AC218" s="42">
        <f t="shared" si="154"/>
        <v>8400.8571428571431</v>
      </c>
      <c r="AD218" s="42">
        <f t="shared" si="156"/>
        <v>-619.85714285714312</v>
      </c>
      <c r="AE218" s="42">
        <f t="shared" si="157"/>
        <v>384222.87755102071</v>
      </c>
      <c r="AF218" s="42">
        <f t="shared" si="155"/>
        <v>619.85714285714312</v>
      </c>
      <c r="AG218" s="43"/>
      <c r="AH218" s="42">
        <f t="shared" si="158"/>
        <v>8454.25</v>
      </c>
      <c r="AI218" s="42">
        <f t="shared" si="161"/>
        <v>-673.25</v>
      </c>
      <c r="AJ218" s="42">
        <f t="shared" si="159"/>
        <v>453265.5625</v>
      </c>
      <c r="AK218" s="42">
        <f t="shared" si="160"/>
        <v>673.25</v>
      </c>
      <c r="AL218" s="43"/>
      <c r="AM218" s="42">
        <f t="shared" si="162"/>
        <v>8421.8888888888887</v>
      </c>
      <c r="AN218" s="42">
        <f t="shared" si="165"/>
        <v>-640.88888888888869</v>
      </c>
      <c r="AO218" s="42">
        <f t="shared" si="163"/>
        <v>410738.56790123432</v>
      </c>
      <c r="AP218" s="42">
        <f t="shared" si="164"/>
        <v>640.88888888888869</v>
      </c>
      <c r="AQ218" s="43"/>
      <c r="AR218" s="42">
        <f t="shared" si="166"/>
        <v>8279.5</v>
      </c>
      <c r="AS218" s="42">
        <f t="shared" si="167"/>
        <v>-498.5</v>
      </c>
      <c r="AT218" s="42">
        <f t="shared" si="168"/>
        <v>248502.25</v>
      </c>
      <c r="AU218" s="42">
        <f t="shared" si="133"/>
        <v>498.5</v>
      </c>
      <c r="AV218" s="43"/>
      <c r="AW218" s="42">
        <f t="shared" si="169"/>
        <v>8552.818181818182</v>
      </c>
      <c r="AX218" s="42">
        <f t="shared" si="172"/>
        <v>-771.81818181818198</v>
      </c>
      <c r="AY218" s="42">
        <f t="shared" si="170"/>
        <v>595703.30578512419</v>
      </c>
      <c r="AZ218" s="42">
        <f t="shared" si="171"/>
        <v>771.81818181818198</v>
      </c>
      <c r="BA218" s="43"/>
      <c r="BB218" s="44">
        <f t="shared" si="134"/>
        <v>8475.8333333333339</v>
      </c>
      <c r="BC218" s="42">
        <f t="shared" si="175"/>
        <v>-694.83333333333394</v>
      </c>
      <c r="BD218" s="42">
        <f t="shared" si="173"/>
        <v>482793.36111111194</v>
      </c>
      <c r="BE218" s="42">
        <f t="shared" si="174"/>
        <v>694.83333333333394</v>
      </c>
    </row>
    <row r="219" spans="1:57" ht="18" x14ac:dyDescent="0.2">
      <c r="A219" s="7">
        <v>44896</v>
      </c>
      <c r="B219" s="17">
        <v>8991</v>
      </c>
      <c r="D219" s="42">
        <f t="shared" si="135"/>
        <v>8312</v>
      </c>
      <c r="E219" s="42">
        <f t="shared" si="132"/>
        <v>679</v>
      </c>
      <c r="F219" s="42">
        <f t="shared" si="136"/>
        <v>461041</v>
      </c>
      <c r="G219" s="42">
        <f t="shared" si="137"/>
        <v>679</v>
      </c>
      <c r="H219" s="43"/>
      <c r="I219" s="42">
        <f t="shared" si="138"/>
        <v>8278.6666666666661</v>
      </c>
      <c r="J219" s="42">
        <f t="shared" si="139"/>
        <v>712.33333333333394</v>
      </c>
      <c r="K219" s="42">
        <f t="shared" si="140"/>
        <v>507418.77777777863</v>
      </c>
      <c r="L219" s="42">
        <f t="shared" si="141"/>
        <v>712.33333333333394</v>
      </c>
      <c r="M219" s="43"/>
      <c r="N219" s="42">
        <f t="shared" si="142"/>
        <v>8381.5</v>
      </c>
      <c r="O219" s="42">
        <f t="shared" si="144"/>
        <v>609.5</v>
      </c>
      <c r="P219" s="42">
        <f t="shared" si="145"/>
        <v>371490.25</v>
      </c>
      <c r="Q219" s="42">
        <f t="shared" si="143"/>
        <v>609.5</v>
      </c>
      <c r="R219" s="43"/>
      <c r="S219" s="42">
        <f t="shared" si="146"/>
        <v>8828.2000000000007</v>
      </c>
      <c r="T219" s="42">
        <f t="shared" si="148"/>
        <v>162.79999999999927</v>
      </c>
      <c r="U219" s="42">
        <f t="shared" si="149"/>
        <v>26503.839999999764</v>
      </c>
      <c r="V219" s="42">
        <f t="shared" si="147"/>
        <v>162.79999999999927</v>
      </c>
      <c r="W219" s="43"/>
      <c r="X219" s="42">
        <f t="shared" si="150"/>
        <v>8313.3333333333339</v>
      </c>
      <c r="Y219" s="42">
        <f t="shared" si="152"/>
        <v>677.66666666666606</v>
      </c>
      <c r="Z219" s="42">
        <f t="shared" si="153"/>
        <v>459232.11111111031</v>
      </c>
      <c r="AA219" s="42">
        <f t="shared" si="151"/>
        <v>677.66666666666606</v>
      </c>
      <c r="AB219" s="43"/>
      <c r="AC219" s="42">
        <f t="shared" si="154"/>
        <v>8370.4285714285706</v>
      </c>
      <c r="AD219" s="42">
        <f t="shared" si="156"/>
        <v>620.57142857142935</v>
      </c>
      <c r="AE219" s="42">
        <f t="shared" si="157"/>
        <v>385108.89795918466</v>
      </c>
      <c r="AF219" s="42">
        <f t="shared" si="155"/>
        <v>620.57142857142935</v>
      </c>
      <c r="AG219" s="43"/>
      <c r="AH219" s="42">
        <f t="shared" si="158"/>
        <v>8323.375</v>
      </c>
      <c r="AI219" s="42">
        <f t="shared" si="161"/>
        <v>667.625</v>
      </c>
      <c r="AJ219" s="42">
        <f t="shared" si="159"/>
        <v>445723.140625</v>
      </c>
      <c r="AK219" s="42">
        <f t="shared" si="160"/>
        <v>667.625</v>
      </c>
      <c r="AL219" s="43"/>
      <c r="AM219" s="42">
        <f t="shared" si="162"/>
        <v>8379.4444444444453</v>
      </c>
      <c r="AN219" s="42">
        <f t="shared" si="165"/>
        <v>611.55555555555475</v>
      </c>
      <c r="AO219" s="42">
        <f t="shared" si="163"/>
        <v>374000.19753086322</v>
      </c>
      <c r="AP219" s="42">
        <f t="shared" si="164"/>
        <v>611.55555555555475</v>
      </c>
      <c r="AQ219" s="43"/>
      <c r="AR219" s="42">
        <f t="shared" si="166"/>
        <v>8357.7999999999993</v>
      </c>
      <c r="AS219" s="42">
        <f t="shared" si="167"/>
        <v>633.20000000000073</v>
      </c>
      <c r="AT219" s="42">
        <f t="shared" si="168"/>
        <v>400942.24000000092</v>
      </c>
      <c r="AU219" s="42">
        <f t="shared" si="133"/>
        <v>633.20000000000073</v>
      </c>
      <c r="AV219" s="43"/>
      <c r="AW219" s="42">
        <f t="shared" si="169"/>
        <v>8234.181818181818</v>
      </c>
      <c r="AX219" s="42">
        <f t="shared" si="172"/>
        <v>756.81818181818198</v>
      </c>
      <c r="AY219" s="42">
        <f t="shared" si="170"/>
        <v>572773.76033057878</v>
      </c>
      <c r="AZ219" s="42">
        <f t="shared" si="171"/>
        <v>756.81818181818198</v>
      </c>
      <c r="BA219" s="43"/>
      <c r="BB219" s="44">
        <f t="shared" si="134"/>
        <v>8488.5</v>
      </c>
      <c r="BC219" s="42">
        <f t="shared" si="175"/>
        <v>502.5</v>
      </c>
      <c r="BD219" s="42">
        <f t="shared" si="173"/>
        <v>252506.25</v>
      </c>
      <c r="BE219" s="42">
        <f t="shared" si="174"/>
        <v>502.5</v>
      </c>
    </row>
    <row r="220" spans="1:57" ht="18" x14ac:dyDescent="0.2">
      <c r="A220" s="7">
        <v>44927</v>
      </c>
      <c r="B220" s="17">
        <v>6950</v>
      </c>
      <c r="D220" s="42">
        <f t="shared" si="135"/>
        <v>8386</v>
      </c>
      <c r="E220" s="42">
        <f t="shared" si="132"/>
        <v>-1436</v>
      </c>
      <c r="F220" s="42">
        <f t="shared" si="136"/>
        <v>2062096</v>
      </c>
      <c r="G220" s="42">
        <f t="shared" si="137"/>
        <v>1436</v>
      </c>
      <c r="H220" s="43"/>
      <c r="I220" s="42">
        <f t="shared" si="138"/>
        <v>8538.3333333333339</v>
      </c>
      <c r="J220" s="42">
        <f t="shared" si="139"/>
        <v>-1588.3333333333339</v>
      </c>
      <c r="K220" s="42">
        <f t="shared" si="140"/>
        <v>2522802.7777777798</v>
      </c>
      <c r="L220" s="42">
        <f t="shared" si="141"/>
        <v>1588.3333333333339</v>
      </c>
      <c r="M220" s="43"/>
      <c r="N220" s="42">
        <f t="shared" si="142"/>
        <v>8456.75</v>
      </c>
      <c r="O220" s="42">
        <f t="shared" si="144"/>
        <v>-1506.75</v>
      </c>
      <c r="P220" s="42">
        <f t="shared" si="145"/>
        <v>2270295.5625</v>
      </c>
      <c r="Q220" s="42">
        <f t="shared" si="143"/>
        <v>1506.75</v>
      </c>
      <c r="R220" s="43"/>
      <c r="S220" s="42">
        <f t="shared" si="146"/>
        <v>8503.4</v>
      </c>
      <c r="T220" s="42">
        <f t="shared" si="148"/>
        <v>-1553.3999999999996</v>
      </c>
      <c r="U220" s="42">
        <f t="shared" si="149"/>
        <v>2413051.5599999987</v>
      </c>
      <c r="V220" s="42">
        <f t="shared" si="147"/>
        <v>1553.3999999999996</v>
      </c>
      <c r="W220" s="43"/>
      <c r="X220" s="42">
        <f t="shared" si="150"/>
        <v>8855.3333333333339</v>
      </c>
      <c r="Y220" s="42">
        <f t="shared" si="152"/>
        <v>-1905.3333333333339</v>
      </c>
      <c r="Z220" s="42">
        <f t="shared" si="153"/>
        <v>3630295.1111111133</v>
      </c>
      <c r="AA220" s="42">
        <f t="shared" si="151"/>
        <v>1905.3333333333339</v>
      </c>
      <c r="AB220" s="43"/>
      <c r="AC220" s="42">
        <f t="shared" si="154"/>
        <v>8410.1428571428569</v>
      </c>
      <c r="AD220" s="42">
        <f t="shared" si="156"/>
        <v>-1460.1428571428569</v>
      </c>
      <c r="AE220" s="42">
        <f t="shared" si="157"/>
        <v>2132017.1632653056</v>
      </c>
      <c r="AF220" s="42">
        <f t="shared" si="155"/>
        <v>1460.1428571428569</v>
      </c>
      <c r="AG220" s="43"/>
      <c r="AH220" s="42">
        <f t="shared" si="158"/>
        <v>8448</v>
      </c>
      <c r="AI220" s="42">
        <f t="shared" si="161"/>
        <v>-1498</v>
      </c>
      <c r="AJ220" s="42">
        <f t="shared" si="159"/>
        <v>2244004</v>
      </c>
      <c r="AK220" s="42">
        <f t="shared" si="160"/>
        <v>1498</v>
      </c>
      <c r="AL220" s="43"/>
      <c r="AM220" s="42">
        <f t="shared" si="162"/>
        <v>8397.5555555555547</v>
      </c>
      <c r="AN220" s="42">
        <f t="shared" si="165"/>
        <v>-1447.5555555555547</v>
      </c>
      <c r="AO220" s="42">
        <f t="shared" si="163"/>
        <v>2095417.0864197507</v>
      </c>
      <c r="AP220" s="42">
        <f t="shared" si="164"/>
        <v>1447.5555555555547</v>
      </c>
      <c r="AQ220" s="43"/>
      <c r="AR220" s="42">
        <f t="shared" si="166"/>
        <v>8440.6</v>
      </c>
      <c r="AS220" s="42">
        <f t="shared" si="167"/>
        <v>-1490.6000000000004</v>
      </c>
      <c r="AT220" s="42">
        <f t="shared" si="168"/>
        <v>2221888.3600000013</v>
      </c>
      <c r="AU220" s="42">
        <f t="shared" si="133"/>
        <v>1490.6000000000004</v>
      </c>
      <c r="AV220" s="43"/>
      <c r="AW220" s="42">
        <f t="shared" si="169"/>
        <v>8415.363636363636</v>
      </c>
      <c r="AX220" s="42">
        <f t="shared" si="172"/>
        <v>-1465.363636363636</v>
      </c>
      <c r="AY220" s="42">
        <f t="shared" si="170"/>
        <v>2147290.5867768587</v>
      </c>
      <c r="AZ220" s="42">
        <f t="shared" si="171"/>
        <v>1465.363636363636</v>
      </c>
      <c r="BA220" s="43"/>
      <c r="BB220" s="44">
        <f t="shared" si="134"/>
        <v>8297.25</v>
      </c>
      <c r="BC220" s="42">
        <f t="shared" si="175"/>
        <v>-1347.25</v>
      </c>
      <c r="BD220" s="42">
        <f t="shared" si="173"/>
        <v>1815082.5625</v>
      </c>
      <c r="BE220" s="42">
        <f t="shared" si="174"/>
        <v>1347.25</v>
      </c>
    </row>
    <row r="221" spans="1:57" ht="18" x14ac:dyDescent="0.2">
      <c r="A221" s="7">
        <v>44958</v>
      </c>
      <c r="B221" s="17">
        <v>7271</v>
      </c>
      <c r="D221" s="42">
        <f t="shared" si="135"/>
        <v>7970.5</v>
      </c>
      <c r="E221" s="42">
        <f t="shared" si="132"/>
        <v>-699.5</v>
      </c>
      <c r="F221" s="42">
        <f t="shared" si="136"/>
        <v>489300.25</v>
      </c>
      <c r="G221" s="42">
        <f t="shared" si="137"/>
        <v>699.5</v>
      </c>
      <c r="H221" s="43"/>
      <c r="I221" s="42">
        <f t="shared" si="138"/>
        <v>7907.333333333333</v>
      </c>
      <c r="J221" s="42">
        <f t="shared" si="139"/>
        <v>-636.33333333333303</v>
      </c>
      <c r="K221" s="42">
        <f t="shared" si="140"/>
        <v>404920.11111111072</v>
      </c>
      <c r="L221" s="42">
        <f t="shared" si="141"/>
        <v>636.33333333333303</v>
      </c>
      <c r="M221" s="43"/>
      <c r="N221" s="42">
        <f t="shared" si="142"/>
        <v>8141.25</v>
      </c>
      <c r="O221" s="42">
        <f t="shared" si="144"/>
        <v>-870.25</v>
      </c>
      <c r="P221" s="42">
        <f t="shared" si="145"/>
        <v>757335.0625</v>
      </c>
      <c r="Q221" s="42">
        <f t="shared" si="143"/>
        <v>870.25</v>
      </c>
      <c r="R221" s="43"/>
      <c r="S221" s="42">
        <f t="shared" si="146"/>
        <v>8155.4</v>
      </c>
      <c r="T221" s="42">
        <f t="shared" si="148"/>
        <v>-884.39999999999964</v>
      </c>
      <c r="U221" s="42">
        <f t="shared" si="149"/>
        <v>782163.3599999994</v>
      </c>
      <c r="V221" s="42">
        <f t="shared" si="147"/>
        <v>884.39999999999964</v>
      </c>
      <c r="W221" s="43"/>
      <c r="X221" s="42">
        <f t="shared" si="150"/>
        <v>8244.5</v>
      </c>
      <c r="Y221" s="42">
        <f t="shared" si="152"/>
        <v>-973.5</v>
      </c>
      <c r="Z221" s="42">
        <f t="shared" si="153"/>
        <v>947702.25</v>
      </c>
      <c r="AA221" s="42">
        <f t="shared" si="151"/>
        <v>973.5</v>
      </c>
      <c r="AB221" s="43"/>
      <c r="AC221" s="42">
        <f t="shared" si="154"/>
        <v>8583.1428571428569</v>
      </c>
      <c r="AD221" s="42">
        <f t="shared" si="156"/>
        <v>-1312.1428571428569</v>
      </c>
      <c r="AE221" s="42">
        <f t="shared" si="157"/>
        <v>1721718.8775510197</v>
      </c>
      <c r="AF221" s="42">
        <f t="shared" si="155"/>
        <v>1312.1428571428569</v>
      </c>
      <c r="AG221" s="43"/>
      <c r="AH221" s="42">
        <f t="shared" si="158"/>
        <v>8227.625</v>
      </c>
      <c r="AI221" s="42">
        <f t="shared" si="161"/>
        <v>-956.625</v>
      </c>
      <c r="AJ221" s="42">
        <f t="shared" si="159"/>
        <v>915131.390625</v>
      </c>
      <c r="AK221" s="42">
        <f t="shared" si="160"/>
        <v>956.625</v>
      </c>
      <c r="AL221" s="43"/>
      <c r="AM221" s="42">
        <f t="shared" si="162"/>
        <v>8281.5555555555547</v>
      </c>
      <c r="AN221" s="42">
        <f t="shared" si="165"/>
        <v>-1010.5555555555547</v>
      </c>
      <c r="AO221" s="42">
        <f t="shared" si="163"/>
        <v>1021222.5308641959</v>
      </c>
      <c r="AP221" s="42">
        <f t="shared" si="164"/>
        <v>1010.5555555555547</v>
      </c>
      <c r="AQ221" s="43"/>
      <c r="AR221" s="42">
        <f t="shared" si="166"/>
        <v>8252.7999999999993</v>
      </c>
      <c r="AS221" s="42">
        <f t="shared" si="167"/>
        <v>-981.79999999999927</v>
      </c>
      <c r="AT221" s="42">
        <f t="shared" si="168"/>
        <v>963931.23999999859</v>
      </c>
      <c r="AU221" s="42">
        <f t="shared" si="133"/>
        <v>981.79999999999927</v>
      </c>
      <c r="AV221" s="43"/>
      <c r="AW221" s="42">
        <f t="shared" si="169"/>
        <v>8305.0909090909099</v>
      </c>
      <c r="AX221" s="42">
        <f t="shared" si="172"/>
        <v>-1034.0909090909099</v>
      </c>
      <c r="AY221" s="42">
        <f t="shared" si="170"/>
        <v>1069344.0082644646</v>
      </c>
      <c r="AZ221" s="42">
        <f t="shared" si="171"/>
        <v>1034.0909090909099</v>
      </c>
      <c r="BA221" s="43"/>
      <c r="BB221" s="44">
        <f t="shared" si="134"/>
        <v>8293.25</v>
      </c>
      <c r="BC221" s="42">
        <f t="shared" si="175"/>
        <v>-1022.25</v>
      </c>
      <c r="BD221" s="42">
        <f t="shared" si="173"/>
        <v>1044995.0625</v>
      </c>
      <c r="BE221" s="42">
        <f t="shared" si="174"/>
        <v>1022.25</v>
      </c>
    </row>
    <row r="222" spans="1:57" ht="18" x14ac:dyDescent="0.2">
      <c r="A222" s="7">
        <v>44986</v>
      </c>
      <c r="B222" s="17">
        <v>10483</v>
      </c>
      <c r="D222" s="42">
        <f t="shared" si="135"/>
        <v>7110.5</v>
      </c>
      <c r="E222" s="42">
        <f t="shared" si="132"/>
        <v>3372.5</v>
      </c>
      <c r="F222" s="42">
        <f t="shared" si="136"/>
        <v>11373756.25</v>
      </c>
      <c r="G222" s="42">
        <f t="shared" si="137"/>
        <v>3372.5</v>
      </c>
      <c r="H222" s="43"/>
      <c r="I222" s="42">
        <f t="shared" si="138"/>
        <v>7737.333333333333</v>
      </c>
      <c r="J222" s="42">
        <f t="shared" si="139"/>
        <v>2745.666666666667</v>
      </c>
      <c r="K222" s="42">
        <f t="shared" si="140"/>
        <v>7538685.4444444459</v>
      </c>
      <c r="L222" s="42">
        <f t="shared" si="141"/>
        <v>2745.666666666667</v>
      </c>
      <c r="M222" s="43"/>
      <c r="N222" s="42">
        <f t="shared" si="142"/>
        <v>7748.25</v>
      </c>
      <c r="O222" s="42">
        <f t="shared" si="144"/>
        <v>2734.75</v>
      </c>
      <c r="P222" s="42">
        <f t="shared" si="145"/>
        <v>7478857.5625</v>
      </c>
      <c r="Q222" s="42">
        <f t="shared" si="143"/>
        <v>2734.75</v>
      </c>
      <c r="R222" s="43"/>
      <c r="S222" s="42">
        <f t="shared" si="146"/>
        <v>7967.2</v>
      </c>
      <c r="T222" s="42">
        <f t="shared" si="148"/>
        <v>2515.8000000000002</v>
      </c>
      <c r="U222" s="42">
        <f t="shared" si="149"/>
        <v>6329249.6400000006</v>
      </c>
      <c r="V222" s="42">
        <f t="shared" si="147"/>
        <v>2515.8000000000002</v>
      </c>
      <c r="W222" s="43"/>
      <c r="X222" s="42">
        <f t="shared" si="150"/>
        <v>8008</v>
      </c>
      <c r="Y222" s="42">
        <f t="shared" si="152"/>
        <v>2475</v>
      </c>
      <c r="Z222" s="42">
        <f t="shared" si="153"/>
        <v>6125625</v>
      </c>
      <c r="AA222" s="42">
        <f t="shared" si="151"/>
        <v>2475</v>
      </c>
      <c r="AB222" s="43"/>
      <c r="AC222" s="42">
        <f t="shared" si="154"/>
        <v>8105.4285714285716</v>
      </c>
      <c r="AD222" s="42">
        <f t="shared" si="156"/>
        <v>2377.5714285714284</v>
      </c>
      <c r="AE222" s="42">
        <f t="shared" si="157"/>
        <v>5652845.897959183</v>
      </c>
      <c r="AF222" s="42">
        <f t="shared" si="155"/>
        <v>2377.5714285714284</v>
      </c>
      <c r="AG222" s="43"/>
      <c r="AH222" s="42">
        <f t="shared" si="158"/>
        <v>8419.125</v>
      </c>
      <c r="AI222" s="42">
        <f t="shared" si="161"/>
        <v>2063.875</v>
      </c>
      <c r="AJ222" s="42">
        <f t="shared" si="159"/>
        <v>4259580.015625</v>
      </c>
      <c r="AK222" s="42">
        <f t="shared" si="160"/>
        <v>2063.875</v>
      </c>
      <c r="AL222" s="43"/>
      <c r="AM222" s="42">
        <f t="shared" si="162"/>
        <v>8121.333333333333</v>
      </c>
      <c r="AN222" s="42">
        <f t="shared" si="165"/>
        <v>2361.666666666667</v>
      </c>
      <c r="AO222" s="42">
        <f t="shared" si="163"/>
        <v>5577469.4444444459</v>
      </c>
      <c r="AP222" s="42">
        <f t="shared" si="164"/>
        <v>2361.666666666667</v>
      </c>
      <c r="AQ222" s="43"/>
      <c r="AR222" s="42">
        <f t="shared" si="166"/>
        <v>8180.5</v>
      </c>
      <c r="AS222" s="42">
        <f t="shared" si="167"/>
        <v>2302.5</v>
      </c>
      <c r="AT222" s="42">
        <f t="shared" si="168"/>
        <v>5301506.25</v>
      </c>
      <c r="AU222" s="42">
        <f t="shared" si="133"/>
        <v>2302.5</v>
      </c>
      <c r="AV222" s="43"/>
      <c r="AW222" s="42">
        <f t="shared" si="169"/>
        <v>8163.545454545455</v>
      </c>
      <c r="AX222" s="42">
        <f t="shared" si="172"/>
        <v>2319.454545454545</v>
      </c>
      <c r="AY222" s="42">
        <f t="shared" si="170"/>
        <v>5379869.3884297498</v>
      </c>
      <c r="AZ222" s="42">
        <f t="shared" si="171"/>
        <v>2319.454545454545</v>
      </c>
      <c r="BA222" s="43"/>
      <c r="BB222" s="44">
        <f t="shared" si="134"/>
        <v>8218.9166666666661</v>
      </c>
      <c r="BC222" s="42">
        <f t="shared" si="175"/>
        <v>2264.0833333333339</v>
      </c>
      <c r="BD222" s="42">
        <f t="shared" si="173"/>
        <v>5126073.3402777808</v>
      </c>
      <c r="BE222" s="42">
        <f t="shared" si="174"/>
        <v>2264.0833333333339</v>
      </c>
    </row>
    <row r="223" spans="1:57" ht="18" x14ac:dyDescent="0.2">
      <c r="A223" s="7">
        <v>45017</v>
      </c>
      <c r="B223" s="17">
        <v>9949</v>
      </c>
      <c r="D223" s="42">
        <f t="shared" si="135"/>
        <v>8877</v>
      </c>
      <c r="E223" s="42">
        <f t="shared" si="132"/>
        <v>1072</v>
      </c>
      <c r="F223" s="42">
        <f t="shared" si="136"/>
        <v>1149184</v>
      </c>
      <c r="G223" s="42">
        <f t="shared" si="137"/>
        <v>1072</v>
      </c>
      <c r="H223" s="43"/>
      <c r="I223" s="42">
        <f t="shared" si="138"/>
        <v>8234.6666666666661</v>
      </c>
      <c r="J223" s="42">
        <f t="shared" si="139"/>
        <v>1714.3333333333339</v>
      </c>
      <c r="K223" s="42">
        <f t="shared" si="140"/>
        <v>2938938.7777777798</v>
      </c>
      <c r="L223" s="42">
        <f t="shared" si="141"/>
        <v>1714.3333333333339</v>
      </c>
      <c r="M223" s="43"/>
      <c r="N223" s="42">
        <f t="shared" si="142"/>
        <v>8423.75</v>
      </c>
      <c r="O223" s="42">
        <f t="shared" si="144"/>
        <v>1525.25</v>
      </c>
      <c r="P223" s="42">
        <f t="shared" si="145"/>
        <v>2326387.5625</v>
      </c>
      <c r="Q223" s="42">
        <f t="shared" si="143"/>
        <v>1525.25</v>
      </c>
      <c r="R223" s="43"/>
      <c r="S223" s="42">
        <f t="shared" si="146"/>
        <v>8295.2000000000007</v>
      </c>
      <c r="T223" s="42">
        <f t="shared" si="148"/>
        <v>1653.7999999999993</v>
      </c>
      <c r="U223" s="42">
        <f t="shared" si="149"/>
        <v>2735054.4399999976</v>
      </c>
      <c r="V223" s="42">
        <f t="shared" si="147"/>
        <v>1653.7999999999993</v>
      </c>
      <c r="W223" s="43"/>
      <c r="X223" s="42">
        <f t="shared" si="150"/>
        <v>8386.5</v>
      </c>
      <c r="Y223" s="42">
        <f t="shared" si="152"/>
        <v>1562.5</v>
      </c>
      <c r="Z223" s="42">
        <f t="shared" si="153"/>
        <v>2441406.25</v>
      </c>
      <c r="AA223" s="42">
        <f t="shared" si="151"/>
        <v>1562.5</v>
      </c>
      <c r="AB223" s="43"/>
      <c r="AC223" s="42">
        <f t="shared" si="154"/>
        <v>8361.5714285714294</v>
      </c>
      <c r="AD223" s="42">
        <f t="shared" si="156"/>
        <v>1587.4285714285706</v>
      </c>
      <c r="AE223" s="42">
        <f t="shared" si="157"/>
        <v>2519929.4693877525</v>
      </c>
      <c r="AF223" s="42">
        <f t="shared" si="155"/>
        <v>1587.4285714285706</v>
      </c>
      <c r="AG223" s="43"/>
      <c r="AH223" s="42">
        <f t="shared" si="158"/>
        <v>8402.625</v>
      </c>
      <c r="AI223" s="42">
        <f t="shared" si="161"/>
        <v>1546.375</v>
      </c>
      <c r="AJ223" s="42">
        <f t="shared" si="159"/>
        <v>2391275.640625</v>
      </c>
      <c r="AK223" s="42">
        <f t="shared" si="160"/>
        <v>1546.375</v>
      </c>
      <c r="AL223" s="43"/>
      <c r="AM223" s="42">
        <f t="shared" si="162"/>
        <v>8648.4444444444453</v>
      </c>
      <c r="AN223" s="42">
        <f t="shared" si="165"/>
        <v>1300.5555555555547</v>
      </c>
      <c r="AO223" s="42">
        <f t="shared" si="163"/>
        <v>1691444.7530864177</v>
      </c>
      <c r="AP223" s="42">
        <f t="shared" si="164"/>
        <v>1300.5555555555547</v>
      </c>
      <c r="AQ223" s="43"/>
      <c r="AR223" s="42">
        <f t="shared" si="166"/>
        <v>8357.5</v>
      </c>
      <c r="AS223" s="42">
        <f t="shared" si="167"/>
        <v>1591.5</v>
      </c>
      <c r="AT223" s="42">
        <f t="shared" si="168"/>
        <v>2532872.25</v>
      </c>
      <c r="AU223" s="42">
        <f t="shared" si="133"/>
        <v>1591.5</v>
      </c>
      <c r="AV223" s="43"/>
      <c r="AW223" s="42">
        <f t="shared" si="169"/>
        <v>8389.818181818182</v>
      </c>
      <c r="AX223" s="42">
        <f t="shared" si="172"/>
        <v>1559.181818181818</v>
      </c>
      <c r="AY223" s="42">
        <f t="shared" si="170"/>
        <v>2431047.94214876</v>
      </c>
      <c r="AZ223" s="42">
        <f t="shared" si="171"/>
        <v>1559.181818181818</v>
      </c>
      <c r="BA223" s="43"/>
      <c r="BB223" s="44">
        <f t="shared" si="134"/>
        <v>8356.8333333333339</v>
      </c>
      <c r="BC223" s="42">
        <f t="shared" si="175"/>
        <v>1592.1666666666661</v>
      </c>
      <c r="BD223" s="42">
        <f t="shared" si="173"/>
        <v>2534994.6944444426</v>
      </c>
      <c r="BE223" s="42">
        <f t="shared" si="174"/>
        <v>1592.1666666666661</v>
      </c>
    </row>
    <row r="224" spans="1:57" ht="18" x14ac:dyDescent="0.2">
      <c r="A224" s="7">
        <v>45047</v>
      </c>
      <c r="B224" s="17">
        <v>10439</v>
      </c>
      <c r="D224" s="42">
        <f t="shared" si="135"/>
        <v>10216</v>
      </c>
      <c r="E224" s="42">
        <f t="shared" si="132"/>
        <v>223</v>
      </c>
      <c r="F224" s="42">
        <f t="shared" si="136"/>
        <v>49729</v>
      </c>
      <c r="G224" s="42">
        <f t="shared" si="137"/>
        <v>223</v>
      </c>
      <c r="H224" s="43"/>
      <c r="I224" s="42">
        <f t="shared" si="138"/>
        <v>9234.3333333333339</v>
      </c>
      <c r="J224" s="42">
        <f t="shared" si="139"/>
        <v>1204.6666666666661</v>
      </c>
      <c r="K224" s="42">
        <f t="shared" si="140"/>
        <v>1451221.7777777764</v>
      </c>
      <c r="L224" s="42">
        <f t="shared" si="141"/>
        <v>1204.6666666666661</v>
      </c>
      <c r="M224" s="43"/>
      <c r="N224" s="42">
        <f t="shared" si="142"/>
        <v>8663.25</v>
      </c>
      <c r="O224" s="42">
        <f t="shared" si="144"/>
        <v>1775.75</v>
      </c>
      <c r="P224" s="42">
        <f t="shared" si="145"/>
        <v>3153288.0625</v>
      </c>
      <c r="Q224" s="42">
        <f t="shared" si="143"/>
        <v>1775.75</v>
      </c>
      <c r="R224" s="43"/>
      <c r="S224" s="42">
        <f t="shared" si="146"/>
        <v>8728.7999999999993</v>
      </c>
      <c r="T224" s="42">
        <f t="shared" si="148"/>
        <v>1710.2000000000007</v>
      </c>
      <c r="U224" s="42">
        <f t="shared" si="149"/>
        <v>2924784.0400000024</v>
      </c>
      <c r="V224" s="42">
        <f t="shared" si="147"/>
        <v>1710.2000000000007</v>
      </c>
      <c r="W224" s="43"/>
      <c r="X224" s="42">
        <f t="shared" si="150"/>
        <v>8570.8333333333339</v>
      </c>
      <c r="Y224" s="42">
        <f t="shared" si="152"/>
        <v>1868.1666666666661</v>
      </c>
      <c r="Z224" s="42">
        <f t="shared" si="153"/>
        <v>3490046.6944444422</v>
      </c>
      <c r="AA224" s="42">
        <f t="shared" si="151"/>
        <v>1868.1666666666661</v>
      </c>
      <c r="AB224" s="43"/>
      <c r="AC224" s="42">
        <f t="shared" si="154"/>
        <v>8609.7142857142862</v>
      </c>
      <c r="AD224" s="42">
        <f t="shared" si="156"/>
        <v>1829.2857142857138</v>
      </c>
      <c r="AE224" s="42">
        <f t="shared" si="157"/>
        <v>3346286.2244897941</v>
      </c>
      <c r="AF224" s="42">
        <f t="shared" si="155"/>
        <v>1829.2857142857138</v>
      </c>
      <c r="AG224" s="43"/>
      <c r="AH224" s="42">
        <f t="shared" si="158"/>
        <v>8560</v>
      </c>
      <c r="AI224" s="42">
        <f t="shared" si="161"/>
        <v>1879</v>
      </c>
      <c r="AJ224" s="42">
        <f t="shared" si="159"/>
        <v>3530641</v>
      </c>
      <c r="AK224" s="42">
        <f t="shared" si="160"/>
        <v>1879</v>
      </c>
      <c r="AL224" s="43"/>
      <c r="AM224" s="42">
        <f t="shared" si="162"/>
        <v>8574.4444444444453</v>
      </c>
      <c r="AN224" s="42">
        <f t="shared" si="165"/>
        <v>1864.5555555555547</v>
      </c>
      <c r="AO224" s="42">
        <f t="shared" si="163"/>
        <v>3476567.4197530835</v>
      </c>
      <c r="AP224" s="42">
        <f t="shared" si="164"/>
        <v>1864.5555555555547</v>
      </c>
      <c r="AQ224" s="43"/>
      <c r="AR224" s="42">
        <f t="shared" si="166"/>
        <v>8778.5</v>
      </c>
      <c r="AS224" s="42">
        <f t="shared" si="167"/>
        <v>1660.5</v>
      </c>
      <c r="AT224" s="42">
        <f t="shared" si="168"/>
        <v>2757260.25</v>
      </c>
      <c r="AU224" s="42">
        <f t="shared" si="133"/>
        <v>1660.5</v>
      </c>
      <c r="AV224" s="43"/>
      <c r="AW224" s="42">
        <f t="shared" si="169"/>
        <v>8502.181818181818</v>
      </c>
      <c r="AX224" s="42">
        <f t="shared" si="172"/>
        <v>1936.818181818182</v>
      </c>
      <c r="AY224" s="42">
        <f t="shared" si="170"/>
        <v>3751264.6694214884</v>
      </c>
      <c r="AZ224" s="42">
        <f t="shared" si="171"/>
        <v>1936.818181818182</v>
      </c>
      <c r="BA224" s="43"/>
      <c r="BB224" s="44">
        <f t="shared" si="134"/>
        <v>8519.75</v>
      </c>
      <c r="BC224" s="42">
        <f t="shared" si="175"/>
        <v>1919.25</v>
      </c>
      <c r="BD224" s="42">
        <f t="shared" si="173"/>
        <v>3683520.5625</v>
      </c>
      <c r="BE224" s="42">
        <f t="shared" si="174"/>
        <v>1919.25</v>
      </c>
    </row>
    <row r="225" spans="1:57" ht="18" x14ac:dyDescent="0.2">
      <c r="A225" s="7">
        <v>45078</v>
      </c>
      <c r="B225" s="17">
        <v>10691</v>
      </c>
      <c r="D225" s="42">
        <f t="shared" si="135"/>
        <v>10194</v>
      </c>
      <c r="E225" s="42">
        <f t="shared" si="132"/>
        <v>497</v>
      </c>
      <c r="F225" s="42">
        <f t="shared" si="136"/>
        <v>247009</v>
      </c>
      <c r="G225" s="42">
        <f t="shared" si="137"/>
        <v>497</v>
      </c>
      <c r="H225" s="43"/>
      <c r="I225" s="42">
        <f t="shared" si="138"/>
        <v>10290.333333333334</v>
      </c>
      <c r="J225" s="42">
        <f t="shared" si="139"/>
        <v>400.66666666666606</v>
      </c>
      <c r="K225" s="42">
        <f t="shared" si="140"/>
        <v>160533.77777777729</v>
      </c>
      <c r="L225" s="42">
        <f t="shared" si="141"/>
        <v>400.66666666666606</v>
      </c>
      <c r="M225" s="43"/>
      <c r="N225" s="42">
        <f t="shared" si="142"/>
        <v>9535.5</v>
      </c>
      <c r="O225" s="42">
        <f t="shared" si="144"/>
        <v>1155.5</v>
      </c>
      <c r="P225" s="42">
        <f t="shared" si="145"/>
        <v>1335180.25</v>
      </c>
      <c r="Q225" s="42">
        <f t="shared" si="143"/>
        <v>1155.5</v>
      </c>
      <c r="R225" s="43"/>
      <c r="S225" s="42">
        <f t="shared" si="146"/>
        <v>9018.4</v>
      </c>
      <c r="T225" s="42">
        <f t="shared" si="148"/>
        <v>1672.6000000000004</v>
      </c>
      <c r="U225" s="42">
        <f t="shared" si="149"/>
        <v>2797590.7600000012</v>
      </c>
      <c r="V225" s="42">
        <f t="shared" si="147"/>
        <v>1672.6000000000004</v>
      </c>
      <c r="W225" s="43"/>
      <c r="X225" s="42">
        <f t="shared" si="150"/>
        <v>9013.8333333333339</v>
      </c>
      <c r="Y225" s="42">
        <f t="shared" si="152"/>
        <v>1677.1666666666661</v>
      </c>
      <c r="Z225" s="42">
        <f t="shared" si="153"/>
        <v>2812888.0277777757</v>
      </c>
      <c r="AA225" s="42">
        <f t="shared" si="151"/>
        <v>1677.1666666666661</v>
      </c>
      <c r="AB225" s="43"/>
      <c r="AC225" s="42">
        <f t="shared" si="154"/>
        <v>8837.7142857142862</v>
      </c>
      <c r="AD225" s="42">
        <f t="shared" si="156"/>
        <v>1853.2857142857138</v>
      </c>
      <c r="AE225" s="42">
        <f t="shared" si="157"/>
        <v>3434667.9387755082</v>
      </c>
      <c r="AF225" s="42">
        <f t="shared" si="155"/>
        <v>1853.2857142857138</v>
      </c>
      <c r="AG225" s="43"/>
      <c r="AH225" s="42">
        <f t="shared" si="158"/>
        <v>8838.375</v>
      </c>
      <c r="AI225" s="42">
        <f t="shared" si="161"/>
        <v>1852.625</v>
      </c>
      <c r="AJ225" s="42">
        <f t="shared" si="159"/>
        <v>3432219.390625</v>
      </c>
      <c r="AK225" s="42">
        <f t="shared" si="160"/>
        <v>1852.625</v>
      </c>
      <c r="AL225" s="43"/>
      <c r="AM225" s="42">
        <f t="shared" si="162"/>
        <v>8768.7777777777774</v>
      </c>
      <c r="AN225" s="42">
        <f t="shared" si="165"/>
        <v>1922.2222222222226</v>
      </c>
      <c r="AO225" s="42">
        <f t="shared" si="163"/>
        <v>3694938.2716049398</v>
      </c>
      <c r="AP225" s="42">
        <f t="shared" si="164"/>
        <v>1922.2222222222226</v>
      </c>
      <c r="AQ225" s="43"/>
      <c r="AR225" s="42">
        <f t="shared" si="166"/>
        <v>8760.9</v>
      </c>
      <c r="AS225" s="42">
        <f t="shared" si="167"/>
        <v>1930.1000000000004</v>
      </c>
      <c r="AT225" s="42">
        <f t="shared" si="168"/>
        <v>3725286.0100000012</v>
      </c>
      <c r="AU225" s="42">
        <f t="shared" si="133"/>
        <v>1930.1000000000004</v>
      </c>
      <c r="AV225" s="43"/>
      <c r="AW225" s="42">
        <f t="shared" si="169"/>
        <v>8929.454545454546</v>
      </c>
      <c r="AX225" s="42">
        <f t="shared" si="172"/>
        <v>1761.545454545454</v>
      </c>
      <c r="AY225" s="42">
        <f t="shared" si="170"/>
        <v>3103042.3884297502</v>
      </c>
      <c r="AZ225" s="42">
        <f t="shared" si="171"/>
        <v>1761.545454545454</v>
      </c>
      <c r="BA225" s="43"/>
      <c r="BB225" s="44">
        <f t="shared" si="134"/>
        <v>8663.5833333333339</v>
      </c>
      <c r="BC225" s="42">
        <f t="shared" si="175"/>
        <v>2027.4166666666661</v>
      </c>
      <c r="BD225" s="42">
        <f t="shared" si="173"/>
        <v>4110418.3402777752</v>
      </c>
      <c r="BE225" s="42">
        <f t="shared" si="174"/>
        <v>2027.4166666666661</v>
      </c>
    </row>
    <row r="226" spans="1:57" ht="18" x14ac:dyDescent="0.2">
      <c r="A226" s="7">
        <v>45108</v>
      </c>
      <c r="B226" s="17">
        <v>9962</v>
      </c>
      <c r="D226" s="42">
        <f t="shared" si="135"/>
        <v>10565</v>
      </c>
      <c r="E226" s="42">
        <f t="shared" si="132"/>
        <v>-603</v>
      </c>
      <c r="F226" s="42">
        <f t="shared" si="136"/>
        <v>363609</v>
      </c>
      <c r="G226" s="42">
        <f t="shared" si="137"/>
        <v>603</v>
      </c>
      <c r="H226" s="43"/>
      <c r="I226" s="42">
        <f t="shared" si="138"/>
        <v>10359.666666666666</v>
      </c>
      <c r="J226" s="42">
        <f t="shared" si="139"/>
        <v>-397.66666666666606</v>
      </c>
      <c r="K226" s="42">
        <f t="shared" si="140"/>
        <v>158138.77777777729</v>
      </c>
      <c r="L226" s="42">
        <f t="shared" si="141"/>
        <v>397.66666666666606</v>
      </c>
      <c r="M226" s="43"/>
      <c r="N226" s="42">
        <f t="shared" si="142"/>
        <v>10390.5</v>
      </c>
      <c r="O226" s="42">
        <f t="shared" si="144"/>
        <v>-428.5</v>
      </c>
      <c r="P226" s="42">
        <f t="shared" si="145"/>
        <v>183612.25</v>
      </c>
      <c r="Q226" s="42">
        <f t="shared" si="143"/>
        <v>428.5</v>
      </c>
      <c r="R226" s="43"/>
      <c r="S226" s="42">
        <f t="shared" si="146"/>
        <v>9766.6</v>
      </c>
      <c r="T226" s="42">
        <f t="shared" si="148"/>
        <v>195.39999999999964</v>
      </c>
      <c r="U226" s="42">
        <f t="shared" si="149"/>
        <v>38181.159999999858</v>
      </c>
      <c r="V226" s="42">
        <f t="shared" si="147"/>
        <v>195.39999999999964</v>
      </c>
      <c r="W226" s="43"/>
      <c r="X226" s="42">
        <f t="shared" si="150"/>
        <v>9297.1666666666661</v>
      </c>
      <c r="Y226" s="42">
        <f t="shared" si="152"/>
        <v>664.83333333333394</v>
      </c>
      <c r="Z226" s="42">
        <f t="shared" si="153"/>
        <v>442003.36111111194</v>
      </c>
      <c r="AA226" s="42">
        <f t="shared" si="151"/>
        <v>664.83333333333394</v>
      </c>
      <c r="AB226" s="43"/>
      <c r="AC226" s="42">
        <f t="shared" si="154"/>
        <v>9253.4285714285706</v>
      </c>
      <c r="AD226" s="42">
        <f t="shared" si="156"/>
        <v>708.57142857142935</v>
      </c>
      <c r="AE226" s="42">
        <f t="shared" si="157"/>
        <v>502073.46938775619</v>
      </c>
      <c r="AF226" s="42">
        <f t="shared" si="155"/>
        <v>708.57142857142935</v>
      </c>
      <c r="AG226" s="43"/>
      <c r="AH226" s="42">
        <f t="shared" si="158"/>
        <v>9069.375</v>
      </c>
      <c r="AI226" s="42">
        <f t="shared" si="161"/>
        <v>892.625</v>
      </c>
      <c r="AJ226" s="42">
        <f t="shared" si="159"/>
        <v>796779.390625</v>
      </c>
      <c r="AK226" s="42">
        <f t="shared" si="160"/>
        <v>892.625</v>
      </c>
      <c r="AL226" s="43"/>
      <c r="AM226" s="42">
        <f t="shared" si="162"/>
        <v>9044.2222222222226</v>
      </c>
      <c r="AN226" s="42">
        <f t="shared" si="165"/>
        <v>917.77777777777737</v>
      </c>
      <c r="AO226" s="42">
        <f t="shared" si="163"/>
        <v>842316.04938271525</v>
      </c>
      <c r="AP226" s="42">
        <f t="shared" si="164"/>
        <v>917.77777777777737</v>
      </c>
      <c r="AQ226" s="43"/>
      <c r="AR226" s="42">
        <f t="shared" si="166"/>
        <v>8961</v>
      </c>
      <c r="AS226" s="42">
        <f t="shared" si="167"/>
        <v>1001</v>
      </c>
      <c r="AT226" s="42">
        <f t="shared" si="168"/>
        <v>1002001</v>
      </c>
      <c r="AU226" s="42">
        <f t="shared" si="133"/>
        <v>1001</v>
      </c>
      <c r="AV226" s="43"/>
      <c r="AW226" s="42">
        <f t="shared" si="169"/>
        <v>8936.363636363636</v>
      </c>
      <c r="AX226" s="42">
        <f t="shared" si="172"/>
        <v>1025.636363636364</v>
      </c>
      <c r="AY226" s="42">
        <f t="shared" si="170"/>
        <v>1051929.9504132238</v>
      </c>
      <c r="AZ226" s="42">
        <f t="shared" si="171"/>
        <v>1025.636363636364</v>
      </c>
      <c r="BA226" s="43"/>
      <c r="BB226" s="44">
        <f t="shared" si="134"/>
        <v>9076.25</v>
      </c>
      <c r="BC226" s="42">
        <f t="shared" si="175"/>
        <v>885.75</v>
      </c>
      <c r="BD226" s="42">
        <f t="shared" si="173"/>
        <v>784553.0625</v>
      </c>
      <c r="BE226" s="42">
        <f t="shared" si="174"/>
        <v>885.75</v>
      </c>
    </row>
    <row r="227" spans="1:57" ht="18" x14ac:dyDescent="0.2">
      <c r="A227" s="7">
        <v>45139</v>
      </c>
      <c r="B227" s="17">
        <v>10089</v>
      </c>
      <c r="D227" s="42">
        <f t="shared" si="135"/>
        <v>10326.5</v>
      </c>
      <c r="E227" s="42">
        <f t="shared" si="132"/>
        <v>-237.5</v>
      </c>
      <c r="F227" s="42">
        <f t="shared" si="136"/>
        <v>56406.25</v>
      </c>
      <c r="G227" s="42">
        <f t="shared" si="137"/>
        <v>237.5</v>
      </c>
      <c r="H227" s="43"/>
      <c r="I227" s="42">
        <f t="shared" si="138"/>
        <v>10364</v>
      </c>
      <c r="J227" s="42">
        <f t="shared" si="139"/>
        <v>-275</v>
      </c>
      <c r="K227" s="42">
        <f t="shared" si="140"/>
        <v>75625</v>
      </c>
      <c r="L227" s="42">
        <f t="shared" si="141"/>
        <v>275</v>
      </c>
      <c r="M227" s="43"/>
      <c r="N227" s="42">
        <f t="shared" si="142"/>
        <v>10260.25</v>
      </c>
      <c r="O227" s="42">
        <f t="shared" si="144"/>
        <v>-171.25</v>
      </c>
      <c r="P227" s="42">
        <f t="shared" si="145"/>
        <v>29326.5625</v>
      </c>
      <c r="Q227" s="42">
        <f t="shared" si="143"/>
        <v>171.25</v>
      </c>
      <c r="R227" s="43"/>
      <c r="S227" s="42">
        <f t="shared" si="146"/>
        <v>10304.799999999999</v>
      </c>
      <c r="T227" s="42">
        <f t="shared" si="148"/>
        <v>-215.79999999999927</v>
      </c>
      <c r="U227" s="42">
        <f t="shared" si="149"/>
        <v>46569.639999999687</v>
      </c>
      <c r="V227" s="42">
        <f t="shared" si="147"/>
        <v>215.79999999999927</v>
      </c>
      <c r="W227" s="43"/>
      <c r="X227" s="42">
        <f t="shared" si="150"/>
        <v>9799.1666666666661</v>
      </c>
      <c r="Y227" s="42">
        <f t="shared" si="152"/>
        <v>289.83333333333394</v>
      </c>
      <c r="Z227" s="42">
        <f t="shared" si="153"/>
        <v>84003.361111111459</v>
      </c>
      <c r="AA227" s="42">
        <f t="shared" si="151"/>
        <v>289.83333333333394</v>
      </c>
      <c r="AB227" s="43"/>
      <c r="AC227" s="42">
        <f t="shared" si="154"/>
        <v>9392.1428571428569</v>
      </c>
      <c r="AD227" s="42">
        <f t="shared" si="156"/>
        <v>696.85714285714312</v>
      </c>
      <c r="AE227" s="42">
        <f t="shared" si="157"/>
        <v>485609.87755102076</v>
      </c>
      <c r="AF227" s="42">
        <f t="shared" si="155"/>
        <v>696.85714285714312</v>
      </c>
      <c r="AG227" s="43"/>
      <c r="AH227" s="42">
        <f t="shared" si="158"/>
        <v>9342</v>
      </c>
      <c r="AI227" s="42">
        <f t="shared" si="161"/>
        <v>747</v>
      </c>
      <c r="AJ227" s="42">
        <f t="shared" si="159"/>
        <v>558009</v>
      </c>
      <c r="AK227" s="42">
        <f t="shared" si="160"/>
        <v>747</v>
      </c>
      <c r="AL227" s="43"/>
      <c r="AM227" s="42">
        <f t="shared" si="162"/>
        <v>9168.5555555555547</v>
      </c>
      <c r="AN227" s="42">
        <f t="shared" si="165"/>
        <v>920.44444444444525</v>
      </c>
      <c r="AO227" s="42">
        <f t="shared" si="163"/>
        <v>847217.97530864342</v>
      </c>
      <c r="AP227" s="42">
        <f t="shared" si="164"/>
        <v>920.44444444444525</v>
      </c>
      <c r="AQ227" s="43"/>
      <c r="AR227" s="42">
        <f t="shared" si="166"/>
        <v>9136</v>
      </c>
      <c r="AS227" s="42">
        <f t="shared" si="167"/>
        <v>953</v>
      </c>
      <c r="AT227" s="42">
        <f t="shared" si="168"/>
        <v>908209</v>
      </c>
      <c r="AU227" s="42">
        <f t="shared" si="133"/>
        <v>953</v>
      </c>
      <c r="AV227" s="43"/>
      <c r="AW227" s="42">
        <f t="shared" si="169"/>
        <v>9052</v>
      </c>
      <c r="AX227" s="42">
        <f t="shared" si="172"/>
        <v>1037</v>
      </c>
      <c r="AY227" s="42">
        <f t="shared" si="170"/>
        <v>1075369</v>
      </c>
      <c r="AZ227" s="42">
        <f t="shared" si="171"/>
        <v>1037</v>
      </c>
      <c r="BA227" s="43"/>
      <c r="BB227" s="44">
        <f t="shared" si="134"/>
        <v>9021.8333333333339</v>
      </c>
      <c r="BC227" s="42">
        <f t="shared" si="175"/>
        <v>1067.1666666666661</v>
      </c>
      <c r="BD227" s="42">
        <f t="shared" si="173"/>
        <v>1138844.6944444431</v>
      </c>
      <c r="BE227" s="42">
        <f t="shared" si="174"/>
        <v>1067.1666666666661</v>
      </c>
    </row>
    <row r="228" spans="1:57" ht="18" x14ac:dyDescent="0.2">
      <c r="A228" s="7">
        <v>45170</v>
      </c>
      <c r="B228" s="17">
        <v>6563</v>
      </c>
      <c r="D228" s="42">
        <f t="shared" si="135"/>
        <v>10025.5</v>
      </c>
      <c r="E228" s="42">
        <f t="shared" si="132"/>
        <v>-3462.5</v>
      </c>
      <c r="F228" s="42">
        <f t="shared" si="136"/>
        <v>11988906.25</v>
      </c>
      <c r="G228" s="42">
        <f t="shared" si="137"/>
        <v>3462.5</v>
      </c>
      <c r="H228" s="43"/>
      <c r="I228" s="42">
        <f t="shared" si="138"/>
        <v>10247.333333333334</v>
      </c>
      <c r="J228" s="42">
        <f t="shared" si="139"/>
        <v>-3684.3333333333339</v>
      </c>
      <c r="K228" s="42">
        <f t="shared" si="140"/>
        <v>13574312.111111116</v>
      </c>
      <c r="L228" s="42">
        <f t="shared" si="141"/>
        <v>3684.3333333333339</v>
      </c>
      <c r="M228" s="43"/>
      <c r="N228" s="42">
        <f t="shared" si="142"/>
        <v>10295.25</v>
      </c>
      <c r="O228" s="42">
        <f t="shared" si="144"/>
        <v>-3732.25</v>
      </c>
      <c r="P228" s="42">
        <f t="shared" si="145"/>
        <v>13929690.0625</v>
      </c>
      <c r="Q228" s="42">
        <f t="shared" si="143"/>
        <v>3732.25</v>
      </c>
      <c r="R228" s="43"/>
      <c r="S228" s="42">
        <f t="shared" si="146"/>
        <v>10226</v>
      </c>
      <c r="T228" s="42">
        <f t="shared" si="148"/>
        <v>-3663</v>
      </c>
      <c r="U228" s="42">
        <f t="shared" si="149"/>
        <v>13417569</v>
      </c>
      <c r="V228" s="42">
        <f t="shared" si="147"/>
        <v>3663</v>
      </c>
      <c r="W228" s="43"/>
      <c r="X228" s="42">
        <f t="shared" si="150"/>
        <v>10268.833333333334</v>
      </c>
      <c r="Y228" s="42">
        <f t="shared" si="152"/>
        <v>-3705.8333333333339</v>
      </c>
      <c r="Z228" s="42">
        <f t="shared" si="153"/>
        <v>13733200.69444445</v>
      </c>
      <c r="AA228" s="42">
        <f t="shared" si="151"/>
        <v>3705.8333333333339</v>
      </c>
      <c r="AB228" s="43"/>
      <c r="AC228" s="42">
        <f t="shared" si="154"/>
        <v>9840.5714285714294</v>
      </c>
      <c r="AD228" s="42">
        <f t="shared" si="156"/>
        <v>-3277.5714285714294</v>
      </c>
      <c r="AE228" s="42">
        <f t="shared" si="157"/>
        <v>10742474.46938776</v>
      </c>
      <c r="AF228" s="42">
        <f t="shared" si="155"/>
        <v>3277.5714285714294</v>
      </c>
      <c r="AG228" s="43"/>
      <c r="AH228" s="42">
        <f t="shared" si="158"/>
        <v>9479.25</v>
      </c>
      <c r="AI228" s="42">
        <f t="shared" si="161"/>
        <v>-2916.25</v>
      </c>
      <c r="AJ228" s="42">
        <f t="shared" si="159"/>
        <v>8504514.0625</v>
      </c>
      <c r="AK228" s="42">
        <f t="shared" si="160"/>
        <v>2916.25</v>
      </c>
      <c r="AL228" s="43"/>
      <c r="AM228" s="42">
        <f t="shared" si="162"/>
        <v>9425</v>
      </c>
      <c r="AN228" s="42">
        <f t="shared" si="165"/>
        <v>-2862</v>
      </c>
      <c r="AO228" s="42">
        <f t="shared" si="163"/>
        <v>8191044</v>
      </c>
      <c r="AP228" s="42">
        <f t="shared" si="164"/>
        <v>2862</v>
      </c>
      <c r="AQ228" s="43"/>
      <c r="AR228" s="42">
        <f t="shared" si="166"/>
        <v>9260.6</v>
      </c>
      <c r="AS228" s="42">
        <f t="shared" si="167"/>
        <v>-2697.6000000000004</v>
      </c>
      <c r="AT228" s="42">
        <f t="shared" si="168"/>
        <v>7277045.7600000016</v>
      </c>
      <c r="AU228" s="42">
        <f t="shared" si="133"/>
        <v>2697.6000000000004</v>
      </c>
      <c r="AV228" s="43"/>
      <c r="AW228" s="42">
        <f t="shared" si="169"/>
        <v>9222.636363636364</v>
      </c>
      <c r="AX228" s="42">
        <f t="shared" si="172"/>
        <v>-2659.636363636364</v>
      </c>
      <c r="AY228" s="42">
        <f t="shared" si="170"/>
        <v>7073665.586776861</v>
      </c>
      <c r="AZ228" s="42">
        <f t="shared" si="171"/>
        <v>2659.636363636364</v>
      </c>
      <c r="BA228" s="43"/>
      <c r="BB228" s="44">
        <f t="shared" si="134"/>
        <v>9138.4166666666661</v>
      </c>
      <c r="BC228" s="42">
        <f t="shared" si="175"/>
        <v>-2575.4166666666661</v>
      </c>
      <c r="BD228" s="42">
        <f t="shared" si="173"/>
        <v>6632771.0069444412</v>
      </c>
      <c r="BE228" s="42">
        <f t="shared" si="174"/>
        <v>2575.4166666666661</v>
      </c>
    </row>
    <row r="229" spans="1:57" ht="18" x14ac:dyDescent="0.2">
      <c r="A229" s="7">
        <v>45200</v>
      </c>
      <c r="B229" s="17">
        <v>8223</v>
      </c>
      <c r="D229" s="42">
        <f t="shared" si="135"/>
        <v>8326</v>
      </c>
      <c r="E229" s="42">
        <f t="shared" si="132"/>
        <v>-103</v>
      </c>
      <c r="F229" s="42">
        <f t="shared" si="136"/>
        <v>10609</v>
      </c>
      <c r="G229" s="42">
        <f t="shared" si="137"/>
        <v>103</v>
      </c>
      <c r="H229" s="43"/>
      <c r="I229" s="42">
        <f t="shared" si="138"/>
        <v>8871.3333333333339</v>
      </c>
      <c r="J229" s="42">
        <f t="shared" si="139"/>
        <v>-648.33333333333394</v>
      </c>
      <c r="K229" s="42">
        <f t="shared" si="140"/>
        <v>420336.11111111188</v>
      </c>
      <c r="L229" s="42">
        <f t="shared" si="141"/>
        <v>648.33333333333394</v>
      </c>
      <c r="M229" s="43"/>
      <c r="N229" s="42">
        <f t="shared" si="142"/>
        <v>9326.25</v>
      </c>
      <c r="O229" s="42">
        <f t="shared" si="144"/>
        <v>-1103.25</v>
      </c>
      <c r="P229" s="42">
        <f t="shared" si="145"/>
        <v>1217160.5625</v>
      </c>
      <c r="Q229" s="42">
        <f t="shared" si="143"/>
        <v>1103.25</v>
      </c>
      <c r="R229" s="43"/>
      <c r="S229" s="42">
        <f t="shared" si="146"/>
        <v>9548.7999999999993</v>
      </c>
      <c r="T229" s="42">
        <f t="shared" si="148"/>
        <v>-1325.7999999999993</v>
      </c>
      <c r="U229" s="42">
        <f t="shared" si="149"/>
        <v>1757745.639999998</v>
      </c>
      <c r="V229" s="42">
        <f t="shared" si="147"/>
        <v>1325.7999999999993</v>
      </c>
      <c r="W229" s="43"/>
      <c r="X229" s="42">
        <f t="shared" si="150"/>
        <v>9615.5</v>
      </c>
      <c r="Y229" s="42">
        <f t="shared" si="152"/>
        <v>-1392.5</v>
      </c>
      <c r="Z229" s="42">
        <f t="shared" si="153"/>
        <v>1939056.25</v>
      </c>
      <c r="AA229" s="42">
        <f t="shared" si="151"/>
        <v>1392.5</v>
      </c>
      <c r="AB229" s="43"/>
      <c r="AC229" s="42">
        <f t="shared" si="154"/>
        <v>9739.4285714285706</v>
      </c>
      <c r="AD229" s="42">
        <f t="shared" si="156"/>
        <v>-1516.4285714285706</v>
      </c>
      <c r="AE229" s="42">
        <f t="shared" si="157"/>
        <v>2299555.6122448957</v>
      </c>
      <c r="AF229" s="42">
        <f t="shared" si="155"/>
        <v>1516.4285714285706</v>
      </c>
      <c r="AG229" s="43"/>
      <c r="AH229" s="42">
        <f t="shared" si="158"/>
        <v>9430.875</v>
      </c>
      <c r="AI229" s="42">
        <f t="shared" si="161"/>
        <v>-1207.875</v>
      </c>
      <c r="AJ229" s="42">
        <f t="shared" si="159"/>
        <v>1458962.015625</v>
      </c>
      <c r="AK229" s="42">
        <f t="shared" si="160"/>
        <v>1207.875</v>
      </c>
      <c r="AL229" s="43"/>
      <c r="AM229" s="42">
        <f t="shared" si="162"/>
        <v>9155.2222222222226</v>
      </c>
      <c r="AN229" s="42">
        <f t="shared" si="165"/>
        <v>-932.22222222222263</v>
      </c>
      <c r="AO229" s="42">
        <f t="shared" si="163"/>
        <v>869038.27160493901</v>
      </c>
      <c r="AP229" s="42">
        <f t="shared" si="164"/>
        <v>932.22222222222263</v>
      </c>
      <c r="AQ229" s="43"/>
      <c r="AR229" s="42">
        <f t="shared" si="166"/>
        <v>9138.7999999999993</v>
      </c>
      <c r="AS229" s="42">
        <f t="shared" si="167"/>
        <v>-915.79999999999927</v>
      </c>
      <c r="AT229" s="42">
        <f t="shared" si="168"/>
        <v>838689.63999999862</v>
      </c>
      <c r="AU229" s="42">
        <f t="shared" si="133"/>
        <v>915.79999999999927</v>
      </c>
      <c r="AV229" s="43"/>
      <c r="AW229" s="42">
        <f t="shared" si="169"/>
        <v>9015.363636363636</v>
      </c>
      <c r="AX229" s="42">
        <f t="shared" si="172"/>
        <v>-792.36363636363603</v>
      </c>
      <c r="AY229" s="42">
        <f t="shared" si="170"/>
        <v>627840.13223140442</v>
      </c>
      <c r="AZ229" s="42">
        <f t="shared" si="171"/>
        <v>792.36363636363603</v>
      </c>
      <c r="BA229" s="43"/>
      <c r="BB229" s="44">
        <f t="shared" si="134"/>
        <v>9001</v>
      </c>
      <c r="BC229" s="42">
        <f t="shared" si="175"/>
        <v>-778</v>
      </c>
      <c r="BD229" s="42">
        <f t="shared" si="173"/>
        <v>605284</v>
      </c>
      <c r="BE229" s="42">
        <f t="shared" si="174"/>
        <v>778</v>
      </c>
    </row>
    <row r="230" spans="1:57" ht="18" x14ac:dyDescent="0.2">
      <c r="A230" s="7">
        <v>45231</v>
      </c>
      <c r="B230" s="17">
        <v>9113</v>
      </c>
      <c r="D230" s="42">
        <f t="shared" si="135"/>
        <v>7393</v>
      </c>
      <c r="E230" s="42">
        <f t="shared" si="132"/>
        <v>1720</v>
      </c>
      <c r="F230" s="42">
        <f t="shared" si="136"/>
        <v>2958400</v>
      </c>
      <c r="G230" s="42">
        <f t="shared" si="137"/>
        <v>1720</v>
      </c>
      <c r="H230" s="43"/>
      <c r="I230" s="42">
        <f t="shared" si="138"/>
        <v>8291.6666666666661</v>
      </c>
      <c r="J230" s="42">
        <f t="shared" si="139"/>
        <v>821.33333333333394</v>
      </c>
      <c r="K230" s="42">
        <f t="shared" si="140"/>
        <v>674588.44444444543</v>
      </c>
      <c r="L230" s="42">
        <f t="shared" si="141"/>
        <v>821.33333333333394</v>
      </c>
      <c r="M230" s="43"/>
      <c r="N230" s="42">
        <f t="shared" si="142"/>
        <v>8709.25</v>
      </c>
      <c r="O230" s="42">
        <f t="shared" si="144"/>
        <v>403.75</v>
      </c>
      <c r="P230" s="42">
        <f t="shared" si="145"/>
        <v>163014.0625</v>
      </c>
      <c r="Q230" s="42">
        <f t="shared" si="143"/>
        <v>403.75</v>
      </c>
      <c r="R230" s="43"/>
      <c r="S230" s="42">
        <f t="shared" si="146"/>
        <v>9105.6</v>
      </c>
      <c r="T230" s="42">
        <f t="shared" si="148"/>
        <v>7.3999999999996362</v>
      </c>
      <c r="U230" s="42">
        <f t="shared" si="149"/>
        <v>54.759999999994619</v>
      </c>
      <c r="V230" s="42">
        <f t="shared" si="147"/>
        <v>7.3999999999996362</v>
      </c>
      <c r="W230" s="43"/>
      <c r="X230" s="42">
        <f t="shared" si="150"/>
        <v>9327.8333333333339</v>
      </c>
      <c r="Y230" s="42">
        <f t="shared" si="152"/>
        <v>-214.83333333333394</v>
      </c>
      <c r="Z230" s="42">
        <f t="shared" si="153"/>
        <v>46153.361111111371</v>
      </c>
      <c r="AA230" s="42">
        <f t="shared" si="151"/>
        <v>214.83333333333394</v>
      </c>
      <c r="AB230" s="43"/>
      <c r="AC230" s="42">
        <f t="shared" si="154"/>
        <v>9416.5714285714294</v>
      </c>
      <c r="AD230" s="42">
        <f t="shared" si="156"/>
        <v>-303.57142857142935</v>
      </c>
      <c r="AE230" s="42">
        <f t="shared" si="157"/>
        <v>92155.612244898439</v>
      </c>
      <c r="AF230" s="42">
        <f t="shared" si="155"/>
        <v>303.57142857142935</v>
      </c>
      <c r="AG230" s="43"/>
      <c r="AH230" s="42">
        <f t="shared" si="158"/>
        <v>9549.875</v>
      </c>
      <c r="AI230" s="42">
        <f t="shared" si="161"/>
        <v>-436.875</v>
      </c>
      <c r="AJ230" s="42">
        <f t="shared" si="159"/>
        <v>190859.765625</v>
      </c>
      <c r="AK230" s="42">
        <f t="shared" si="160"/>
        <v>436.875</v>
      </c>
      <c r="AL230" s="43"/>
      <c r="AM230" s="42">
        <f t="shared" si="162"/>
        <v>9296.6666666666661</v>
      </c>
      <c r="AN230" s="42">
        <f t="shared" si="165"/>
        <v>-183.66666666666606</v>
      </c>
      <c r="AO230" s="42">
        <f t="shared" si="163"/>
        <v>33733.44444444422</v>
      </c>
      <c r="AP230" s="42">
        <f t="shared" si="164"/>
        <v>183.66666666666606</v>
      </c>
      <c r="AQ230" s="43"/>
      <c r="AR230" s="42">
        <f t="shared" si="166"/>
        <v>9062</v>
      </c>
      <c r="AS230" s="42">
        <f t="shared" si="167"/>
        <v>51</v>
      </c>
      <c r="AT230" s="42">
        <f t="shared" si="168"/>
        <v>2601</v>
      </c>
      <c r="AU230" s="42">
        <f t="shared" si="133"/>
        <v>51</v>
      </c>
      <c r="AV230" s="43"/>
      <c r="AW230" s="42">
        <f t="shared" si="169"/>
        <v>9055.545454545454</v>
      </c>
      <c r="AX230" s="42">
        <f t="shared" si="172"/>
        <v>57.454545454545951</v>
      </c>
      <c r="AY230" s="42">
        <f t="shared" si="170"/>
        <v>3301.0247933884866</v>
      </c>
      <c r="AZ230" s="42">
        <f t="shared" si="171"/>
        <v>57.454545454545951</v>
      </c>
      <c r="BA230" s="43"/>
      <c r="BB230" s="44">
        <f t="shared" si="134"/>
        <v>8949.3333333333339</v>
      </c>
      <c r="BC230" s="42">
        <f t="shared" si="175"/>
        <v>163.66666666666606</v>
      </c>
      <c r="BD230" s="42">
        <f t="shared" si="173"/>
        <v>26786.777777777581</v>
      </c>
      <c r="BE230" s="42">
        <f t="shared" si="174"/>
        <v>163.66666666666606</v>
      </c>
    </row>
    <row r="231" spans="1:57" ht="18" x14ac:dyDescent="0.2">
      <c r="A231" s="7">
        <v>45261</v>
      </c>
      <c r="B231" s="17">
        <v>10565</v>
      </c>
      <c r="D231" s="42">
        <f>AVERAGE(B229:B230)</f>
        <v>8668</v>
      </c>
      <c r="E231" s="42">
        <f t="shared" si="132"/>
        <v>1897</v>
      </c>
      <c r="F231" s="42">
        <f t="shared" si="136"/>
        <v>3598609</v>
      </c>
      <c r="G231" s="42">
        <f t="shared" si="137"/>
        <v>1897</v>
      </c>
      <c r="H231" s="43"/>
      <c r="I231" s="42">
        <f t="shared" si="138"/>
        <v>7966.333333333333</v>
      </c>
      <c r="J231" s="42">
        <f t="shared" si="139"/>
        <v>2598.666666666667</v>
      </c>
      <c r="K231" s="42">
        <f t="shared" si="140"/>
        <v>6753068.4444444459</v>
      </c>
      <c r="L231" s="42">
        <f t="shared" si="141"/>
        <v>2598.666666666667</v>
      </c>
      <c r="M231" s="43"/>
      <c r="N231" s="42">
        <f t="shared" si="142"/>
        <v>8497</v>
      </c>
      <c r="O231" s="42">
        <f t="shared" si="144"/>
        <v>2068</v>
      </c>
      <c r="P231" s="42">
        <f t="shared" si="145"/>
        <v>4276624</v>
      </c>
      <c r="Q231" s="42">
        <f t="shared" si="143"/>
        <v>2068</v>
      </c>
      <c r="R231" s="43"/>
      <c r="S231" s="42">
        <f t="shared" si="146"/>
        <v>8790</v>
      </c>
      <c r="T231" s="42">
        <f t="shared" si="148"/>
        <v>1775</v>
      </c>
      <c r="U231" s="42">
        <f t="shared" si="149"/>
        <v>3150625</v>
      </c>
      <c r="V231" s="42">
        <f t="shared" si="147"/>
        <v>1775</v>
      </c>
      <c r="W231" s="43"/>
      <c r="X231" s="42">
        <f t="shared" si="150"/>
        <v>9106.8333333333339</v>
      </c>
      <c r="Y231" s="42">
        <f t="shared" si="152"/>
        <v>1458.1666666666661</v>
      </c>
      <c r="Z231" s="42">
        <f t="shared" si="153"/>
        <v>2126250.0277777761</v>
      </c>
      <c r="AA231" s="42">
        <f t="shared" si="151"/>
        <v>1458.1666666666661</v>
      </c>
      <c r="AB231" s="43"/>
      <c r="AC231" s="42">
        <f t="shared" si="154"/>
        <v>9297.1428571428569</v>
      </c>
      <c r="AD231" s="42">
        <f t="shared" si="156"/>
        <v>1267.8571428571431</v>
      </c>
      <c r="AE231" s="42">
        <f t="shared" si="157"/>
        <v>1607461.7346938781</v>
      </c>
      <c r="AF231" s="42">
        <f t="shared" si="155"/>
        <v>1267.8571428571431</v>
      </c>
      <c r="AG231" s="43"/>
      <c r="AH231" s="42">
        <f t="shared" si="158"/>
        <v>9378.625</v>
      </c>
      <c r="AI231" s="42">
        <f t="shared" si="161"/>
        <v>1186.375</v>
      </c>
      <c r="AJ231" s="42">
        <f t="shared" si="159"/>
        <v>1407485.640625</v>
      </c>
      <c r="AK231" s="42">
        <f t="shared" si="160"/>
        <v>1186.375</v>
      </c>
      <c r="AL231" s="43"/>
      <c r="AM231" s="42">
        <f t="shared" si="162"/>
        <v>9501.3333333333339</v>
      </c>
      <c r="AN231" s="42">
        <f t="shared" si="165"/>
        <v>1063.6666666666661</v>
      </c>
      <c r="AO231" s="42">
        <f t="shared" si="163"/>
        <v>1131386.7777777766</v>
      </c>
      <c r="AP231" s="42">
        <f t="shared" si="164"/>
        <v>1063.6666666666661</v>
      </c>
      <c r="AQ231" s="43"/>
      <c r="AR231" s="42">
        <f t="shared" si="166"/>
        <v>9278.2999999999993</v>
      </c>
      <c r="AS231" s="42">
        <f t="shared" si="167"/>
        <v>1286.7000000000007</v>
      </c>
      <c r="AT231" s="42">
        <f t="shared" si="168"/>
        <v>1655596.8900000018</v>
      </c>
      <c r="AU231" s="42">
        <f t="shared" si="133"/>
        <v>1286.7000000000007</v>
      </c>
      <c r="AV231" s="43"/>
      <c r="AW231" s="42">
        <f t="shared" si="169"/>
        <v>9066.636363636364</v>
      </c>
      <c r="AX231" s="42">
        <f t="shared" si="172"/>
        <v>1498.363636363636</v>
      </c>
      <c r="AY231" s="42">
        <f t="shared" si="170"/>
        <v>2245093.5867768587</v>
      </c>
      <c r="AZ231" s="42">
        <f t="shared" si="171"/>
        <v>1498.363636363636</v>
      </c>
      <c r="BA231" s="43"/>
      <c r="BB231" s="44">
        <f t="shared" si="134"/>
        <v>9060.3333333333339</v>
      </c>
      <c r="BC231" s="42">
        <f t="shared" si="175"/>
        <v>1504.6666666666661</v>
      </c>
      <c r="BD231" s="42">
        <f t="shared" si="173"/>
        <v>2264021.7777777761</v>
      </c>
      <c r="BE231" s="42">
        <f t="shared" si="174"/>
        <v>1504.6666666666661</v>
      </c>
    </row>
    <row r="232" spans="1:57" ht="18" x14ac:dyDescent="0.2">
      <c r="A232" s="7">
        <v>45292</v>
      </c>
      <c r="B232" s="17">
        <v>7687</v>
      </c>
      <c r="D232" s="42">
        <f t="shared" si="135"/>
        <v>9839</v>
      </c>
      <c r="E232" s="42">
        <f t="shared" si="132"/>
        <v>-2152</v>
      </c>
      <c r="F232" s="42">
        <f t="shared" si="136"/>
        <v>4631104</v>
      </c>
      <c r="G232" s="42">
        <f t="shared" si="137"/>
        <v>2152</v>
      </c>
      <c r="H232" s="43"/>
      <c r="I232" s="42">
        <f t="shared" si="138"/>
        <v>9300.3333333333339</v>
      </c>
      <c r="J232" s="42">
        <f t="shared" si="139"/>
        <v>-1613.3333333333339</v>
      </c>
      <c r="K232" s="42">
        <f t="shared" si="140"/>
        <v>2602844.4444444464</v>
      </c>
      <c r="L232" s="42">
        <f t="shared" si="141"/>
        <v>1613.3333333333339</v>
      </c>
      <c r="M232" s="43"/>
      <c r="N232" s="42">
        <f t="shared" si="142"/>
        <v>8616</v>
      </c>
      <c r="O232" s="42">
        <f t="shared" si="144"/>
        <v>-929</v>
      </c>
      <c r="P232" s="42">
        <f t="shared" si="145"/>
        <v>863041</v>
      </c>
      <c r="Q232" s="42">
        <f t="shared" si="143"/>
        <v>929</v>
      </c>
      <c r="R232" s="43"/>
      <c r="S232" s="42">
        <f t="shared" si="146"/>
        <v>8910.6</v>
      </c>
      <c r="T232" s="42">
        <f t="shared" si="148"/>
        <v>-1223.6000000000004</v>
      </c>
      <c r="U232" s="42">
        <f t="shared" si="149"/>
        <v>1497196.9600000009</v>
      </c>
      <c r="V232" s="42">
        <f t="shared" si="147"/>
        <v>1223.6000000000004</v>
      </c>
      <c r="W232" s="43"/>
      <c r="X232" s="42">
        <f t="shared" si="150"/>
        <v>9085.8333333333339</v>
      </c>
      <c r="Y232" s="42">
        <f t="shared" si="152"/>
        <v>-1398.8333333333339</v>
      </c>
      <c r="Z232" s="42">
        <f t="shared" si="153"/>
        <v>1956734.6944444461</v>
      </c>
      <c r="AA232" s="42">
        <f t="shared" si="151"/>
        <v>1398.8333333333339</v>
      </c>
      <c r="AB232" s="43"/>
      <c r="AC232" s="42">
        <f t="shared" si="154"/>
        <v>9315.1428571428569</v>
      </c>
      <c r="AD232" s="42">
        <f t="shared" si="156"/>
        <v>-1628.1428571428569</v>
      </c>
      <c r="AE232" s="42">
        <f t="shared" si="157"/>
        <v>2650849.1632653051</v>
      </c>
      <c r="AF232" s="42">
        <f t="shared" si="155"/>
        <v>1628.1428571428569</v>
      </c>
      <c r="AG232" s="43"/>
      <c r="AH232" s="42">
        <f t="shared" si="158"/>
        <v>9455.625</v>
      </c>
      <c r="AI232" s="42">
        <f t="shared" si="161"/>
        <v>-1768.625</v>
      </c>
      <c r="AJ232" s="42">
        <f t="shared" si="159"/>
        <v>3128034.390625</v>
      </c>
      <c r="AK232" s="42">
        <f t="shared" si="160"/>
        <v>1768.625</v>
      </c>
      <c r="AL232" s="43"/>
      <c r="AM232" s="42">
        <f t="shared" si="162"/>
        <v>9510.4444444444453</v>
      </c>
      <c r="AN232" s="42">
        <f t="shared" si="165"/>
        <v>-1823.4444444444453</v>
      </c>
      <c r="AO232" s="42">
        <f t="shared" si="163"/>
        <v>3324949.6419753116</v>
      </c>
      <c r="AP232" s="42">
        <f t="shared" si="164"/>
        <v>1823.4444444444453</v>
      </c>
      <c r="AQ232" s="43"/>
      <c r="AR232" s="42">
        <f t="shared" si="166"/>
        <v>9607.7000000000007</v>
      </c>
      <c r="AS232" s="42">
        <f t="shared" si="167"/>
        <v>-1920.7000000000007</v>
      </c>
      <c r="AT232" s="42">
        <f t="shared" si="168"/>
        <v>3689088.490000003</v>
      </c>
      <c r="AU232" s="42">
        <f t="shared" si="133"/>
        <v>1920.7000000000007</v>
      </c>
      <c r="AV232" s="43"/>
      <c r="AW232" s="42">
        <f t="shared" si="169"/>
        <v>9395.2727272727279</v>
      </c>
      <c r="AX232" s="42">
        <f t="shared" si="172"/>
        <v>-1708.2727272727279</v>
      </c>
      <c r="AY232" s="42">
        <f t="shared" si="170"/>
        <v>2918195.710743804</v>
      </c>
      <c r="AZ232" s="42">
        <f t="shared" si="171"/>
        <v>1708.2727272727279</v>
      </c>
      <c r="BA232" s="43"/>
      <c r="BB232" s="44">
        <f t="shared" si="134"/>
        <v>9191.5</v>
      </c>
      <c r="BC232" s="42">
        <f t="shared" si="175"/>
        <v>-1504.5</v>
      </c>
      <c r="BD232" s="42">
        <f t="shared" si="173"/>
        <v>2263520.25</v>
      </c>
      <c r="BE232" s="42">
        <f t="shared" si="174"/>
        <v>1504.5</v>
      </c>
    </row>
    <row r="233" spans="1:57" ht="18" x14ac:dyDescent="0.2">
      <c r="A233" s="7">
        <v>45323</v>
      </c>
      <c r="B233" s="17">
        <v>9684</v>
      </c>
      <c r="D233" s="42">
        <f t="shared" si="135"/>
        <v>9126</v>
      </c>
      <c r="E233" s="42">
        <f t="shared" si="132"/>
        <v>558</v>
      </c>
      <c r="F233" s="42">
        <f t="shared" si="136"/>
        <v>311364</v>
      </c>
      <c r="G233" s="42">
        <f t="shared" si="137"/>
        <v>558</v>
      </c>
      <c r="H233" s="43"/>
      <c r="I233" s="42">
        <f t="shared" si="138"/>
        <v>9121.6666666666661</v>
      </c>
      <c r="J233" s="42">
        <f t="shared" si="139"/>
        <v>562.33333333333394</v>
      </c>
      <c r="K233" s="42">
        <f t="shared" si="140"/>
        <v>316218.77777777845</v>
      </c>
      <c r="L233" s="42">
        <f t="shared" si="141"/>
        <v>562.33333333333394</v>
      </c>
      <c r="M233" s="43"/>
      <c r="N233" s="42">
        <f t="shared" si="142"/>
        <v>8897</v>
      </c>
      <c r="O233" s="42">
        <f t="shared" si="144"/>
        <v>787</v>
      </c>
      <c r="P233" s="42">
        <f t="shared" si="145"/>
        <v>619369</v>
      </c>
      <c r="Q233" s="42">
        <f t="shared" si="143"/>
        <v>787</v>
      </c>
      <c r="R233" s="43"/>
      <c r="S233" s="42">
        <f t="shared" si="146"/>
        <v>8430.2000000000007</v>
      </c>
      <c r="T233" s="42">
        <f t="shared" si="148"/>
        <v>1253.7999999999993</v>
      </c>
      <c r="U233" s="42">
        <f t="shared" si="149"/>
        <v>1572014.4399999981</v>
      </c>
      <c r="V233" s="42">
        <f t="shared" si="147"/>
        <v>1253.7999999999993</v>
      </c>
      <c r="W233" s="43"/>
      <c r="X233" s="42">
        <f t="shared" si="150"/>
        <v>8706.6666666666661</v>
      </c>
      <c r="Y233" s="42">
        <f t="shared" si="152"/>
        <v>977.33333333333394</v>
      </c>
      <c r="Z233" s="42">
        <f t="shared" si="153"/>
        <v>955180.44444444566</v>
      </c>
      <c r="AA233" s="42">
        <f t="shared" si="151"/>
        <v>977.33333333333394</v>
      </c>
      <c r="AB233" s="43"/>
      <c r="AC233" s="42">
        <f t="shared" si="154"/>
        <v>8886</v>
      </c>
      <c r="AD233" s="42">
        <f t="shared" si="156"/>
        <v>798</v>
      </c>
      <c r="AE233" s="42">
        <f t="shared" si="157"/>
        <v>636804</v>
      </c>
      <c r="AF233" s="42">
        <f t="shared" si="155"/>
        <v>798</v>
      </c>
      <c r="AG233" s="43"/>
      <c r="AH233" s="42">
        <f t="shared" si="158"/>
        <v>9111.625</v>
      </c>
      <c r="AI233" s="42">
        <f t="shared" si="161"/>
        <v>572.375</v>
      </c>
      <c r="AJ233" s="42">
        <f t="shared" si="159"/>
        <v>327613.140625</v>
      </c>
      <c r="AK233" s="42">
        <f t="shared" si="160"/>
        <v>572.375</v>
      </c>
      <c r="AL233" s="43"/>
      <c r="AM233" s="42">
        <f t="shared" si="162"/>
        <v>9259.1111111111113</v>
      </c>
      <c r="AN233" s="42">
        <f t="shared" si="165"/>
        <v>424.88888888888869</v>
      </c>
      <c r="AO233" s="42">
        <f t="shared" si="163"/>
        <v>180530.5679012344</v>
      </c>
      <c r="AP233" s="42">
        <f t="shared" si="164"/>
        <v>424.88888888888869</v>
      </c>
      <c r="AQ233" s="43"/>
      <c r="AR233" s="42">
        <f t="shared" si="166"/>
        <v>9328.1</v>
      </c>
      <c r="AS233" s="42">
        <f t="shared" si="167"/>
        <v>355.89999999999964</v>
      </c>
      <c r="AT233" s="42">
        <f t="shared" si="168"/>
        <v>126664.80999999974</v>
      </c>
      <c r="AU233" s="42">
        <f t="shared" si="133"/>
        <v>355.89999999999964</v>
      </c>
      <c r="AV233" s="43"/>
      <c r="AW233" s="42">
        <f t="shared" si="169"/>
        <v>9433.0909090909099</v>
      </c>
      <c r="AX233" s="42">
        <f t="shared" si="172"/>
        <v>250.90909090909008</v>
      </c>
      <c r="AY233" s="42">
        <f t="shared" si="170"/>
        <v>62955.37190082603</v>
      </c>
      <c r="AZ233" s="42">
        <f t="shared" si="171"/>
        <v>250.90909090909008</v>
      </c>
      <c r="BA233" s="43"/>
      <c r="BB233" s="44">
        <f t="shared" si="134"/>
        <v>9252.9166666666661</v>
      </c>
      <c r="BC233" s="42">
        <f t="shared" si="175"/>
        <v>431.08333333333394</v>
      </c>
      <c r="BD233" s="42">
        <f t="shared" si="173"/>
        <v>185832.8402777783</v>
      </c>
      <c r="BE233" s="42">
        <f t="shared" si="174"/>
        <v>431.08333333333394</v>
      </c>
    </row>
    <row r="234" spans="1:57" ht="18" x14ac:dyDescent="0.2">
      <c r="A234" s="7">
        <v>45352</v>
      </c>
      <c r="B234" s="17">
        <v>12680</v>
      </c>
      <c r="D234" s="42">
        <f t="shared" si="135"/>
        <v>8685.5</v>
      </c>
      <c r="E234" s="42">
        <f t="shared" si="132"/>
        <v>3994.5</v>
      </c>
      <c r="F234" s="42">
        <f t="shared" si="136"/>
        <v>15956030.25</v>
      </c>
      <c r="G234" s="42">
        <f t="shared" si="137"/>
        <v>3994.5</v>
      </c>
      <c r="H234" s="43"/>
      <c r="I234" s="42">
        <f t="shared" si="138"/>
        <v>9312</v>
      </c>
      <c r="J234" s="42">
        <f t="shared" si="139"/>
        <v>3368</v>
      </c>
      <c r="K234" s="42">
        <f t="shared" si="140"/>
        <v>11343424</v>
      </c>
      <c r="L234" s="42">
        <f t="shared" si="141"/>
        <v>3368</v>
      </c>
      <c r="M234" s="43"/>
      <c r="N234" s="42">
        <f t="shared" si="142"/>
        <v>9262.25</v>
      </c>
      <c r="O234" s="42">
        <f t="shared" si="144"/>
        <v>3417.75</v>
      </c>
      <c r="P234" s="42">
        <f t="shared" si="145"/>
        <v>11681015.0625</v>
      </c>
      <c r="Q234" s="42">
        <f t="shared" si="143"/>
        <v>3417.75</v>
      </c>
      <c r="R234" s="43"/>
      <c r="S234" s="42">
        <f t="shared" si="146"/>
        <v>9054.4</v>
      </c>
      <c r="T234" s="42">
        <f t="shared" si="148"/>
        <v>3625.6000000000004</v>
      </c>
      <c r="U234" s="42">
        <f t="shared" si="149"/>
        <v>13144975.360000003</v>
      </c>
      <c r="V234" s="42">
        <f t="shared" si="147"/>
        <v>3625.6000000000004</v>
      </c>
      <c r="W234" s="43"/>
      <c r="X234" s="42">
        <f t="shared" si="150"/>
        <v>8639.1666666666661</v>
      </c>
      <c r="Y234" s="42">
        <f t="shared" si="152"/>
        <v>4040.8333333333339</v>
      </c>
      <c r="Z234" s="42">
        <f t="shared" si="153"/>
        <v>16328334.027777784</v>
      </c>
      <c r="AA234" s="42">
        <f t="shared" si="151"/>
        <v>4040.8333333333339</v>
      </c>
      <c r="AB234" s="43"/>
      <c r="AC234" s="42">
        <f t="shared" si="154"/>
        <v>8846.2857142857138</v>
      </c>
      <c r="AD234" s="42">
        <f t="shared" si="156"/>
        <v>3833.7142857142862</v>
      </c>
      <c r="AE234" s="42">
        <f t="shared" si="157"/>
        <v>14697365.224489801</v>
      </c>
      <c r="AF234" s="42">
        <f t="shared" si="155"/>
        <v>3833.7142857142862</v>
      </c>
      <c r="AG234" s="43"/>
      <c r="AH234" s="42">
        <f t="shared" si="158"/>
        <v>8985.75</v>
      </c>
      <c r="AI234" s="42">
        <f t="shared" si="161"/>
        <v>3694.25</v>
      </c>
      <c r="AJ234" s="42">
        <f t="shared" si="159"/>
        <v>13647483.0625</v>
      </c>
      <c r="AK234" s="42">
        <f t="shared" si="160"/>
        <v>3694.25</v>
      </c>
      <c r="AL234" s="43"/>
      <c r="AM234" s="42">
        <f t="shared" si="162"/>
        <v>9175.2222222222226</v>
      </c>
      <c r="AN234" s="42">
        <f t="shared" si="165"/>
        <v>3504.7777777777774</v>
      </c>
      <c r="AO234" s="42">
        <f t="shared" si="163"/>
        <v>12283467.271604935</v>
      </c>
      <c r="AP234" s="42">
        <f t="shared" si="164"/>
        <v>3504.7777777777774</v>
      </c>
      <c r="AQ234" s="43"/>
      <c r="AR234" s="42">
        <f t="shared" si="166"/>
        <v>9301.6</v>
      </c>
      <c r="AS234" s="42">
        <f t="shared" si="167"/>
        <v>3378.3999999999996</v>
      </c>
      <c r="AT234" s="42">
        <f t="shared" si="168"/>
        <v>11413586.559999997</v>
      </c>
      <c r="AU234" s="42">
        <f t="shared" si="133"/>
        <v>3378.3999999999996</v>
      </c>
      <c r="AV234" s="43"/>
      <c r="AW234" s="42">
        <f t="shared" si="169"/>
        <v>9360.454545454546</v>
      </c>
      <c r="AX234" s="42">
        <f t="shared" si="172"/>
        <v>3319.545454545454</v>
      </c>
      <c r="AY234" s="42">
        <f t="shared" si="170"/>
        <v>11019382.024793385</v>
      </c>
      <c r="AZ234" s="42">
        <f t="shared" si="171"/>
        <v>3319.545454545454</v>
      </c>
      <c r="BA234" s="43"/>
      <c r="BB234" s="44">
        <f t="shared" si="134"/>
        <v>9454</v>
      </c>
      <c r="BC234" s="42">
        <f t="shared" si="175"/>
        <v>3226</v>
      </c>
      <c r="BD234" s="42">
        <f t="shared" si="173"/>
        <v>10407076</v>
      </c>
      <c r="BE234" s="42">
        <f t="shared" si="174"/>
        <v>3226</v>
      </c>
    </row>
    <row r="235" spans="1:57" ht="18" x14ac:dyDescent="0.2">
      <c r="A235" s="7">
        <v>45383</v>
      </c>
      <c r="B235" s="17">
        <v>11882</v>
      </c>
      <c r="D235" s="42">
        <f t="shared" si="135"/>
        <v>11182</v>
      </c>
      <c r="E235" s="42">
        <f t="shared" ref="E235:E246" si="176">$B235-D235</f>
        <v>700</v>
      </c>
      <c r="F235" s="42">
        <f t="shared" si="136"/>
        <v>490000</v>
      </c>
      <c r="G235" s="42">
        <f t="shared" si="137"/>
        <v>700</v>
      </c>
      <c r="H235" s="43"/>
      <c r="I235" s="42">
        <f t="shared" si="138"/>
        <v>10017</v>
      </c>
      <c r="J235" s="42">
        <f t="shared" si="139"/>
        <v>1865</v>
      </c>
      <c r="K235" s="42">
        <f t="shared" si="140"/>
        <v>3478225</v>
      </c>
      <c r="L235" s="42">
        <f t="shared" si="141"/>
        <v>1865</v>
      </c>
      <c r="M235" s="43"/>
      <c r="N235" s="42">
        <f t="shared" si="142"/>
        <v>10154</v>
      </c>
      <c r="O235" s="42">
        <f t="shared" si="144"/>
        <v>1728</v>
      </c>
      <c r="P235" s="42">
        <f t="shared" si="145"/>
        <v>2985984</v>
      </c>
      <c r="Q235" s="42">
        <f t="shared" si="143"/>
        <v>1728</v>
      </c>
      <c r="R235" s="43"/>
      <c r="S235" s="42">
        <f t="shared" si="146"/>
        <v>9945.7999999999993</v>
      </c>
      <c r="T235" s="42">
        <f t="shared" si="148"/>
        <v>1936.2000000000007</v>
      </c>
      <c r="U235" s="42">
        <f t="shared" si="149"/>
        <v>3748870.4400000027</v>
      </c>
      <c r="V235" s="42">
        <f t="shared" si="147"/>
        <v>1936.2000000000007</v>
      </c>
      <c r="W235" s="43"/>
      <c r="X235" s="42">
        <f t="shared" si="150"/>
        <v>9658.6666666666661</v>
      </c>
      <c r="Y235" s="42">
        <f t="shared" si="152"/>
        <v>2223.3333333333339</v>
      </c>
      <c r="Z235" s="42">
        <f t="shared" si="153"/>
        <v>4943211.1111111138</v>
      </c>
      <c r="AA235" s="42">
        <f t="shared" si="151"/>
        <v>2223.3333333333339</v>
      </c>
      <c r="AB235" s="43"/>
      <c r="AC235" s="42">
        <f t="shared" si="154"/>
        <v>9216.4285714285706</v>
      </c>
      <c r="AD235" s="42">
        <f t="shared" si="156"/>
        <v>2665.5714285714294</v>
      </c>
      <c r="AE235" s="42">
        <f t="shared" si="157"/>
        <v>7105271.0408163304</v>
      </c>
      <c r="AF235" s="42">
        <f t="shared" si="155"/>
        <v>2665.5714285714294</v>
      </c>
      <c r="AG235" s="43"/>
      <c r="AH235" s="42">
        <f t="shared" si="158"/>
        <v>9325.5</v>
      </c>
      <c r="AI235" s="42">
        <f t="shared" si="161"/>
        <v>2556.5</v>
      </c>
      <c r="AJ235" s="42">
        <f t="shared" si="159"/>
        <v>6535692.25</v>
      </c>
      <c r="AK235" s="42">
        <f t="shared" si="160"/>
        <v>2556.5</v>
      </c>
      <c r="AL235" s="43"/>
      <c r="AM235" s="42">
        <f t="shared" si="162"/>
        <v>9396.2222222222226</v>
      </c>
      <c r="AN235" s="42">
        <f t="shared" si="165"/>
        <v>2485.7777777777774</v>
      </c>
      <c r="AO235" s="42">
        <f t="shared" si="163"/>
        <v>6179091.1604938256</v>
      </c>
      <c r="AP235" s="42">
        <f t="shared" si="164"/>
        <v>2485.7777777777774</v>
      </c>
      <c r="AQ235" s="43"/>
      <c r="AR235" s="42">
        <f t="shared" si="166"/>
        <v>9525.7000000000007</v>
      </c>
      <c r="AS235" s="42">
        <f t="shared" si="167"/>
        <v>2356.2999999999993</v>
      </c>
      <c r="AT235" s="42">
        <f t="shared" si="168"/>
        <v>5552149.6899999967</v>
      </c>
      <c r="AU235" s="42">
        <f t="shared" ref="AU235:AU246" si="177">ABS(AS235)</f>
        <v>2356.2999999999993</v>
      </c>
      <c r="AV235" s="43"/>
      <c r="AW235" s="42">
        <f t="shared" si="169"/>
        <v>9608.7272727272721</v>
      </c>
      <c r="AX235" s="42">
        <f t="shared" si="172"/>
        <v>2273.2727272727279</v>
      </c>
      <c r="AY235" s="42">
        <f t="shared" si="170"/>
        <v>5167768.8925619861</v>
      </c>
      <c r="AZ235" s="42">
        <f t="shared" si="171"/>
        <v>2273.2727272727279</v>
      </c>
      <c r="BA235" s="43"/>
      <c r="BB235" s="44">
        <f t="shared" ref="BB235:BB246" si="178">AVERAGE(B223:B234)</f>
        <v>9637.0833333333339</v>
      </c>
      <c r="BC235" s="42">
        <f t="shared" si="175"/>
        <v>2244.9166666666661</v>
      </c>
      <c r="BD235" s="42">
        <f t="shared" si="173"/>
        <v>5039650.8402777752</v>
      </c>
      <c r="BE235" s="42">
        <f t="shared" si="174"/>
        <v>2244.9166666666661</v>
      </c>
    </row>
    <row r="236" spans="1:57" ht="18" x14ac:dyDescent="0.2">
      <c r="A236" s="7">
        <v>45413</v>
      </c>
      <c r="B236" s="17">
        <v>12561</v>
      </c>
      <c r="D236" s="42">
        <f t="shared" si="135"/>
        <v>12281</v>
      </c>
      <c r="E236" s="42">
        <f t="shared" si="176"/>
        <v>280</v>
      </c>
      <c r="F236" s="42">
        <f t="shared" si="136"/>
        <v>78400</v>
      </c>
      <c r="G236" s="42">
        <f t="shared" si="137"/>
        <v>280</v>
      </c>
      <c r="H236" s="43"/>
      <c r="I236" s="42">
        <f t="shared" si="138"/>
        <v>11415.333333333334</v>
      </c>
      <c r="J236" s="42">
        <f t="shared" si="139"/>
        <v>1145.6666666666661</v>
      </c>
      <c r="K236" s="42">
        <f t="shared" si="140"/>
        <v>1312552.1111111096</v>
      </c>
      <c r="L236" s="42">
        <f t="shared" si="141"/>
        <v>1145.6666666666661</v>
      </c>
      <c r="M236" s="43"/>
      <c r="N236" s="42">
        <f t="shared" si="142"/>
        <v>10483.25</v>
      </c>
      <c r="O236" s="42">
        <f t="shared" si="144"/>
        <v>2077.75</v>
      </c>
      <c r="P236" s="42">
        <f t="shared" si="145"/>
        <v>4317045.0625</v>
      </c>
      <c r="Q236" s="42">
        <f t="shared" si="143"/>
        <v>2077.75</v>
      </c>
      <c r="R236" s="43"/>
      <c r="S236" s="42">
        <f t="shared" si="146"/>
        <v>10499.6</v>
      </c>
      <c r="T236" s="42">
        <f t="shared" si="148"/>
        <v>2061.3999999999996</v>
      </c>
      <c r="U236" s="42">
        <f t="shared" si="149"/>
        <v>4249369.9599999981</v>
      </c>
      <c r="V236" s="42">
        <f t="shared" si="147"/>
        <v>2061.3999999999996</v>
      </c>
      <c r="W236" s="43"/>
      <c r="X236" s="42">
        <f t="shared" si="150"/>
        <v>10268.5</v>
      </c>
      <c r="Y236" s="42">
        <f t="shared" si="152"/>
        <v>2292.5</v>
      </c>
      <c r="Z236" s="42">
        <f t="shared" si="153"/>
        <v>5255556.25</v>
      </c>
      <c r="AA236" s="42">
        <f t="shared" si="151"/>
        <v>2292.5</v>
      </c>
      <c r="AB236" s="43"/>
      <c r="AC236" s="42">
        <f t="shared" si="154"/>
        <v>9976.2857142857138</v>
      </c>
      <c r="AD236" s="42">
        <f t="shared" si="156"/>
        <v>2584.7142857142862</v>
      </c>
      <c r="AE236" s="42">
        <f t="shared" si="157"/>
        <v>6680747.9387755133</v>
      </c>
      <c r="AF236" s="42">
        <f t="shared" si="155"/>
        <v>2584.7142857142862</v>
      </c>
      <c r="AG236" s="43"/>
      <c r="AH236" s="42">
        <f t="shared" si="158"/>
        <v>9549.625</v>
      </c>
      <c r="AI236" s="42">
        <f t="shared" si="161"/>
        <v>3011.375</v>
      </c>
      <c r="AJ236" s="42">
        <f t="shared" si="159"/>
        <v>9068379.390625</v>
      </c>
      <c r="AK236" s="42">
        <f t="shared" si="160"/>
        <v>3011.375</v>
      </c>
      <c r="AL236" s="43"/>
      <c r="AM236" s="42">
        <f t="shared" si="162"/>
        <v>9609.5555555555547</v>
      </c>
      <c r="AN236" s="42">
        <f t="shared" si="165"/>
        <v>2951.4444444444453</v>
      </c>
      <c r="AO236" s="42">
        <f t="shared" si="163"/>
        <v>8711024.3086419795</v>
      </c>
      <c r="AP236" s="42">
        <f t="shared" si="164"/>
        <v>2951.4444444444453</v>
      </c>
      <c r="AQ236" s="43"/>
      <c r="AR236" s="42">
        <f t="shared" si="166"/>
        <v>9644.7999999999993</v>
      </c>
      <c r="AS236" s="42">
        <f t="shared" si="167"/>
        <v>2916.2000000000007</v>
      </c>
      <c r="AT236" s="42">
        <f t="shared" si="168"/>
        <v>8504222.4400000051</v>
      </c>
      <c r="AU236" s="42">
        <f t="shared" si="177"/>
        <v>2916.2000000000007</v>
      </c>
      <c r="AV236" s="43"/>
      <c r="AW236" s="42">
        <f t="shared" si="169"/>
        <v>9739.9090909090901</v>
      </c>
      <c r="AX236" s="42">
        <f t="shared" si="172"/>
        <v>2821.0909090909099</v>
      </c>
      <c r="AY236" s="42">
        <f t="shared" si="170"/>
        <v>7958553.9173553763</v>
      </c>
      <c r="AZ236" s="42">
        <f t="shared" si="171"/>
        <v>2821.0909090909099</v>
      </c>
      <c r="BA236" s="43"/>
      <c r="BB236" s="44">
        <f t="shared" si="178"/>
        <v>9798.1666666666661</v>
      </c>
      <c r="BC236" s="42">
        <f t="shared" si="175"/>
        <v>2762.8333333333339</v>
      </c>
      <c r="BD236" s="42">
        <f t="shared" si="173"/>
        <v>7633248.0277777808</v>
      </c>
      <c r="BE236" s="42">
        <f t="shared" si="174"/>
        <v>2762.8333333333339</v>
      </c>
    </row>
    <row r="237" spans="1:57" ht="18" x14ac:dyDescent="0.2">
      <c r="A237" s="7">
        <v>45444</v>
      </c>
      <c r="B237" s="17">
        <v>11789</v>
      </c>
      <c r="D237" s="42">
        <f t="shared" ref="D237:D246" si="179">AVERAGE(B235:B236)</f>
        <v>12221.5</v>
      </c>
      <c r="E237" s="42">
        <f t="shared" si="176"/>
        <v>-432.5</v>
      </c>
      <c r="F237" s="42">
        <f t="shared" si="136"/>
        <v>187056.25</v>
      </c>
      <c r="G237" s="42">
        <f>ABS(E237)</f>
        <v>432.5</v>
      </c>
      <c r="H237" s="43"/>
      <c r="I237" s="42">
        <f t="shared" si="138"/>
        <v>12374.333333333334</v>
      </c>
      <c r="J237" s="42">
        <f t="shared" si="139"/>
        <v>-585.33333333333394</v>
      </c>
      <c r="K237" s="42">
        <f t="shared" si="140"/>
        <v>342615.11111111182</v>
      </c>
      <c r="L237" s="42">
        <f t="shared" si="141"/>
        <v>585.33333333333394</v>
      </c>
      <c r="M237" s="43"/>
      <c r="N237" s="42">
        <f t="shared" si="142"/>
        <v>11701.75</v>
      </c>
      <c r="O237" s="42">
        <f t="shared" si="144"/>
        <v>87.25</v>
      </c>
      <c r="P237" s="42">
        <f t="shared" si="145"/>
        <v>7612.5625</v>
      </c>
      <c r="Q237" s="42">
        <f t="shared" si="143"/>
        <v>87.25</v>
      </c>
      <c r="R237" s="43"/>
      <c r="S237" s="42">
        <f t="shared" si="146"/>
        <v>10898.8</v>
      </c>
      <c r="T237" s="42">
        <f t="shared" si="148"/>
        <v>890.20000000000073</v>
      </c>
      <c r="U237" s="42">
        <f t="shared" si="149"/>
        <v>792456.04000000132</v>
      </c>
      <c r="V237" s="42">
        <f t="shared" si="147"/>
        <v>890.20000000000073</v>
      </c>
      <c r="W237" s="43"/>
      <c r="X237" s="42">
        <f t="shared" si="150"/>
        <v>10843.166666666666</v>
      </c>
      <c r="Y237" s="42">
        <f t="shared" si="152"/>
        <v>945.83333333333394</v>
      </c>
      <c r="Z237" s="42">
        <f t="shared" si="153"/>
        <v>894600.69444444554</v>
      </c>
      <c r="AA237" s="42">
        <f t="shared" si="151"/>
        <v>945.83333333333394</v>
      </c>
      <c r="AB237" s="43"/>
      <c r="AC237" s="42">
        <f t="shared" si="154"/>
        <v>10596</v>
      </c>
      <c r="AD237" s="42">
        <f t="shared" si="156"/>
        <v>1193</v>
      </c>
      <c r="AE237" s="42">
        <f t="shared" si="157"/>
        <v>1423249</v>
      </c>
      <c r="AF237" s="42">
        <f t="shared" si="155"/>
        <v>1193</v>
      </c>
      <c r="AG237" s="43"/>
      <c r="AH237" s="42">
        <f t="shared" si="158"/>
        <v>10299.375</v>
      </c>
      <c r="AI237" s="42">
        <f t="shared" si="161"/>
        <v>1489.625</v>
      </c>
      <c r="AJ237" s="42">
        <f t="shared" si="159"/>
        <v>2218982.640625</v>
      </c>
      <c r="AK237" s="42">
        <f t="shared" si="160"/>
        <v>1489.625</v>
      </c>
      <c r="AL237" s="43"/>
      <c r="AM237" s="42">
        <f t="shared" si="162"/>
        <v>9884.2222222222226</v>
      </c>
      <c r="AN237" s="42">
        <f t="shared" si="165"/>
        <v>1904.7777777777774</v>
      </c>
      <c r="AO237" s="42">
        <f t="shared" si="163"/>
        <v>3628178.382716048</v>
      </c>
      <c r="AP237" s="42">
        <f t="shared" si="164"/>
        <v>1904.7777777777774</v>
      </c>
      <c r="AQ237" s="43"/>
      <c r="AR237" s="42">
        <f t="shared" si="166"/>
        <v>9904.7000000000007</v>
      </c>
      <c r="AS237" s="42">
        <f t="shared" si="167"/>
        <v>1884.2999999999993</v>
      </c>
      <c r="AT237" s="42">
        <f t="shared" si="168"/>
        <v>3550586.4899999974</v>
      </c>
      <c r="AU237" s="42">
        <f t="shared" si="177"/>
        <v>1884.2999999999993</v>
      </c>
      <c r="AV237" s="43"/>
      <c r="AW237" s="42">
        <f t="shared" si="169"/>
        <v>9909.9090909090901</v>
      </c>
      <c r="AX237" s="42">
        <f t="shared" si="172"/>
        <v>1879.0909090909099</v>
      </c>
      <c r="AY237" s="42">
        <f t="shared" si="170"/>
        <v>3530982.6446281024</v>
      </c>
      <c r="AZ237" s="42">
        <f t="shared" si="171"/>
        <v>1879.0909090909099</v>
      </c>
      <c r="BA237" s="43"/>
      <c r="BB237" s="44">
        <f t="shared" si="178"/>
        <v>9975</v>
      </c>
      <c r="BC237" s="42">
        <f t="shared" si="175"/>
        <v>1814</v>
      </c>
      <c r="BD237" s="42">
        <f t="shared" si="173"/>
        <v>3290596</v>
      </c>
      <c r="BE237" s="42">
        <f t="shared" si="174"/>
        <v>1814</v>
      </c>
    </row>
    <row r="238" spans="1:57" ht="18" x14ac:dyDescent="0.2">
      <c r="A238" s="7">
        <v>45474</v>
      </c>
      <c r="B238" s="17">
        <v>12109</v>
      </c>
      <c r="D238" s="42">
        <f t="shared" si="179"/>
        <v>12175</v>
      </c>
      <c r="E238" s="42">
        <f t="shared" si="176"/>
        <v>-66</v>
      </c>
      <c r="F238" s="42">
        <f t="shared" si="136"/>
        <v>4356</v>
      </c>
      <c r="G238" s="42">
        <f>ABS(E238)</f>
        <v>66</v>
      </c>
      <c r="H238" s="43"/>
      <c r="I238" s="42">
        <f t="shared" si="138"/>
        <v>12077.333333333334</v>
      </c>
      <c r="J238" s="42">
        <f t="shared" si="139"/>
        <v>31.66666666666606</v>
      </c>
      <c r="K238" s="42">
        <f t="shared" si="140"/>
        <v>1002.7777777777394</v>
      </c>
      <c r="L238" s="42">
        <f t="shared" si="141"/>
        <v>31.66666666666606</v>
      </c>
      <c r="M238" s="43"/>
      <c r="N238" s="42">
        <f t="shared" si="142"/>
        <v>12228</v>
      </c>
      <c r="O238" s="42">
        <f t="shared" si="144"/>
        <v>-119</v>
      </c>
      <c r="P238" s="42">
        <f t="shared" si="145"/>
        <v>14161</v>
      </c>
      <c r="Q238" s="42">
        <f t="shared" si="143"/>
        <v>119</v>
      </c>
      <c r="R238" s="43"/>
      <c r="S238" s="42">
        <f t="shared" si="146"/>
        <v>11719.2</v>
      </c>
      <c r="T238" s="42">
        <f t="shared" si="148"/>
        <v>389.79999999999927</v>
      </c>
      <c r="U238" s="42">
        <f t="shared" si="149"/>
        <v>151944.03999999943</v>
      </c>
      <c r="V238" s="42">
        <f t="shared" si="147"/>
        <v>389.79999999999927</v>
      </c>
      <c r="W238" s="43"/>
      <c r="X238" s="42">
        <f t="shared" si="150"/>
        <v>11047.166666666666</v>
      </c>
      <c r="Y238" s="42">
        <f t="shared" si="152"/>
        <v>1061.8333333333339</v>
      </c>
      <c r="Z238" s="42">
        <f t="shared" si="153"/>
        <v>1127490.0277777791</v>
      </c>
      <c r="AA238" s="42">
        <f t="shared" si="151"/>
        <v>1061.8333333333339</v>
      </c>
      <c r="AB238" s="43"/>
      <c r="AC238" s="42">
        <f t="shared" si="154"/>
        <v>10978.285714285714</v>
      </c>
      <c r="AD238" s="42">
        <f t="shared" si="156"/>
        <v>1130.7142857142862</v>
      </c>
      <c r="AE238" s="42">
        <f t="shared" si="157"/>
        <v>1278514.7959183685</v>
      </c>
      <c r="AF238" s="42">
        <f t="shared" si="155"/>
        <v>1130.7142857142862</v>
      </c>
      <c r="AG238" s="43"/>
      <c r="AH238" s="42">
        <f t="shared" si="158"/>
        <v>10745.125</v>
      </c>
      <c r="AI238" s="42">
        <f t="shared" si="161"/>
        <v>1363.875</v>
      </c>
      <c r="AJ238" s="42">
        <f t="shared" si="159"/>
        <v>1860155.015625</v>
      </c>
      <c r="AK238" s="42">
        <f t="shared" si="160"/>
        <v>1363.875</v>
      </c>
      <c r="AL238" s="43"/>
      <c r="AM238" s="42">
        <f t="shared" si="162"/>
        <v>10464.888888888889</v>
      </c>
      <c r="AN238" s="42">
        <f t="shared" si="165"/>
        <v>1644.1111111111113</v>
      </c>
      <c r="AO238" s="42">
        <f t="shared" si="163"/>
        <v>2703101.3456790131</v>
      </c>
      <c r="AP238" s="42">
        <f t="shared" si="164"/>
        <v>1644.1111111111113</v>
      </c>
      <c r="AQ238" s="43"/>
      <c r="AR238" s="42">
        <f t="shared" si="166"/>
        <v>10074.700000000001</v>
      </c>
      <c r="AS238" s="42">
        <f t="shared" si="167"/>
        <v>2034.2999999999993</v>
      </c>
      <c r="AT238" s="42">
        <f t="shared" si="168"/>
        <v>4138376.489999997</v>
      </c>
      <c r="AU238" s="42">
        <f t="shared" si="177"/>
        <v>2034.2999999999993</v>
      </c>
      <c r="AV238" s="43"/>
      <c r="AW238" s="42">
        <f t="shared" si="169"/>
        <v>10076</v>
      </c>
      <c r="AX238" s="42">
        <f t="shared" si="172"/>
        <v>2033</v>
      </c>
      <c r="AY238" s="42">
        <f t="shared" si="170"/>
        <v>4133089</v>
      </c>
      <c r="AZ238" s="42">
        <f t="shared" si="171"/>
        <v>2033</v>
      </c>
      <c r="BA238" s="43"/>
      <c r="BB238" s="44">
        <f t="shared" si="178"/>
        <v>10066.5</v>
      </c>
      <c r="BC238" s="42">
        <f t="shared" si="175"/>
        <v>2042.5</v>
      </c>
      <c r="BD238" s="42">
        <f t="shared" si="173"/>
        <v>4171806.25</v>
      </c>
      <c r="BE238" s="42">
        <f t="shared" si="174"/>
        <v>2042.5</v>
      </c>
    </row>
    <row r="239" spans="1:57" ht="18" x14ac:dyDescent="0.2">
      <c r="A239" s="7">
        <v>45505</v>
      </c>
      <c r="B239" s="17">
        <v>14093</v>
      </c>
      <c r="D239" s="42">
        <f t="shared" si="179"/>
        <v>11949</v>
      </c>
      <c r="E239" s="42">
        <f t="shared" si="176"/>
        <v>2144</v>
      </c>
      <c r="F239" s="42">
        <f t="shared" si="136"/>
        <v>4596736</v>
      </c>
      <c r="G239" s="42">
        <f t="shared" si="137"/>
        <v>2144</v>
      </c>
      <c r="H239" s="43"/>
      <c r="I239" s="42">
        <f t="shared" si="138"/>
        <v>12153</v>
      </c>
      <c r="J239" s="42">
        <f t="shared" si="139"/>
        <v>1940</v>
      </c>
      <c r="K239" s="42">
        <f t="shared" si="140"/>
        <v>3763600</v>
      </c>
      <c r="L239" s="42">
        <f t="shared" si="141"/>
        <v>1940</v>
      </c>
      <c r="M239" s="43"/>
      <c r="N239" s="42">
        <f t="shared" si="142"/>
        <v>12085.25</v>
      </c>
      <c r="O239" s="42">
        <f t="shared" si="144"/>
        <v>2007.75</v>
      </c>
      <c r="P239" s="42">
        <f t="shared" si="145"/>
        <v>4031060.0625</v>
      </c>
      <c r="Q239" s="42">
        <f t="shared" si="143"/>
        <v>2007.75</v>
      </c>
      <c r="R239" s="43"/>
      <c r="S239" s="42">
        <f t="shared" si="146"/>
        <v>12204.2</v>
      </c>
      <c r="T239" s="42">
        <f t="shared" si="148"/>
        <v>1888.7999999999993</v>
      </c>
      <c r="U239" s="42">
        <f t="shared" si="149"/>
        <v>3567565.4399999972</v>
      </c>
      <c r="V239" s="42">
        <f t="shared" si="147"/>
        <v>1888.7999999999993</v>
      </c>
      <c r="W239" s="43"/>
      <c r="X239" s="42">
        <f t="shared" si="150"/>
        <v>11784.166666666666</v>
      </c>
      <c r="Y239" s="42">
        <f t="shared" si="152"/>
        <v>2308.8333333333339</v>
      </c>
      <c r="Z239" s="42">
        <f t="shared" si="153"/>
        <v>5330711.3611111138</v>
      </c>
      <c r="AA239" s="42">
        <f t="shared" si="151"/>
        <v>2308.8333333333339</v>
      </c>
      <c r="AB239" s="43"/>
      <c r="AC239" s="42">
        <f t="shared" si="154"/>
        <v>11198.857142857143</v>
      </c>
      <c r="AD239" s="42">
        <f t="shared" si="156"/>
        <v>2894.1428571428569</v>
      </c>
      <c r="AE239" s="42">
        <f t="shared" si="157"/>
        <v>8376062.8775510192</v>
      </c>
      <c r="AF239" s="42">
        <f t="shared" si="155"/>
        <v>2894.1428571428569</v>
      </c>
      <c r="AG239" s="43"/>
      <c r="AH239" s="42">
        <f t="shared" si="158"/>
        <v>11119.625</v>
      </c>
      <c r="AI239" s="42">
        <f t="shared" si="161"/>
        <v>2973.375</v>
      </c>
      <c r="AJ239" s="42">
        <f t="shared" si="159"/>
        <v>8840958.890625</v>
      </c>
      <c r="AK239" s="42">
        <f t="shared" si="160"/>
        <v>2973.375</v>
      </c>
      <c r="AL239" s="43"/>
      <c r="AM239" s="42">
        <f t="shared" si="162"/>
        <v>10896.666666666666</v>
      </c>
      <c r="AN239" s="42">
        <f t="shared" si="165"/>
        <v>3196.3333333333339</v>
      </c>
      <c r="AO239" s="42">
        <f t="shared" si="163"/>
        <v>10216546.777777782</v>
      </c>
      <c r="AP239" s="42">
        <f t="shared" si="164"/>
        <v>3196.3333333333339</v>
      </c>
      <c r="AQ239" s="43"/>
      <c r="AR239" s="42">
        <f t="shared" si="166"/>
        <v>10629.3</v>
      </c>
      <c r="AS239" s="42">
        <f t="shared" si="167"/>
        <v>3463.7000000000007</v>
      </c>
      <c r="AT239" s="42">
        <f t="shared" si="168"/>
        <v>11997217.690000005</v>
      </c>
      <c r="AU239" s="42">
        <f t="shared" si="177"/>
        <v>3463.7000000000007</v>
      </c>
      <c r="AV239" s="43"/>
      <c r="AW239" s="42">
        <f t="shared" si="169"/>
        <v>10259.636363636364</v>
      </c>
      <c r="AX239" s="42">
        <f t="shared" si="172"/>
        <v>3833.363636363636</v>
      </c>
      <c r="AY239" s="42">
        <f t="shared" si="170"/>
        <v>14694676.768595038</v>
      </c>
      <c r="AZ239" s="42">
        <f t="shared" si="171"/>
        <v>3833.363636363636</v>
      </c>
      <c r="BA239" s="43"/>
      <c r="BB239" s="44">
        <f t="shared" si="178"/>
        <v>10245.416666666666</v>
      </c>
      <c r="BC239" s="42">
        <f t="shared" si="175"/>
        <v>3847.5833333333339</v>
      </c>
      <c r="BD239" s="42">
        <f t="shared" si="173"/>
        <v>14803897.50694445</v>
      </c>
      <c r="BE239" s="42">
        <f t="shared" si="174"/>
        <v>3847.5833333333339</v>
      </c>
    </row>
    <row r="240" spans="1:57" ht="18" x14ac:dyDescent="0.2">
      <c r="A240" s="7">
        <v>45536</v>
      </c>
      <c r="B240" s="17">
        <v>10630</v>
      </c>
      <c r="D240" s="42">
        <f t="shared" si="179"/>
        <v>13101</v>
      </c>
      <c r="E240" s="42">
        <f t="shared" si="176"/>
        <v>-2471</v>
      </c>
      <c r="F240" s="42">
        <f t="shared" si="136"/>
        <v>6105841</v>
      </c>
      <c r="G240" s="42">
        <f t="shared" si="137"/>
        <v>2471</v>
      </c>
      <c r="H240" s="43"/>
      <c r="I240" s="42">
        <f t="shared" si="138"/>
        <v>12663.666666666666</v>
      </c>
      <c r="J240" s="42">
        <f t="shared" si="139"/>
        <v>-2033.6666666666661</v>
      </c>
      <c r="K240" s="42">
        <f t="shared" si="140"/>
        <v>4135800.1111111087</v>
      </c>
      <c r="L240" s="42">
        <f t="shared" si="141"/>
        <v>2033.6666666666661</v>
      </c>
      <c r="M240" s="43"/>
      <c r="N240" s="42">
        <f t="shared" si="142"/>
        <v>12638</v>
      </c>
      <c r="O240" s="42">
        <f t="shared" si="144"/>
        <v>-2008</v>
      </c>
      <c r="P240" s="42">
        <f t="shared" si="145"/>
        <v>4032064</v>
      </c>
      <c r="Q240" s="42">
        <f t="shared" si="143"/>
        <v>2008</v>
      </c>
      <c r="R240" s="43"/>
      <c r="S240" s="42">
        <f t="shared" si="146"/>
        <v>12486.8</v>
      </c>
      <c r="T240" s="42">
        <f t="shared" si="148"/>
        <v>-1856.7999999999993</v>
      </c>
      <c r="U240" s="42">
        <f t="shared" si="149"/>
        <v>3447706.2399999974</v>
      </c>
      <c r="V240" s="42">
        <f t="shared" si="147"/>
        <v>1856.7999999999993</v>
      </c>
      <c r="W240" s="43"/>
      <c r="X240" s="42">
        <f t="shared" si="150"/>
        <v>12519</v>
      </c>
      <c r="Y240" s="42">
        <f t="shared" si="152"/>
        <v>-1889</v>
      </c>
      <c r="Z240" s="42">
        <f t="shared" si="153"/>
        <v>3568321</v>
      </c>
      <c r="AA240" s="42">
        <f t="shared" si="151"/>
        <v>1889</v>
      </c>
      <c r="AB240" s="43"/>
      <c r="AC240" s="42">
        <f t="shared" si="154"/>
        <v>12114</v>
      </c>
      <c r="AD240" s="42">
        <f t="shared" si="156"/>
        <v>-1484</v>
      </c>
      <c r="AE240" s="42">
        <f t="shared" si="157"/>
        <v>2202256</v>
      </c>
      <c r="AF240" s="42">
        <f t="shared" si="155"/>
        <v>1484</v>
      </c>
      <c r="AG240" s="43"/>
      <c r="AH240" s="42">
        <f t="shared" si="158"/>
        <v>11560.625</v>
      </c>
      <c r="AI240" s="42">
        <f t="shared" si="161"/>
        <v>-930.625</v>
      </c>
      <c r="AJ240" s="42">
        <f t="shared" si="159"/>
        <v>866062.890625</v>
      </c>
      <c r="AK240" s="42">
        <f t="shared" si="160"/>
        <v>930.625</v>
      </c>
      <c r="AL240" s="43"/>
      <c r="AM240" s="42">
        <f t="shared" si="162"/>
        <v>11450</v>
      </c>
      <c r="AN240" s="42">
        <f t="shared" si="165"/>
        <v>-820</v>
      </c>
      <c r="AO240" s="42">
        <f t="shared" si="163"/>
        <v>672400</v>
      </c>
      <c r="AP240" s="42">
        <f t="shared" si="164"/>
        <v>820</v>
      </c>
      <c r="AQ240" s="43"/>
      <c r="AR240" s="42">
        <f t="shared" si="166"/>
        <v>11216.3</v>
      </c>
      <c r="AS240" s="42">
        <f t="shared" si="167"/>
        <v>-586.29999999999927</v>
      </c>
      <c r="AT240" s="42">
        <f t="shared" si="168"/>
        <v>343747.68999999913</v>
      </c>
      <c r="AU240" s="42">
        <f t="shared" si="177"/>
        <v>586.29999999999927</v>
      </c>
      <c r="AV240" s="43"/>
      <c r="AW240" s="42">
        <f t="shared" si="169"/>
        <v>10944.181818181818</v>
      </c>
      <c r="AX240" s="42">
        <f t="shared" si="172"/>
        <v>-314.18181818181802</v>
      </c>
      <c r="AY240" s="42">
        <f t="shared" si="170"/>
        <v>98710.214876032958</v>
      </c>
      <c r="AZ240" s="42">
        <f t="shared" si="171"/>
        <v>314.18181818181802</v>
      </c>
      <c r="BA240" s="43"/>
      <c r="BB240" s="44">
        <f t="shared" si="178"/>
        <v>10579.083333333334</v>
      </c>
      <c r="BC240" s="42">
        <f t="shared" si="175"/>
        <v>50.91666666666606</v>
      </c>
      <c r="BD240" s="42">
        <f>BC240^2</f>
        <v>2592.5069444443825</v>
      </c>
      <c r="BE240" s="42">
        <f t="shared" si="174"/>
        <v>50.91666666666606</v>
      </c>
    </row>
    <row r="241" spans="1:57" ht="18" x14ac:dyDescent="0.2">
      <c r="A241" s="7">
        <v>45566</v>
      </c>
      <c r="B241" s="17">
        <v>11927</v>
      </c>
      <c r="D241" s="42">
        <f t="shared" si="179"/>
        <v>12361.5</v>
      </c>
      <c r="E241" s="42">
        <f t="shared" si="176"/>
        <v>-434.5</v>
      </c>
      <c r="F241" s="42">
        <f t="shared" si="136"/>
        <v>188790.25</v>
      </c>
      <c r="G241" s="42">
        <f t="shared" si="137"/>
        <v>434.5</v>
      </c>
      <c r="H241" s="43"/>
      <c r="I241" s="42">
        <f t="shared" si="138"/>
        <v>12277.333333333334</v>
      </c>
      <c r="J241" s="42">
        <f t="shared" si="139"/>
        <v>-350.33333333333394</v>
      </c>
      <c r="K241" s="42">
        <f t="shared" si="140"/>
        <v>122733.44444444487</v>
      </c>
      <c r="L241" s="42">
        <f t="shared" si="141"/>
        <v>350.33333333333394</v>
      </c>
      <c r="M241" s="43"/>
      <c r="N241" s="42">
        <f t="shared" si="142"/>
        <v>12155.25</v>
      </c>
      <c r="O241" s="42">
        <f t="shared" si="144"/>
        <v>-228.25</v>
      </c>
      <c r="P241" s="42">
        <f t="shared" si="145"/>
        <v>52098.0625</v>
      </c>
      <c r="Q241" s="42">
        <f t="shared" si="143"/>
        <v>228.25</v>
      </c>
      <c r="R241" s="43"/>
      <c r="S241" s="42">
        <f t="shared" si="146"/>
        <v>12236.4</v>
      </c>
      <c r="T241" s="42">
        <f t="shared" si="148"/>
        <v>-309.39999999999964</v>
      </c>
      <c r="U241" s="42">
        <f t="shared" si="149"/>
        <v>95728.359999999768</v>
      </c>
      <c r="V241" s="42">
        <f t="shared" si="147"/>
        <v>309.39999999999964</v>
      </c>
      <c r="W241" s="43"/>
      <c r="X241" s="42">
        <f t="shared" si="150"/>
        <v>12177.333333333334</v>
      </c>
      <c r="Y241" s="42">
        <f t="shared" si="152"/>
        <v>-250.33333333333394</v>
      </c>
      <c r="Z241" s="42">
        <f t="shared" si="153"/>
        <v>62666.777777778079</v>
      </c>
      <c r="AA241" s="42">
        <f t="shared" si="151"/>
        <v>250.33333333333394</v>
      </c>
      <c r="AB241" s="43"/>
      <c r="AC241" s="42">
        <f t="shared" si="154"/>
        <v>12249.142857142857</v>
      </c>
      <c r="AD241" s="42">
        <f t="shared" si="156"/>
        <v>-322.14285714285688</v>
      </c>
      <c r="AE241" s="42">
        <f t="shared" si="157"/>
        <v>103776.02040816309</v>
      </c>
      <c r="AF241" s="42">
        <f t="shared" si="155"/>
        <v>322.14285714285688</v>
      </c>
      <c r="AG241" s="43"/>
      <c r="AH241" s="42">
        <f t="shared" si="158"/>
        <v>11928.5</v>
      </c>
      <c r="AI241" s="42">
        <f t="shared" si="161"/>
        <v>-1.5</v>
      </c>
      <c r="AJ241" s="42">
        <f t="shared" si="159"/>
        <v>2.25</v>
      </c>
      <c r="AK241" s="42">
        <f t="shared" si="160"/>
        <v>1.5</v>
      </c>
      <c r="AL241" s="43"/>
      <c r="AM241" s="42">
        <f t="shared" si="162"/>
        <v>11457.222222222223</v>
      </c>
      <c r="AN241" s="42">
        <f t="shared" si="165"/>
        <v>469.77777777777737</v>
      </c>
      <c r="AO241" s="42">
        <f t="shared" si="163"/>
        <v>220691.16049382678</v>
      </c>
      <c r="AP241" s="42">
        <f t="shared" si="164"/>
        <v>469.77777777777737</v>
      </c>
      <c r="AQ241" s="43"/>
      <c r="AR241" s="42">
        <f t="shared" si="166"/>
        <v>11368</v>
      </c>
      <c r="AS241" s="42">
        <f t="shared" si="167"/>
        <v>559</v>
      </c>
      <c r="AT241" s="42">
        <f t="shared" si="168"/>
        <v>312481</v>
      </c>
      <c r="AU241" s="42">
        <f t="shared" si="177"/>
        <v>559</v>
      </c>
      <c r="AV241" s="43"/>
      <c r="AW241" s="42">
        <f t="shared" si="169"/>
        <v>11163</v>
      </c>
      <c r="AX241" s="42">
        <f t="shared" si="172"/>
        <v>764</v>
      </c>
      <c r="AY241" s="42">
        <f t="shared" si="170"/>
        <v>583696</v>
      </c>
      <c r="AZ241" s="42">
        <f t="shared" si="171"/>
        <v>764</v>
      </c>
      <c r="BA241" s="43"/>
      <c r="BB241" s="44">
        <f t="shared" si="178"/>
        <v>10918</v>
      </c>
      <c r="BC241" s="42">
        <f t="shared" si="175"/>
        <v>1009</v>
      </c>
      <c r="BD241" s="42">
        <f t="shared" si="173"/>
        <v>1018081</v>
      </c>
      <c r="BE241" s="42">
        <f t="shared" si="174"/>
        <v>1009</v>
      </c>
    </row>
    <row r="242" spans="1:57" ht="18" x14ac:dyDescent="0.2">
      <c r="A242" s="7">
        <v>45597</v>
      </c>
      <c r="B242" s="17">
        <v>12652</v>
      </c>
      <c r="D242" s="42">
        <f t="shared" si="179"/>
        <v>11278.5</v>
      </c>
      <c r="E242" s="42">
        <f t="shared" si="176"/>
        <v>1373.5</v>
      </c>
      <c r="F242" s="42">
        <f t="shared" si="136"/>
        <v>1886502.25</v>
      </c>
      <c r="G242" s="42">
        <f t="shared" si="137"/>
        <v>1373.5</v>
      </c>
      <c r="H242" s="43"/>
      <c r="I242" s="42">
        <f t="shared" si="138"/>
        <v>12216.666666666666</v>
      </c>
      <c r="J242" s="42">
        <f t="shared" si="139"/>
        <v>435.33333333333394</v>
      </c>
      <c r="K242" s="42">
        <f t="shared" si="140"/>
        <v>189515.11111111165</v>
      </c>
      <c r="L242" s="42">
        <f t="shared" si="141"/>
        <v>435.33333333333394</v>
      </c>
      <c r="M242" s="43"/>
      <c r="N242" s="42">
        <f t="shared" si="142"/>
        <v>12189.75</v>
      </c>
      <c r="O242" s="42">
        <f t="shared" si="144"/>
        <v>462.25</v>
      </c>
      <c r="P242" s="42">
        <f t="shared" si="145"/>
        <v>213675.0625</v>
      </c>
      <c r="Q242" s="42">
        <f t="shared" si="143"/>
        <v>462.25</v>
      </c>
      <c r="R242" s="43"/>
      <c r="S242" s="42">
        <f t="shared" si="146"/>
        <v>12109.6</v>
      </c>
      <c r="T242" s="42">
        <f t="shared" si="148"/>
        <v>542.39999999999964</v>
      </c>
      <c r="U242" s="42">
        <f t="shared" si="149"/>
        <v>294197.7599999996</v>
      </c>
      <c r="V242" s="42">
        <f t="shared" si="147"/>
        <v>542.39999999999964</v>
      </c>
      <c r="W242" s="43"/>
      <c r="X242" s="42">
        <f t="shared" si="150"/>
        <v>12184.833333333334</v>
      </c>
      <c r="Y242" s="42">
        <f t="shared" si="152"/>
        <v>467.16666666666606</v>
      </c>
      <c r="Z242" s="42">
        <f t="shared" si="153"/>
        <v>218244.69444444389</v>
      </c>
      <c r="AA242" s="42">
        <f t="shared" si="151"/>
        <v>467.16666666666606</v>
      </c>
      <c r="AB242" s="43"/>
      <c r="AC242" s="42">
        <f t="shared" si="154"/>
        <v>12141.571428571429</v>
      </c>
      <c r="AD242" s="42">
        <f t="shared" si="156"/>
        <v>510.42857142857065</v>
      </c>
      <c r="AE242" s="42">
        <f t="shared" si="157"/>
        <v>260537.32653061146</v>
      </c>
      <c r="AF242" s="42">
        <f t="shared" si="155"/>
        <v>510.42857142857065</v>
      </c>
      <c r="AG242" s="43"/>
      <c r="AH242" s="42">
        <f t="shared" si="158"/>
        <v>12208.875</v>
      </c>
      <c r="AI242" s="42">
        <f t="shared" si="161"/>
        <v>443.125</v>
      </c>
      <c r="AJ242" s="42">
        <f t="shared" si="159"/>
        <v>196359.765625</v>
      </c>
      <c r="AK242" s="42">
        <f t="shared" si="160"/>
        <v>443.125</v>
      </c>
      <c r="AL242" s="43"/>
      <c r="AM242" s="42">
        <f t="shared" si="162"/>
        <v>11928.333333333334</v>
      </c>
      <c r="AN242" s="42">
        <f t="shared" si="165"/>
        <v>723.66666666666606</v>
      </c>
      <c r="AO242" s="42">
        <f t="shared" si="163"/>
        <v>523693.44444444356</v>
      </c>
      <c r="AP242" s="42">
        <f t="shared" si="164"/>
        <v>723.66666666666606</v>
      </c>
      <c r="AQ242" s="43"/>
      <c r="AR242" s="42">
        <f t="shared" si="166"/>
        <v>11504.2</v>
      </c>
      <c r="AS242" s="42">
        <f t="shared" si="167"/>
        <v>1147.7999999999993</v>
      </c>
      <c r="AT242" s="42">
        <f t="shared" si="168"/>
        <v>1317444.8399999982</v>
      </c>
      <c r="AU242" s="42">
        <f t="shared" si="177"/>
        <v>1147.7999999999993</v>
      </c>
      <c r="AV242" s="43"/>
      <c r="AW242" s="42">
        <f t="shared" si="169"/>
        <v>11418.818181818182</v>
      </c>
      <c r="AX242" s="42">
        <f t="shared" si="172"/>
        <v>1233.181818181818</v>
      </c>
      <c r="AY242" s="42">
        <f t="shared" si="170"/>
        <v>1520737.3966942145</v>
      </c>
      <c r="AZ242" s="42">
        <f t="shared" si="171"/>
        <v>1233.181818181818</v>
      </c>
      <c r="BA242" s="43"/>
      <c r="BB242" s="44">
        <f t="shared" si="178"/>
        <v>11226.666666666666</v>
      </c>
      <c r="BC242" s="42">
        <f t="shared" si="175"/>
        <v>1425.3333333333339</v>
      </c>
      <c r="BD242" s="42">
        <f t="shared" si="173"/>
        <v>2031575.1111111129</v>
      </c>
      <c r="BE242" s="42">
        <f t="shared" si="174"/>
        <v>1425.3333333333339</v>
      </c>
    </row>
    <row r="243" spans="1:57" ht="18" x14ac:dyDescent="0.2">
      <c r="A243" s="7">
        <v>45627</v>
      </c>
      <c r="B243" s="17">
        <v>13551</v>
      </c>
      <c r="D243" s="42">
        <f t="shared" si="179"/>
        <v>12289.5</v>
      </c>
      <c r="E243" s="42">
        <f t="shared" si="176"/>
        <v>1261.5</v>
      </c>
      <c r="F243" s="42">
        <f t="shared" si="136"/>
        <v>1591382.25</v>
      </c>
      <c r="G243" s="42">
        <f t="shared" si="137"/>
        <v>1261.5</v>
      </c>
      <c r="H243" s="43"/>
      <c r="I243" s="42">
        <f t="shared" si="138"/>
        <v>11736.333333333334</v>
      </c>
      <c r="J243" s="42">
        <f t="shared" si="139"/>
        <v>1814.6666666666661</v>
      </c>
      <c r="K243" s="42">
        <f t="shared" si="140"/>
        <v>3293015.1111111087</v>
      </c>
      <c r="L243" s="42">
        <f t="shared" si="141"/>
        <v>1814.6666666666661</v>
      </c>
      <c r="M243" s="43"/>
      <c r="N243" s="42">
        <f t="shared" si="142"/>
        <v>12325.5</v>
      </c>
      <c r="O243" s="42">
        <f t="shared" si="144"/>
        <v>1225.5</v>
      </c>
      <c r="P243" s="42">
        <f t="shared" si="145"/>
        <v>1501850.25</v>
      </c>
      <c r="Q243" s="42">
        <f t="shared" si="143"/>
        <v>1225.5</v>
      </c>
      <c r="R243" s="43"/>
      <c r="S243" s="42">
        <f t="shared" si="146"/>
        <v>12282.2</v>
      </c>
      <c r="T243" s="42">
        <f t="shared" si="148"/>
        <v>1268.7999999999993</v>
      </c>
      <c r="U243" s="42">
        <f t="shared" si="149"/>
        <v>1609853.4399999981</v>
      </c>
      <c r="V243" s="42">
        <f t="shared" si="147"/>
        <v>1268.7999999999993</v>
      </c>
      <c r="W243" s="43"/>
      <c r="X243" s="42">
        <f t="shared" si="150"/>
        <v>12200</v>
      </c>
      <c r="Y243" s="42">
        <f t="shared" si="152"/>
        <v>1351</v>
      </c>
      <c r="Z243" s="42">
        <f t="shared" si="153"/>
        <v>1825201</v>
      </c>
      <c r="AA243" s="42">
        <f t="shared" si="151"/>
        <v>1351</v>
      </c>
      <c r="AB243" s="43"/>
      <c r="AC243" s="42">
        <f t="shared" si="154"/>
        <v>12251.571428571429</v>
      </c>
      <c r="AD243" s="42">
        <f t="shared" si="156"/>
        <v>1299.4285714285706</v>
      </c>
      <c r="AE243" s="42">
        <f t="shared" si="157"/>
        <v>1688514.6122448959</v>
      </c>
      <c r="AF243" s="42">
        <f t="shared" si="155"/>
        <v>1299.4285714285706</v>
      </c>
      <c r="AG243" s="43"/>
      <c r="AH243" s="42">
        <f t="shared" si="158"/>
        <v>12205.375</v>
      </c>
      <c r="AI243" s="42">
        <f t="shared" si="161"/>
        <v>1345.625</v>
      </c>
      <c r="AJ243" s="42">
        <f t="shared" si="159"/>
        <v>1810706.640625</v>
      </c>
      <c r="AK243" s="42">
        <f t="shared" si="160"/>
        <v>1345.625</v>
      </c>
      <c r="AL243" s="43"/>
      <c r="AM243" s="42">
        <f t="shared" si="162"/>
        <v>12258.111111111111</v>
      </c>
      <c r="AN243" s="42">
        <f t="shared" si="165"/>
        <v>1292.8888888888887</v>
      </c>
      <c r="AO243" s="42">
        <f t="shared" si="163"/>
        <v>1671561.6790123452</v>
      </c>
      <c r="AP243" s="42">
        <f t="shared" si="164"/>
        <v>1292.8888888888887</v>
      </c>
      <c r="AQ243" s="43"/>
      <c r="AR243" s="42">
        <f t="shared" si="166"/>
        <v>12000.7</v>
      </c>
      <c r="AS243" s="42">
        <f t="shared" si="167"/>
        <v>1550.2999999999993</v>
      </c>
      <c r="AT243" s="42">
        <f t="shared" si="168"/>
        <v>2403430.0899999975</v>
      </c>
      <c r="AU243" s="42">
        <f t="shared" si="177"/>
        <v>1550.2999999999993</v>
      </c>
      <c r="AV243" s="43"/>
      <c r="AW243" s="42">
        <f t="shared" si="169"/>
        <v>11608.545454545454</v>
      </c>
      <c r="AX243" s="42">
        <f t="shared" si="172"/>
        <v>1942.454545454546</v>
      </c>
      <c r="AY243" s="42">
        <f t="shared" si="170"/>
        <v>3773129.6611570269</v>
      </c>
      <c r="AZ243" s="42">
        <f t="shared" si="171"/>
        <v>1942.454545454546</v>
      </c>
      <c r="BA243" s="43"/>
      <c r="BB243" s="44">
        <f t="shared" si="178"/>
        <v>11521.583333333334</v>
      </c>
      <c r="BC243" s="42">
        <f t="shared" si="175"/>
        <v>2029.4166666666661</v>
      </c>
      <c r="BD243" s="42">
        <f t="shared" si="173"/>
        <v>4118532.0069444422</v>
      </c>
      <c r="BE243" s="42">
        <f t="shared" si="174"/>
        <v>2029.4166666666661</v>
      </c>
    </row>
    <row r="244" spans="1:57" ht="18" x14ac:dyDescent="0.2">
      <c r="A244" s="7">
        <v>45658</v>
      </c>
      <c r="B244" s="17">
        <v>8849</v>
      </c>
      <c r="D244" s="42">
        <f t="shared" si="179"/>
        <v>13101.5</v>
      </c>
      <c r="E244" s="42">
        <f t="shared" si="176"/>
        <v>-4252.5</v>
      </c>
      <c r="F244" s="42">
        <f t="shared" si="136"/>
        <v>18083756.25</v>
      </c>
      <c r="G244" s="42">
        <f t="shared" si="137"/>
        <v>4252.5</v>
      </c>
      <c r="H244" s="43"/>
      <c r="I244" s="42">
        <f t="shared" si="138"/>
        <v>12710</v>
      </c>
      <c r="J244" s="42">
        <f t="shared" si="139"/>
        <v>-3861</v>
      </c>
      <c r="K244" s="42">
        <f t="shared" si="140"/>
        <v>14907321</v>
      </c>
      <c r="L244" s="42">
        <f t="shared" si="141"/>
        <v>3861</v>
      </c>
      <c r="M244" s="43"/>
      <c r="N244" s="42">
        <f t="shared" si="142"/>
        <v>12190</v>
      </c>
      <c r="O244" s="42">
        <f t="shared" si="144"/>
        <v>-3341</v>
      </c>
      <c r="P244" s="42">
        <f t="shared" si="145"/>
        <v>11162281</v>
      </c>
      <c r="Q244" s="42">
        <f t="shared" si="143"/>
        <v>3341</v>
      </c>
      <c r="R244" s="43"/>
      <c r="S244" s="42">
        <f t="shared" si="146"/>
        <v>12570.6</v>
      </c>
      <c r="T244" s="42">
        <f t="shared" si="148"/>
        <v>-3721.6000000000004</v>
      </c>
      <c r="U244" s="42">
        <f t="shared" si="149"/>
        <v>13850306.560000002</v>
      </c>
      <c r="V244" s="42">
        <f t="shared" si="147"/>
        <v>3721.6000000000004</v>
      </c>
      <c r="W244" s="43"/>
      <c r="X244" s="42">
        <f t="shared" si="150"/>
        <v>12493.666666666666</v>
      </c>
      <c r="Y244" s="42">
        <f t="shared" si="152"/>
        <v>-3644.6666666666661</v>
      </c>
      <c r="Z244" s="42">
        <f t="shared" si="153"/>
        <v>13283595.111111106</v>
      </c>
      <c r="AA244" s="42">
        <f t="shared" si="151"/>
        <v>3644.6666666666661</v>
      </c>
      <c r="AB244" s="43"/>
      <c r="AC244" s="42">
        <f t="shared" si="154"/>
        <v>12393</v>
      </c>
      <c r="AD244" s="42">
        <f t="shared" si="156"/>
        <v>-3544</v>
      </c>
      <c r="AE244" s="42">
        <f t="shared" si="157"/>
        <v>12559936</v>
      </c>
      <c r="AF244" s="42">
        <f t="shared" si="155"/>
        <v>3544</v>
      </c>
      <c r="AG244" s="43"/>
      <c r="AH244" s="42">
        <f t="shared" si="158"/>
        <v>12414</v>
      </c>
      <c r="AI244" s="42">
        <f t="shared" si="161"/>
        <v>-3565</v>
      </c>
      <c r="AJ244" s="42">
        <f t="shared" si="159"/>
        <v>12709225</v>
      </c>
      <c r="AK244" s="42">
        <f t="shared" si="160"/>
        <v>3565</v>
      </c>
      <c r="AL244" s="43"/>
      <c r="AM244" s="42">
        <f t="shared" si="162"/>
        <v>12354.888888888889</v>
      </c>
      <c r="AN244" s="42">
        <f t="shared" si="165"/>
        <v>-3505.8888888888887</v>
      </c>
      <c r="AO244" s="42">
        <f t="shared" si="163"/>
        <v>12291256.901234567</v>
      </c>
      <c r="AP244" s="42">
        <f t="shared" si="164"/>
        <v>3505.8888888888887</v>
      </c>
      <c r="AQ244" s="43"/>
      <c r="AR244" s="42">
        <f t="shared" si="166"/>
        <v>12387.4</v>
      </c>
      <c r="AS244" s="42">
        <f t="shared" si="167"/>
        <v>-3538.3999999999996</v>
      </c>
      <c r="AT244" s="42">
        <f t="shared" si="168"/>
        <v>12520274.559999997</v>
      </c>
      <c r="AU244" s="42">
        <f t="shared" si="177"/>
        <v>3538.3999999999996</v>
      </c>
      <c r="AV244" s="43"/>
      <c r="AW244" s="42">
        <f t="shared" si="169"/>
        <v>12141.636363636364</v>
      </c>
      <c r="AX244" s="42">
        <f t="shared" si="172"/>
        <v>-3292.636363636364</v>
      </c>
      <c r="AY244" s="42">
        <f t="shared" si="170"/>
        <v>10841454.223140499</v>
      </c>
      <c r="AZ244" s="42">
        <f t="shared" si="171"/>
        <v>3292.636363636364</v>
      </c>
      <c r="BA244" s="43"/>
      <c r="BB244" s="44">
        <f t="shared" si="178"/>
        <v>11770.416666666666</v>
      </c>
      <c r="BC244" s="42">
        <f t="shared" si="175"/>
        <v>-2921.4166666666661</v>
      </c>
      <c r="BD244" s="42">
        <f t="shared" si="173"/>
        <v>8534675.3402777743</v>
      </c>
      <c r="BE244" s="42">
        <f t="shared" si="174"/>
        <v>2921.4166666666661</v>
      </c>
    </row>
    <row r="245" spans="1:57" ht="18" x14ac:dyDescent="0.2">
      <c r="A245" s="7">
        <v>45689</v>
      </c>
      <c r="B245" s="17">
        <v>10204</v>
      </c>
      <c r="D245" s="42">
        <f t="shared" si="179"/>
        <v>11200</v>
      </c>
      <c r="E245" s="42">
        <f t="shared" si="176"/>
        <v>-996</v>
      </c>
      <c r="F245" s="42">
        <f t="shared" si="136"/>
        <v>992016</v>
      </c>
      <c r="G245" s="42">
        <f t="shared" si="137"/>
        <v>996</v>
      </c>
      <c r="H245" s="43"/>
      <c r="I245" s="42">
        <f t="shared" si="138"/>
        <v>11684</v>
      </c>
      <c r="J245" s="42">
        <f t="shared" si="139"/>
        <v>-1480</v>
      </c>
      <c r="K245" s="42">
        <f t="shared" si="140"/>
        <v>2190400</v>
      </c>
      <c r="L245" s="42">
        <f t="shared" si="141"/>
        <v>1480</v>
      </c>
      <c r="M245" s="43"/>
      <c r="N245" s="42">
        <f t="shared" si="142"/>
        <v>11744.75</v>
      </c>
      <c r="O245" s="42">
        <f t="shared" si="144"/>
        <v>-1540.75</v>
      </c>
      <c r="P245" s="42">
        <f t="shared" si="145"/>
        <v>2373910.5625</v>
      </c>
      <c r="Q245" s="42">
        <f t="shared" si="143"/>
        <v>1540.75</v>
      </c>
      <c r="R245" s="43"/>
      <c r="S245" s="42">
        <f t="shared" si="146"/>
        <v>11521.8</v>
      </c>
      <c r="T245" s="42">
        <f t="shared" si="148"/>
        <v>-1317.7999999999993</v>
      </c>
      <c r="U245" s="42">
        <f t="shared" si="149"/>
        <v>1736596.839999998</v>
      </c>
      <c r="V245" s="42">
        <f t="shared" si="147"/>
        <v>1317.7999999999993</v>
      </c>
      <c r="W245" s="43"/>
      <c r="X245" s="42">
        <f t="shared" si="150"/>
        <v>11950.333333333334</v>
      </c>
      <c r="Y245" s="42">
        <f t="shared" si="152"/>
        <v>-1746.3333333333339</v>
      </c>
      <c r="Z245" s="42">
        <f t="shared" si="153"/>
        <v>3049680.1111111133</v>
      </c>
      <c r="AA245" s="42">
        <f t="shared" si="151"/>
        <v>1746.3333333333339</v>
      </c>
      <c r="AB245" s="43"/>
      <c r="AC245" s="42">
        <f t="shared" si="154"/>
        <v>11973</v>
      </c>
      <c r="AD245" s="42">
        <f t="shared" si="156"/>
        <v>-1769</v>
      </c>
      <c r="AE245" s="42">
        <f t="shared" si="157"/>
        <v>3129361</v>
      </c>
      <c r="AF245" s="42">
        <f t="shared" si="155"/>
        <v>1769</v>
      </c>
      <c r="AG245" s="43"/>
      <c r="AH245" s="42">
        <f t="shared" si="158"/>
        <v>11950</v>
      </c>
      <c r="AI245" s="42">
        <f t="shared" si="161"/>
        <v>-1746</v>
      </c>
      <c r="AJ245" s="42">
        <f t="shared" si="159"/>
        <v>3048516</v>
      </c>
      <c r="AK245" s="42">
        <f t="shared" si="160"/>
        <v>1746</v>
      </c>
      <c r="AL245" s="43"/>
      <c r="AM245" s="42">
        <f t="shared" si="162"/>
        <v>12017.888888888889</v>
      </c>
      <c r="AN245" s="42">
        <f t="shared" si="165"/>
        <v>-1813.8888888888887</v>
      </c>
      <c r="AO245" s="42">
        <f t="shared" si="163"/>
        <v>3290192.9012345672</v>
      </c>
      <c r="AP245" s="42">
        <f t="shared" si="164"/>
        <v>1813.8888888888887</v>
      </c>
      <c r="AQ245" s="43"/>
      <c r="AR245" s="42">
        <f t="shared" si="166"/>
        <v>12004.3</v>
      </c>
      <c r="AS245" s="42">
        <f t="shared" si="167"/>
        <v>-1800.2999999999993</v>
      </c>
      <c r="AT245" s="42">
        <f t="shared" si="168"/>
        <v>3241080.0899999975</v>
      </c>
      <c r="AU245" s="42">
        <f t="shared" si="177"/>
        <v>1800.2999999999993</v>
      </c>
      <c r="AV245" s="43"/>
      <c r="AW245" s="42">
        <f t="shared" si="169"/>
        <v>12065.727272727272</v>
      </c>
      <c r="AX245" s="42">
        <f t="shared" si="172"/>
        <v>-1861.7272727272721</v>
      </c>
      <c r="AY245" s="42">
        <f t="shared" si="170"/>
        <v>3466028.4380165264</v>
      </c>
      <c r="AZ245" s="42">
        <f t="shared" si="171"/>
        <v>1861.7272727272721</v>
      </c>
      <c r="BA245" s="43"/>
      <c r="BB245" s="44">
        <f t="shared" si="178"/>
        <v>11867.25</v>
      </c>
      <c r="BC245" s="42">
        <f t="shared" si="175"/>
        <v>-1663.25</v>
      </c>
      <c r="BD245" s="42">
        <f t="shared" si="173"/>
        <v>2766400.5625</v>
      </c>
      <c r="BE245" s="42">
        <f t="shared" si="174"/>
        <v>1663.25</v>
      </c>
    </row>
    <row r="246" spans="1:57" ht="19" thickBot="1" x14ac:dyDescent="0.25">
      <c r="A246" s="7">
        <v>45717</v>
      </c>
      <c r="B246" s="17">
        <v>13589</v>
      </c>
      <c r="D246" s="42">
        <f t="shared" si="179"/>
        <v>9526.5</v>
      </c>
      <c r="E246" s="42">
        <f t="shared" si="176"/>
        <v>4062.5</v>
      </c>
      <c r="F246" s="42">
        <f t="shared" si="136"/>
        <v>16503906.25</v>
      </c>
      <c r="G246" s="42">
        <f t="shared" si="137"/>
        <v>4062.5</v>
      </c>
      <c r="H246" s="43"/>
      <c r="I246" s="42">
        <f>AVERAGE(B243:B245)</f>
        <v>10868</v>
      </c>
      <c r="J246" s="42">
        <f t="shared" si="139"/>
        <v>2721</v>
      </c>
      <c r="K246" s="42">
        <f t="shared" si="140"/>
        <v>7403841</v>
      </c>
      <c r="L246" s="42">
        <f t="shared" si="141"/>
        <v>2721</v>
      </c>
      <c r="M246" s="43"/>
      <c r="N246" s="44">
        <f t="shared" si="142"/>
        <v>11314</v>
      </c>
      <c r="O246" s="42">
        <f t="shared" si="144"/>
        <v>2275</v>
      </c>
      <c r="P246" s="42">
        <f t="shared" si="145"/>
        <v>5175625</v>
      </c>
      <c r="Q246" s="42">
        <f t="shared" si="143"/>
        <v>2275</v>
      </c>
      <c r="R246" s="43"/>
      <c r="S246" s="42">
        <f t="shared" si="146"/>
        <v>11436.6</v>
      </c>
      <c r="T246" s="42">
        <f t="shared" si="148"/>
        <v>2152.3999999999996</v>
      </c>
      <c r="U246" s="42">
        <f t="shared" si="149"/>
        <v>4632825.7599999988</v>
      </c>
      <c r="V246" s="42">
        <f t="shared" si="147"/>
        <v>2152.3999999999996</v>
      </c>
      <c r="W246" s="43"/>
      <c r="X246" s="42">
        <f t="shared" si="150"/>
        <v>11302.166666666666</v>
      </c>
      <c r="Y246" s="42">
        <f t="shared" si="152"/>
        <v>2286.8333333333339</v>
      </c>
      <c r="Z246" s="42">
        <f t="shared" si="153"/>
        <v>5229606.6944444468</v>
      </c>
      <c r="AA246" s="42">
        <f t="shared" si="151"/>
        <v>2286.8333333333339</v>
      </c>
      <c r="AB246" s="43"/>
      <c r="AC246" s="42">
        <f t="shared" si="154"/>
        <v>11700.857142857143</v>
      </c>
      <c r="AD246" s="42">
        <f t="shared" si="156"/>
        <v>1888.1428571428569</v>
      </c>
      <c r="AE246" s="42">
        <f t="shared" si="157"/>
        <v>3565083.448979591</v>
      </c>
      <c r="AF246" s="42">
        <f t="shared" si="155"/>
        <v>1888.1428571428569</v>
      </c>
      <c r="AG246" s="43"/>
      <c r="AH246" s="42">
        <f t="shared" si="158"/>
        <v>11751.875</v>
      </c>
      <c r="AI246" s="42">
        <f t="shared" si="161"/>
        <v>1837.125</v>
      </c>
      <c r="AJ246" s="42">
        <f t="shared" si="159"/>
        <v>3375028.265625</v>
      </c>
      <c r="AK246" s="42">
        <f t="shared" si="160"/>
        <v>1837.125</v>
      </c>
      <c r="AL246" s="43"/>
      <c r="AM246" s="42">
        <f t="shared" si="162"/>
        <v>11756</v>
      </c>
      <c r="AN246" s="42">
        <f t="shared" si="165"/>
        <v>1833</v>
      </c>
      <c r="AO246" s="42">
        <f t="shared" si="163"/>
        <v>3359889</v>
      </c>
      <c r="AP246" s="42">
        <f t="shared" si="164"/>
        <v>1833</v>
      </c>
      <c r="AQ246" s="43"/>
      <c r="AR246" s="42">
        <f t="shared" si="166"/>
        <v>11836.5</v>
      </c>
      <c r="AS246" s="42">
        <f t="shared" si="167"/>
        <v>1752.5</v>
      </c>
      <c r="AT246" s="42">
        <f t="shared" si="168"/>
        <v>3071256.25</v>
      </c>
      <c r="AU246" s="42">
        <f t="shared" si="177"/>
        <v>1752.5</v>
      </c>
      <c r="AV246" s="43"/>
      <c r="AW246" s="42">
        <f t="shared" si="169"/>
        <v>11840.636363636364</v>
      </c>
      <c r="AX246" s="42">
        <f t="shared" si="172"/>
        <v>1748.363636363636</v>
      </c>
      <c r="AY246" s="42">
        <f t="shared" si="170"/>
        <v>3056775.4049586765</v>
      </c>
      <c r="AZ246" s="42">
        <f t="shared" si="171"/>
        <v>1748.363636363636</v>
      </c>
      <c r="BA246" s="43"/>
      <c r="BB246" s="44">
        <f t="shared" si="178"/>
        <v>11910.583333333334</v>
      </c>
      <c r="BC246" s="42">
        <f t="shared" si="175"/>
        <v>1678.4166666666661</v>
      </c>
      <c r="BD246" s="42">
        <f t="shared" si="173"/>
        <v>2817082.5069444426</v>
      </c>
      <c r="BE246" s="42">
        <f t="shared" si="174"/>
        <v>1678.4166666666661</v>
      </c>
    </row>
    <row r="247" spans="1:57" ht="19" thickBot="1" x14ac:dyDescent="0.25">
      <c r="F247" s="48">
        <f>AVERAGE(F9:F246)^(1/2)</f>
        <v>2440.4374558345753</v>
      </c>
      <c r="G247" s="48">
        <f>AVERAGE(G9:G246)</f>
        <v>1778.1323529411766</v>
      </c>
      <c r="H247" s="43"/>
      <c r="I247" s="43"/>
      <c r="J247" s="43"/>
      <c r="K247" s="48">
        <f>AVERAGE(K9:K246)^(1/2)</f>
        <v>2356.8113432665259</v>
      </c>
      <c r="L247" s="48">
        <f>AVERAGE(L8:L246)</f>
        <v>1754.9790794979065</v>
      </c>
      <c r="M247" s="43"/>
      <c r="N247" s="46">
        <f>AVERAGE(B243:B246)</f>
        <v>11548.25</v>
      </c>
      <c r="O247" s="43"/>
      <c r="P247" s="48">
        <f>AVERAGE(P9:P246)^(1/2)</f>
        <v>2305.9019192014412</v>
      </c>
      <c r="Q247" s="48">
        <f>AVERAGE(Q9:Q246)</f>
        <v>1753.2867647058824</v>
      </c>
      <c r="R247" s="43"/>
      <c r="S247" s="43"/>
      <c r="T247" s="43"/>
      <c r="U247" s="48">
        <f>AVERAGE(U10:U246)^(1/2)</f>
        <v>2320.4564192024209</v>
      </c>
      <c r="V247" s="48">
        <f>AVERAGE(V10:V246)</f>
        <v>1774.2827004219416</v>
      </c>
      <c r="W247" s="43"/>
      <c r="X247" s="43"/>
      <c r="Y247" s="43"/>
      <c r="Z247" s="48">
        <f>AVERAGE(Z11:Z246)^(1/2)</f>
        <v>2376.0823638080838</v>
      </c>
      <c r="AA247" s="48">
        <f>AVERAGE(AA11:AA246)</f>
        <v>1831.8128531073442</v>
      </c>
      <c r="AB247" s="43"/>
      <c r="AC247" s="43"/>
      <c r="AD247" s="43"/>
      <c r="AE247" s="48">
        <f>AVERAGE(AE11:AE246)^(1/2)</f>
        <v>2356.6804806518358</v>
      </c>
      <c r="AF247" s="48">
        <f>AVERAGE(AF11:AF246)</f>
        <v>1826.1483282674778</v>
      </c>
      <c r="AG247" s="43"/>
      <c r="AH247" s="43"/>
      <c r="AI247" s="43"/>
      <c r="AJ247" s="48">
        <f>AVERAGE(AJ11:AJ246)^(1/2)</f>
        <v>2336.6315243120071</v>
      </c>
      <c r="AK247" s="48">
        <f>AVERAGE(AK11:AK246)</f>
        <v>1797.0518162393162</v>
      </c>
      <c r="AL247" s="43"/>
      <c r="AM247" s="43"/>
      <c r="AN247" s="43"/>
      <c r="AO247" s="48">
        <f>AVERAGE(AO11:AO246)^(1/2)</f>
        <v>2342.5750925803168</v>
      </c>
      <c r="AP247" s="48">
        <f>AVERAGE(AP11:AP246)</f>
        <v>1811.9690033381021</v>
      </c>
      <c r="AQ247" s="43"/>
      <c r="AR247" s="43"/>
      <c r="AS247" s="43"/>
      <c r="AT247" s="48">
        <f>AVERAGE(AT11:AT246)^(1/2)</f>
        <v>2364.7547115271086</v>
      </c>
      <c r="AU247" s="48">
        <f>AVERAGE(AU11:AU246)</f>
        <v>1823.6413793103447</v>
      </c>
      <c r="AV247" s="43"/>
      <c r="AW247" s="43"/>
      <c r="AX247" s="43"/>
      <c r="AY247" s="48">
        <f>AVERAGE(AY11:AY246)^(1/2)</f>
        <v>2340.4655126092362</v>
      </c>
      <c r="AZ247" s="48">
        <f>AVERAGE(AZ11:AZ246)</f>
        <v>1828.7241243604878</v>
      </c>
      <c r="BA247" s="43"/>
      <c r="BB247" s="45">
        <f>AVERAGE(B235:B246)</f>
        <v>11986.333333333334</v>
      </c>
      <c r="BC247" s="43"/>
      <c r="BD247" s="48">
        <f>AVERAGE(BD11:BD246)^(1/2)</f>
        <v>2305.4275828039222</v>
      </c>
      <c r="BE247" s="48">
        <f>AVERAGE(BE11:BE246)</f>
        <v>1803.6297101449279</v>
      </c>
    </row>
    <row r="248" spans="1:57" ht="17" thickBot="1" x14ac:dyDescent="0.25">
      <c r="F248" s="48" t="s">
        <v>6</v>
      </c>
      <c r="G248" s="48" t="s">
        <v>7</v>
      </c>
      <c r="H248" s="43"/>
      <c r="I248" s="43"/>
      <c r="J248" s="43"/>
      <c r="K248" s="48" t="s">
        <v>6</v>
      </c>
      <c r="L248" s="48" t="s">
        <v>7</v>
      </c>
      <c r="M248" s="43"/>
      <c r="N248" s="49" t="s">
        <v>39</v>
      </c>
      <c r="O248" s="43"/>
      <c r="P248" s="48" t="s">
        <v>6</v>
      </c>
      <c r="Q248" s="48" t="s">
        <v>7</v>
      </c>
      <c r="R248" s="43"/>
      <c r="S248" s="43"/>
      <c r="T248" s="43"/>
      <c r="U248" s="48" t="s">
        <v>6</v>
      </c>
      <c r="V248" s="48" t="s">
        <v>7</v>
      </c>
      <c r="W248" s="43"/>
      <c r="X248" s="43"/>
      <c r="Y248" s="43"/>
      <c r="Z248" s="48" t="s">
        <v>6</v>
      </c>
      <c r="AA248" s="48" t="s">
        <v>7</v>
      </c>
      <c r="AB248" s="43"/>
      <c r="AC248" s="43"/>
      <c r="AD248" s="43"/>
      <c r="AE248" s="48" t="s">
        <v>6</v>
      </c>
      <c r="AF248" s="48" t="s">
        <v>7</v>
      </c>
      <c r="AG248" s="43"/>
      <c r="AH248" s="43"/>
      <c r="AI248" s="43"/>
      <c r="AJ248" s="48" t="s">
        <v>6</v>
      </c>
      <c r="AK248" s="48" t="s">
        <v>7</v>
      </c>
      <c r="AL248" s="43"/>
      <c r="AM248" s="43"/>
      <c r="AN248" s="43"/>
      <c r="AO248" s="48" t="s">
        <v>6</v>
      </c>
      <c r="AP248" s="48" t="s">
        <v>7</v>
      </c>
      <c r="AQ248" s="43"/>
      <c r="AR248" s="43"/>
      <c r="AS248" s="43"/>
      <c r="AT248" s="48" t="s">
        <v>6</v>
      </c>
      <c r="AU248" s="48" t="s">
        <v>7</v>
      </c>
      <c r="AV248" s="43"/>
      <c r="AW248" s="43"/>
      <c r="AX248" s="43"/>
      <c r="AY248" s="48" t="s">
        <v>6</v>
      </c>
      <c r="AZ248" s="48" t="s">
        <v>7</v>
      </c>
      <c r="BA248" s="43"/>
      <c r="BB248" s="49" t="s">
        <v>5</v>
      </c>
      <c r="BC248" s="43"/>
      <c r="BD248" s="48" t="s">
        <v>6</v>
      </c>
      <c r="BE248" s="48" t="s">
        <v>7</v>
      </c>
    </row>
    <row r="251" spans="1:57" x14ac:dyDescent="0.2">
      <c r="D251" s="58" t="s">
        <v>4</v>
      </c>
      <c r="E251" s="59"/>
      <c r="F251" s="59"/>
      <c r="G251" s="60"/>
    </row>
    <row r="252" spans="1:57" x14ac:dyDescent="0.2">
      <c r="D252" s="53"/>
      <c r="E252" s="57"/>
      <c r="F252" s="54"/>
      <c r="G252" s="36" t="s">
        <v>25</v>
      </c>
    </row>
    <row r="253" spans="1:57" x14ac:dyDescent="0.2">
      <c r="D253" s="53" t="s">
        <v>26</v>
      </c>
      <c r="E253" s="54"/>
      <c r="F253" s="37" t="s">
        <v>21</v>
      </c>
      <c r="G253" s="47">
        <f>BB247</f>
        <v>11986.333333333334</v>
      </c>
    </row>
    <row r="254" spans="1:57" x14ac:dyDescent="0.2">
      <c r="D254" s="53" t="s">
        <v>27</v>
      </c>
      <c r="E254" s="54"/>
      <c r="F254" s="37" t="s">
        <v>13</v>
      </c>
      <c r="G254" s="47">
        <f>N247</f>
        <v>11548.25</v>
      </c>
    </row>
  </sheetData>
  <mergeCells count="5">
    <mergeCell ref="D254:E254"/>
    <mergeCell ref="A1:F1"/>
    <mergeCell ref="D252:F252"/>
    <mergeCell ref="D251:G251"/>
    <mergeCell ref="D253:E253"/>
  </mergeCells>
  <pageMargins left="0.7" right="0.7" top="0.75" bottom="0.75" header="0.3" footer="0.3"/>
  <ignoredErrors>
    <ignoredError sqref="D9:D41 I8:I42 N9:N42 S10:S42 X11:X42 AC12:AC44 AH13:AH42 AM14:AM42 AR15:AR42 AW16:AW42 BB18:BB3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EBECE-85D1-7646-8729-CD84BC3C95D8}">
  <dimension ref="A1:AU253"/>
  <sheetViews>
    <sheetView tabSelected="1" zoomScale="75" zoomScaleNormal="85" workbookViewId="0">
      <pane xSplit="1" ySplit="3" topLeftCell="I226" activePane="bottomRight" state="frozen"/>
      <selection pane="topRight" activeCell="B1" sqref="B1"/>
      <selection pane="bottomLeft" activeCell="A4" sqref="A4"/>
      <selection pane="bottomRight" activeCell="U254" sqref="U254"/>
    </sheetView>
  </sheetViews>
  <sheetFormatPr baseColWidth="10" defaultColWidth="8.83203125" defaultRowHeight="16" x14ac:dyDescent="0.2"/>
  <cols>
    <col min="1" max="1" width="16.5" customWidth="1"/>
    <col min="2" max="2" width="30.1640625" customWidth="1"/>
    <col min="3" max="3" width="2.6640625" customWidth="1"/>
    <col min="4" max="4" width="12" customWidth="1"/>
    <col min="5" max="5" width="11.5" bestFit="1" customWidth="1"/>
    <col min="6" max="6" width="14.83203125" bestFit="1" customWidth="1"/>
    <col min="7" max="7" width="14.5" customWidth="1"/>
    <col min="8" max="8" width="1.33203125" customWidth="1"/>
    <col min="9" max="9" width="11" bestFit="1" customWidth="1"/>
    <col min="10" max="10" width="10.33203125" bestFit="1" customWidth="1"/>
    <col min="11" max="11" width="14.83203125" bestFit="1" customWidth="1"/>
    <col min="12" max="12" width="11.5" bestFit="1" customWidth="1"/>
    <col min="13" max="13" width="1.5" customWidth="1"/>
    <col min="14" max="14" width="10.6640625" bestFit="1" customWidth="1"/>
    <col min="15" max="15" width="10.5" bestFit="1" customWidth="1"/>
    <col min="16" max="16" width="14.83203125" bestFit="1" customWidth="1"/>
    <col min="17" max="17" width="11.5" bestFit="1" customWidth="1"/>
    <col min="18" max="18" width="1.6640625" customWidth="1"/>
    <col min="19" max="19" width="11" bestFit="1" customWidth="1"/>
    <col min="20" max="20" width="10.5" bestFit="1" customWidth="1"/>
    <col min="21" max="21" width="14.83203125" bestFit="1" customWidth="1"/>
    <col min="22" max="22" width="11.5" bestFit="1" customWidth="1"/>
    <col min="23" max="23" width="1.6640625" customWidth="1"/>
    <col min="24" max="24" width="11" bestFit="1" customWidth="1"/>
    <col min="25" max="25" width="10.5" bestFit="1" customWidth="1"/>
    <col min="26" max="26" width="14.83203125" bestFit="1" customWidth="1"/>
    <col min="27" max="27" width="11.5" bestFit="1" customWidth="1"/>
    <col min="28" max="28" width="1.5" customWidth="1"/>
    <col min="29" max="29" width="11" bestFit="1" customWidth="1"/>
    <col min="30" max="30" width="10.5" bestFit="1" customWidth="1"/>
    <col min="31" max="31" width="14.83203125" bestFit="1" customWidth="1"/>
    <col min="32" max="32" width="11.5" bestFit="1" customWidth="1"/>
    <col min="33" max="33" width="1.5" customWidth="1"/>
    <col min="34" max="34" width="11" bestFit="1" customWidth="1"/>
    <col min="35" max="35" width="10.5" bestFit="1" customWidth="1"/>
    <col min="36" max="36" width="14.83203125" bestFit="1" customWidth="1"/>
    <col min="37" max="37" width="11.5" bestFit="1" customWidth="1"/>
    <col min="38" max="38" width="1.5" customWidth="1"/>
    <col min="39" max="39" width="11" bestFit="1" customWidth="1"/>
    <col min="40" max="40" width="10.5" bestFit="1" customWidth="1"/>
    <col min="41" max="41" width="14.83203125" bestFit="1" customWidth="1"/>
    <col min="42" max="42" width="11.5" bestFit="1" customWidth="1"/>
    <col min="43" max="43" width="1.33203125" customWidth="1"/>
    <col min="44" max="44" width="11" bestFit="1" customWidth="1"/>
    <col min="45" max="45" width="10.5" bestFit="1" customWidth="1"/>
    <col min="46" max="46" width="14.83203125" bestFit="1" customWidth="1"/>
    <col min="47" max="47" width="11.5" bestFit="1" customWidth="1"/>
  </cols>
  <sheetData>
    <row r="1" spans="1:47" ht="28" x14ac:dyDescent="0.3">
      <c r="A1" s="63" t="s">
        <v>28</v>
      </c>
      <c r="B1" s="64"/>
      <c r="C1" s="64"/>
      <c r="D1" s="64"/>
      <c r="E1" s="64"/>
      <c r="F1" s="64"/>
      <c r="G1" s="64"/>
      <c r="H1" s="64"/>
      <c r="I1" s="64"/>
      <c r="J1" s="23"/>
      <c r="K1" s="23"/>
      <c r="L1" s="23"/>
      <c r="M1" s="55"/>
      <c r="N1" s="55"/>
      <c r="O1" s="23"/>
      <c r="P1" s="23"/>
      <c r="Q1" s="23"/>
      <c r="R1" s="55"/>
      <c r="S1" s="55"/>
      <c r="T1" s="23"/>
      <c r="U1" s="23"/>
      <c r="V1" s="23"/>
      <c r="W1" s="55"/>
      <c r="X1" s="55"/>
      <c r="Y1" s="23"/>
      <c r="Z1" s="23"/>
      <c r="AA1" s="23"/>
      <c r="AB1" s="55"/>
      <c r="AC1" s="55"/>
      <c r="AD1" s="23"/>
      <c r="AE1" s="23"/>
      <c r="AF1" s="23"/>
      <c r="AG1" s="55"/>
      <c r="AH1" s="55"/>
      <c r="AI1" s="23"/>
      <c r="AJ1" s="23"/>
      <c r="AK1" s="23"/>
      <c r="AL1" s="55"/>
      <c r="AM1" s="55"/>
      <c r="AN1" s="23"/>
      <c r="AO1" s="23"/>
      <c r="AP1" s="23"/>
      <c r="AQ1" s="55"/>
      <c r="AR1" s="55"/>
      <c r="AS1" s="23"/>
      <c r="AT1" s="23"/>
      <c r="AU1" s="23"/>
    </row>
    <row r="2" spans="1:47" ht="19" thickBot="1" x14ac:dyDescent="0.25">
      <c r="A2" s="38" t="s">
        <v>36</v>
      </c>
      <c r="B2" s="39"/>
      <c r="C2" s="65"/>
      <c r="D2" s="66"/>
      <c r="E2" s="23"/>
      <c r="F2" s="23"/>
      <c r="G2" s="23"/>
      <c r="H2" s="66"/>
      <c r="I2" s="66"/>
      <c r="J2" s="23"/>
      <c r="K2" s="23"/>
      <c r="L2" s="23"/>
      <c r="M2" s="55"/>
      <c r="N2" s="55"/>
      <c r="O2" s="23"/>
      <c r="P2" s="23"/>
      <c r="Q2" s="23"/>
      <c r="R2" s="55"/>
      <c r="S2" s="55"/>
      <c r="T2" s="23"/>
      <c r="U2" s="23"/>
      <c r="V2" s="23"/>
      <c r="W2" s="55"/>
      <c r="X2" s="55"/>
      <c r="Y2" s="23"/>
      <c r="Z2" s="23"/>
      <c r="AA2" s="23"/>
      <c r="AB2" s="55"/>
      <c r="AC2" s="55"/>
      <c r="AD2" s="23"/>
      <c r="AE2" s="23"/>
      <c r="AF2" s="23"/>
      <c r="AG2" s="55"/>
      <c r="AH2" s="55"/>
      <c r="AI2" s="23"/>
      <c r="AJ2" s="23"/>
      <c r="AK2" s="23"/>
      <c r="AL2" s="55"/>
      <c r="AM2" s="55"/>
      <c r="AN2" s="23"/>
      <c r="AO2" s="23"/>
      <c r="AP2" s="23"/>
      <c r="AQ2" s="55"/>
      <c r="AR2" s="55"/>
      <c r="AS2" s="23"/>
      <c r="AT2" s="23"/>
      <c r="AU2" s="23"/>
    </row>
    <row r="3" spans="1:47" ht="19" thickBot="1" x14ac:dyDescent="0.25">
      <c r="A3" s="24" t="s">
        <v>34</v>
      </c>
      <c r="B3" s="24" t="s">
        <v>2</v>
      </c>
      <c r="C3" s="23"/>
      <c r="D3" s="61" t="s">
        <v>29</v>
      </c>
      <c r="E3" s="62"/>
      <c r="F3" s="25">
        <v>0.1</v>
      </c>
      <c r="G3" s="23"/>
      <c r="H3" s="23"/>
      <c r="I3" s="61" t="s">
        <v>29</v>
      </c>
      <c r="J3" s="62"/>
      <c r="K3" s="25">
        <v>0.2</v>
      </c>
      <c r="L3" s="23"/>
      <c r="M3" s="23"/>
      <c r="N3" s="61" t="s">
        <v>29</v>
      </c>
      <c r="O3" s="62"/>
      <c r="P3" s="25">
        <v>0.3</v>
      </c>
      <c r="Q3" s="23"/>
      <c r="R3" s="23"/>
      <c r="S3" s="61" t="s">
        <v>29</v>
      </c>
      <c r="T3" s="62"/>
      <c r="U3" s="25">
        <v>0.4</v>
      </c>
      <c r="V3" s="23"/>
      <c r="W3" s="23"/>
      <c r="X3" s="61" t="s">
        <v>29</v>
      </c>
      <c r="Y3" s="62"/>
      <c r="Z3" s="25">
        <v>0.5</v>
      </c>
      <c r="AA3" s="23"/>
      <c r="AB3" s="23"/>
      <c r="AC3" s="61" t="s">
        <v>29</v>
      </c>
      <c r="AD3" s="62"/>
      <c r="AE3" s="25">
        <v>0.6</v>
      </c>
      <c r="AF3" s="23"/>
      <c r="AG3" s="23"/>
      <c r="AH3" s="61" t="s">
        <v>29</v>
      </c>
      <c r="AI3" s="62"/>
      <c r="AJ3" s="25">
        <v>0.7</v>
      </c>
      <c r="AK3" s="23"/>
      <c r="AL3" s="23"/>
      <c r="AM3" s="61" t="s">
        <v>29</v>
      </c>
      <c r="AN3" s="62"/>
      <c r="AO3" s="25">
        <v>0.8</v>
      </c>
      <c r="AP3" s="23"/>
      <c r="AQ3" s="23"/>
      <c r="AR3" s="61" t="s">
        <v>29</v>
      </c>
      <c r="AS3" s="62"/>
      <c r="AT3" s="25">
        <v>0.9</v>
      </c>
      <c r="AU3" s="23"/>
    </row>
    <row r="4" spans="1:47" ht="18" x14ac:dyDescent="0.2">
      <c r="A4" s="26">
        <v>45662</v>
      </c>
      <c r="B4" s="40">
        <v>8837</v>
      </c>
      <c r="C4" s="23"/>
      <c r="D4" s="28" t="s">
        <v>5</v>
      </c>
      <c r="E4" s="28" t="s">
        <v>22</v>
      </c>
      <c r="F4" s="28" t="s">
        <v>23</v>
      </c>
      <c r="G4" s="29" t="s">
        <v>24</v>
      </c>
      <c r="H4" s="23"/>
      <c r="I4" s="28" t="s">
        <v>5</v>
      </c>
      <c r="J4" s="28" t="s">
        <v>22</v>
      </c>
      <c r="K4" s="28" t="s">
        <v>23</v>
      </c>
      <c r="L4" s="29" t="s">
        <v>24</v>
      </c>
      <c r="M4" s="23"/>
      <c r="N4" s="28" t="s">
        <v>5</v>
      </c>
      <c r="O4" s="28" t="s">
        <v>22</v>
      </c>
      <c r="P4" s="28" t="s">
        <v>23</v>
      </c>
      <c r="Q4" s="29" t="s">
        <v>24</v>
      </c>
      <c r="R4" s="23"/>
      <c r="S4" s="28" t="s">
        <v>5</v>
      </c>
      <c r="T4" s="28" t="s">
        <v>22</v>
      </c>
      <c r="U4" s="28" t="s">
        <v>23</v>
      </c>
      <c r="V4" s="29" t="s">
        <v>24</v>
      </c>
      <c r="W4" s="23"/>
      <c r="X4" s="28" t="s">
        <v>5</v>
      </c>
      <c r="Y4" s="28" t="s">
        <v>22</v>
      </c>
      <c r="Z4" s="28" t="s">
        <v>23</v>
      </c>
      <c r="AA4" s="29" t="s">
        <v>24</v>
      </c>
      <c r="AB4" s="23"/>
      <c r="AC4" s="28" t="s">
        <v>5</v>
      </c>
      <c r="AD4" s="28" t="s">
        <v>22</v>
      </c>
      <c r="AE4" s="28" t="s">
        <v>23</v>
      </c>
      <c r="AF4" s="29" t="s">
        <v>24</v>
      </c>
      <c r="AG4" s="23"/>
      <c r="AH4" s="28" t="s">
        <v>5</v>
      </c>
      <c r="AI4" s="28" t="s">
        <v>22</v>
      </c>
      <c r="AJ4" s="28" t="s">
        <v>23</v>
      </c>
      <c r="AK4" s="29" t="s">
        <v>24</v>
      </c>
      <c r="AL4" s="23"/>
      <c r="AM4" s="28" t="s">
        <v>5</v>
      </c>
      <c r="AN4" s="28" t="s">
        <v>22</v>
      </c>
      <c r="AO4" s="28" t="s">
        <v>23</v>
      </c>
      <c r="AP4" s="29" t="s">
        <v>24</v>
      </c>
      <c r="AQ4" s="23"/>
      <c r="AR4" s="28" t="s">
        <v>5</v>
      </c>
      <c r="AS4" s="28" t="s">
        <v>22</v>
      </c>
      <c r="AT4" s="28" t="s">
        <v>23</v>
      </c>
      <c r="AU4" s="29" t="s">
        <v>24</v>
      </c>
    </row>
    <row r="5" spans="1:47" ht="18" x14ac:dyDescent="0.2">
      <c r="A5" s="26">
        <v>45693</v>
      </c>
      <c r="B5" s="40">
        <v>10625</v>
      </c>
      <c r="C5" s="23"/>
      <c r="D5" s="27" t="s">
        <v>3</v>
      </c>
      <c r="E5" s="27" t="s">
        <v>3</v>
      </c>
      <c r="F5" s="27" t="s">
        <v>3</v>
      </c>
      <c r="G5" s="27" t="s">
        <v>3</v>
      </c>
      <c r="H5" s="23"/>
      <c r="I5" s="27" t="s">
        <v>3</v>
      </c>
      <c r="J5" s="27" t="s">
        <v>3</v>
      </c>
      <c r="K5" s="27" t="s">
        <v>3</v>
      </c>
      <c r="L5" s="27" t="s">
        <v>3</v>
      </c>
      <c r="M5" s="23"/>
      <c r="N5" s="27" t="s">
        <v>3</v>
      </c>
      <c r="O5" s="27" t="s">
        <v>3</v>
      </c>
      <c r="P5" s="27" t="s">
        <v>3</v>
      </c>
      <c r="Q5" s="27" t="s">
        <v>3</v>
      </c>
      <c r="R5" s="23"/>
      <c r="S5" s="27" t="s">
        <v>3</v>
      </c>
      <c r="T5" s="27" t="s">
        <v>3</v>
      </c>
      <c r="U5" s="27" t="s">
        <v>3</v>
      </c>
      <c r="V5" s="27" t="s">
        <v>3</v>
      </c>
      <c r="W5" s="23"/>
      <c r="X5" s="27" t="s">
        <v>3</v>
      </c>
      <c r="Y5" s="27" t="s">
        <v>3</v>
      </c>
      <c r="Z5" s="27" t="s">
        <v>3</v>
      </c>
      <c r="AA5" s="27" t="s">
        <v>3</v>
      </c>
      <c r="AB5" s="23"/>
      <c r="AC5" s="27" t="s">
        <v>3</v>
      </c>
      <c r="AD5" s="27" t="s">
        <v>3</v>
      </c>
      <c r="AE5" s="27" t="s">
        <v>3</v>
      </c>
      <c r="AF5" s="27" t="s">
        <v>3</v>
      </c>
      <c r="AG5" s="23"/>
      <c r="AH5" s="27" t="s">
        <v>3</v>
      </c>
      <c r="AI5" s="27" t="s">
        <v>3</v>
      </c>
      <c r="AJ5" s="27" t="s">
        <v>3</v>
      </c>
      <c r="AK5" s="27" t="s">
        <v>3</v>
      </c>
      <c r="AL5" s="23"/>
      <c r="AM5" s="27" t="s">
        <v>3</v>
      </c>
      <c r="AN5" s="27" t="s">
        <v>3</v>
      </c>
      <c r="AO5" s="27" t="s">
        <v>3</v>
      </c>
      <c r="AP5" s="27" t="s">
        <v>3</v>
      </c>
      <c r="AQ5" s="23"/>
      <c r="AR5" s="27" t="s">
        <v>3</v>
      </c>
      <c r="AS5" s="27" t="s">
        <v>3</v>
      </c>
      <c r="AT5" s="27" t="s">
        <v>3</v>
      </c>
      <c r="AU5" s="27" t="s">
        <v>3</v>
      </c>
    </row>
    <row r="6" spans="1:47" ht="18" x14ac:dyDescent="0.2">
      <c r="A6" s="26">
        <v>45721</v>
      </c>
      <c r="B6" s="40">
        <v>12071</v>
      </c>
      <c r="C6" s="23"/>
      <c r="D6" s="30">
        <v>10625</v>
      </c>
      <c r="E6" s="30">
        <v>1446</v>
      </c>
      <c r="F6" s="30">
        <v>2090916</v>
      </c>
      <c r="G6" s="30">
        <v>1446</v>
      </c>
      <c r="H6" s="23"/>
      <c r="I6" s="30">
        <v>10625</v>
      </c>
      <c r="J6" s="30">
        <v>1446</v>
      </c>
      <c r="K6" s="30">
        <v>2090916</v>
      </c>
      <c r="L6" s="30">
        <v>1446</v>
      </c>
      <c r="M6" s="23"/>
      <c r="N6" s="30">
        <v>10625</v>
      </c>
      <c r="O6" s="30">
        <v>1446</v>
      </c>
      <c r="P6" s="30">
        <v>2090916</v>
      </c>
      <c r="Q6" s="30">
        <v>1446</v>
      </c>
      <c r="R6" s="23"/>
      <c r="S6" s="30">
        <v>10625</v>
      </c>
      <c r="T6" s="30">
        <v>1446</v>
      </c>
      <c r="U6" s="30">
        <v>2090916</v>
      </c>
      <c r="V6" s="30">
        <v>1446</v>
      </c>
      <c r="W6" s="23"/>
      <c r="X6" s="30">
        <v>10625</v>
      </c>
      <c r="Y6" s="30">
        <v>1446</v>
      </c>
      <c r="Z6" s="30">
        <v>2090916</v>
      </c>
      <c r="AA6" s="30">
        <v>1446</v>
      </c>
      <c r="AB6" s="23"/>
      <c r="AC6" s="30">
        <v>10625</v>
      </c>
      <c r="AD6" s="30">
        <v>1446</v>
      </c>
      <c r="AE6" s="30">
        <v>2090916</v>
      </c>
      <c r="AF6" s="30">
        <v>1446</v>
      </c>
      <c r="AG6" s="23"/>
      <c r="AH6" s="30">
        <v>10625</v>
      </c>
      <c r="AI6" s="30">
        <v>1446</v>
      </c>
      <c r="AJ6" s="30">
        <v>2090916</v>
      </c>
      <c r="AK6" s="30">
        <v>1446</v>
      </c>
      <c r="AL6" s="23"/>
      <c r="AM6" s="30">
        <v>10625</v>
      </c>
      <c r="AN6" s="30">
        <v>1446</v>
      </c>
      <c r="AO6" s="30">
        <v>2090916</v>
      </c>
      <c r="AP6" s="30">
        <v>1446</v>
      </c>
      <c r="AQ6" s="23"/>
      <c r="AR6" s="30">
        <v>10625</v>
      </c>
      <c r="AS6" s="30">
        <v>1446</v>
      </c>
      <c r="AT6" s="30">
        <v>2090916</v>
      </c>
      <c r="AU6" s="30">
        <v>1446</v>
      </c>
    </row>
    <row r="7" spans="1:47" ht="18" x14ac:dyDescent="0.2">
      <c r="A7" s="26">
        <v>45752</v>
      </c>
      <c r="B7" s="40">
        <v>10587</v>
      </c>
      <c r="C7" s="23"/>
      <c r="D7" s="30">
        <v>10769.6</v>
      </c>
      <c r="E7" s="27">
        <v>-182.6</v>
      </c>
      <c r="F7" s="30">
        <v>33342.800000000003</v>
      </c>
      <c r="G7" s="27">
        <v>182.6</v>
      </c>
      <c r="H7" s="23"/>
      <c r="I7" s="30">
        <v>10914.2</v>
      </c>
      <c r="J7" s="27">
        <v>-327.2</v>
      </c>
      <c r="K7" s="30">
        <v>107059.8</v>
      </c>
      <c r="L7" s="27">
        <v>327.2</v>
      </c>
      <c r="M7" s="23"/>
      <c r="N7" s="30">
        <v>11058.8</v>
      </c>
      <c r="O7" s="27">
        <v>-471.8</v>
      </c>
      <c r="P7" s="30">
        <v>222595.20000000001</v>
      </c>
      <c r="Q7" s="27">
        <v>471.8</v>
      </c>
      <c r="R7" s="23"/>
      <c r="S7" s="30">
        <v>11203.4</v>
      </c>
      <c r="T7" s="27">
        <v>-616.4</v>
      </c>
      <c r="U7" s="30">
        <v>379949</v>
      </c>
      <c r="V7" s="27">
        <v>616.4</v>
      </c>
      <c r="W7" s="23"/>
      <c r="X7" s="30">
        <v>11348</v>
      </c>
      <c r="Y7" s="27">
        <v>-761</v>
      </c>
      <c r="Z7" s="30">
        <v>579121</v>
      </c>
      <c r="AA7" s="27">
        <v>761</v>
      </c>
      <c r="AB7" s="23"/>
      <c r="AC7" s="30">
        <v>11492.6</v>
      </c>
      <c r="AD7" s="27">
        <v>-905.6</v>
      </c>
      <c r="AE7" s="30">
        <v>820111.4</v>
      </c>
      <c r="AF7" s="27">
        <v>905.6</v>
      </c>
      <c r="AG7" s="23"/>
      <c r="AH7" s="30">
        <v>11637.2</v>
      </c>
      <c r="AI7" s="30">
        <v>-1050.2</v>
      </c>
      <c r="AJ7" s="30">
        <v>1102920</v>
      </c>
      <c r="AK7" s="30">
        <v>1050.2</v>
      </c>
      <c r="AL7" s="23"/>
      <c r="AM7" s="30">
        <v>11781.8</v>
      </c>
      <c r="AN7" s="30">
        <v>-1194.8</v>
      </c>
      <c r="AO7" s="30">
        <v>1427547</v>
      </c>
      <c r="AP7" s="30">
        <v>1194.8</v>
      </c>
      <c r="AQ7" s="23"/>
      <c r="AR7" s="30">
        <v>11926.4</v>
      </c>
      <c r="AS7" s="30">
        <v>-1339.4</v>
      </c>
      <c r="AT7" s="30">
        <v>1793992.4</v>
      </c>
      <c r="AU7" s="30">
        <v>1339.4</v>
      </c>
    </row>
    <row r="8" spans="1:47" ht="18" x14ac:dyDescent="0.2">
      <c r="A8" s="26">
        <v>45782</v>
      </c>
      <c r="B8" s="40">
        <v>10109</v>
      </c>
      <c r="C8" s="23"/>
      <c r="D8" s="30">
        <v>10751.34</v>
      </c>
      <c r="E8" s="27">
        <v>-642.34</v>
      </c>
      <c r="F8" s="30">
        <v>412600.7</v>
      </c>
      <c r="G8" s="27">
        <v>642.29999999999995</v>
      </c>
      <c r="H8" s="23"/>
      <c r="I8" s="30">
        <v>10848.76</v>
      </c>
      <c r="J8" s="27">
        <v>-739.76</v>
      </c>
      <c r="K8" s="30">
        <v>547244.9</v>
      </c>
      <c r="L8" s="27">
        <v>739.8</v>
      </c>
      <c r="M8" s="23"/>
      <c r="N8" s="30">
        <v>10917.26</v>
      </c>
      <c r="O8" s="27">
        <v>-808.26</v>
      </c>
      <c r="P8" s="30">
        <v>653284.19999999995</v>
      </c>
      <c r="Q8" s="27">
        <v>808.3</v>
      </c>
      <c r="R8" s="23"/>
      <c r="S8" s="30">
        <v>10956.84</v>
      </c>
      <c r="T8" s="27">
        <v>-847.84</v>
      </c>
      <c r="U8" s="30">
        <v>718832.7</v>
      </c>
      <c r="V8" s="27">
        <v>847.8</v>
      </c>
      <c r="W8" s="23"/>
      <c r="X8" s="30">
        <v>10967.5</v>
      </c>
      <c r="Y8" s="27">
        <v>-858.5</v>
      </c>
      <c r="Z8" s="30">
        <v>737022.3</v>
      </c>
      <c r="AA8" s="27">
        <v>858.5</v>
      </c>
      <c r="AB8" s="23"/>
      <c r="AC8" s="30">
        <v>10949.24</v>
      </c>
      <c r="AD8" s="27">
        <v>-840.24</v>
      </c>
      <c r="AE8" s="30">
        <v>706003.3</v>
      </c>
      <c r="AF8" s="27">
        <v>840.2</v>
      </c>
      <c r="AG8" s="23"/>
      <c r="AH8" s="30">
        <v>10902.06</v>
      </c>
      <c r="AI8" s="27">
        <v>-793.06</v>
      </c>
      <c r="AJ8" s="30">
        <v>628944.19999999995</v>
      </c>
      <c r="AK8" s="27">
        <v>793.1</v>
      </c>
      <c r="AL8" s="23"/>
      <c r="AM8" s="30">
        <v>10825.96</v>
      </c>
      <c r="AN8" s="27">
        <v>-716.96</v>
      </c>
      <c r="AO8" s="30">
        <v>514031.6</v>
      </c>
      <c r="AP8" s="27">
        <v>717</v>
      </c>
      <c r="AQ8" s="23"/>
      <c r="AR8" s="30">
        <v>10720.94</v>
      </c>
      <c r="AS8" s="27">
        <v>-611.94000000000005</v>
      </c>
      <c r="AT8" s="30">
        <v>374470.6</v>
      </c>
      <c r="AU8" s="27">
        <v>611.9</v>
      </c>
    </row>
    <row r="9" spans="1:47" ht="18" x14ac:dyDescent="0.2">
      <c r="A9" s="26">
        <v>45813</v>
      </c>
      <c r="B9" s="40">
        <v>11531</v>
      </c>
      <c r="C9" s="23"/>
      <c r="D9" s="30">
        <v>10687.11</v>
      </c>
      <c r="E9" s="27">
        <v>843.89</v>
      </c>
      <c r="F9" s="30">
        <v>712157.1</v>
      </c>
      <c r="G9" s="27">
        <v>843.9</v>
      </c>
      <c r="H9" s="23"/>
      <c r="I9" s="30">
        <v>10700.81</v>
      </c>
      <c r="J9" s="27">
        <v>830.19</v>
      </c>
      <c r="K9" s="30">
        <v>689218.8</v>
      </c>
      <c r="L9" s="27">
        <v>830.2</v>
      </c>
      <c r="M9" s="23"/>
      <c r="N9" s="30">
        <v>10674.78</v>
      </c>
      <c r="O9" s="27">
        <v>856.22</v>
      </c>
      <c r="P9" s="30">
        <v>733109.3</v>
      </c>
      <c r="Q9" s="27">
        <v>856.2</v>
      </c>
      <c r="R9" s="23"/>
      <c r="S9" s="30">
        <v>10617.7</v>
      </c>
      <c r="T9" s="27">
        <v>913.3</v>
      </c>
      <c r="U9" s="30">
        <v>834109.6</v>
      </c>
      <c r="V9" s="27">
        <v>913.3</v>
      </c>
      <c r="W9" s="23"/>
      <c r="X9" s="30">
        <v>10538.25</v>
      </c>
      <c r="Y9" s="27">
        <v>992.75</v>
      </c>
      <c r="Z9" s="30">
        <v>985552.6</v>
      </c>
      <c r="AA9" s="27">
        <v>992.8</v>
      </c>
      <c r="AB9" s="23"/>
      <c r="AC9" s="30">
        <v>10445.1</v>
      </c>
      <c r="AD9" s="30">
        <v>1085.9000000000001</v>
      </c>
      <c r="AE9" s="30">
        <v>1179187.5</v>
      </c>
      <c r="AF9" s="30">
        <v>1085.9000000000001</v>
      </c>
      <c r="AG9" s="23"/>
      <c r="AH9" s="30">
        <v>10346.92</v>
      </c>
      <c r="AI9" s="30">
        <v>1184.08</v>
      </c>
      <c r="AJ9" s="30">
        <v>1402050.2</v>
      </c>
      <c r="AK9" s="30">
        <v>1184.0999999999999</v>
      </c>
      <c r="AL9" s="23"/>
      <c r="AM9" s="30">
        <v>10252.39</v>
      </c>
      <c r="AN9" s="30">
        <v>1278.6099999999999</v>
      </c>
      <c r="AO9" s="30">
        <v>1634838.4</v>
      </c>
      <c r="AP9" s="30">
        <v>1278.5999999999999</v>
      </c>
      <c r="AQ9" s="23"/>
      <c r="AR9" s="30">
        <v>10170.19</v>
      </c>
      <c r="AS9" s="30">
        <v>1360.81</v>
      </c>
      <c r="AT9" s="30">
        <v>1851793</v>
      </c>
      <c r="AU9" s="30">
        <v>1360.8</v>
      </c>
    </row>
    <row r="10" spans="1:47" ht="18" x14ac:dyDescent="0.2">
      <c r="A10" s="26">
        <v>45843</v>
      </c>
      <c r="B10" s="40">
        <v>14726</v>
      </c>
      <c r="C10" s="23"/>
      <c r="D10" s="30">
        <v>10771.5</v>
      </c>
      <c r="E10" s="30">
        <v>3954.5</v>
      </c>
      <c r="F10" s="30">
        <v>15638106.6</v>
      </c>
      <c r="G10" s="30">
        <v>3954.5</v>
      </c>
      <c r="H10" s="23"/>
      <c r="I10" s="30">
        <v>10866.85</v>
      </c>
      <c r="J10" s="30">
        <v>3859.15</v>
      </c>
      <c r="K10" s="30">
        <v>14893066.5</v>
      </c>
      <c r="L10" s="30">
        <v>3859.2</v>
      </c>
      <c r="M10" s="23"/>
      <c r="N10" s="30">
        <v>10931.65</v>
      </c>
      <c r="O10" s="30">
        <v>3794.35</v>
      </c>
      <c r="P10" s="30">
        <v>14397111.699999999</v>
      </c>
      <c r="Q10" s="30">
        <v>3794.4</v>
      </c>
      <c r="R10" s="23"/>
      <c r="S10" s="30">
        <v>10983.02</v>
      </c>
      <c r="T10" s="30">
        <v>3742.98</v>
      </c>
      <c r="U10" s="30">
        <v>14009881.300000001</v>
      </c>
      <c r="V10" s="30">
        <v>3743</v>
      </c>
      <c r="W10" s="23"/>
      <c r="X10" s="30">
        <v>11034.63</v>
      </c>
      <c r="Y10" s="30">
        <v>3691.38</v>
      </c>
      <c r="Z10" s="30">
        <v>13626249.4</v>
      </c>
      <c r="AA10" s="30">
        <v>3691.4</v>
      </c>
      <c r="AB10" s="23"/>
      <c r="AC10" s="30">
        <v>11096.64</v>
      </c>
      <c r="AD10" s="30">
        <v>3629.36</v>
      </c>
      <c r="AE10" s="30">
        <v>13172265.6</v>
      </c>
      <c r="AF10" s="30">
        <v>3629.4</v>
      </c>
      <c r="AG10" s="23"/>
      <c r="AH10" s="30">
        <v>11175.78</v>
      </c>
      <c r="AI10" s="30">
        <v>3550.22</v>
      </c>
      <c r="AJ10" s="30">
        <v>12604094.699999999</v>
      </c>
      <c r="AK10" s="30">
        <v>3550.2</v>
      </c>
      <c r="AL10" s="23"/>
      <c r="AM10" s="30">
        <v>11275.28</v>
      </c>
      <c r="AN10" s="30">
        <v>3450.72</v>
      </c>
      <c r="AO10" s="30">
        <v>11907479.6</v>
      </c>
      <c r="AP10" s="30">
        <v>3450.7</v>
      </c>
      <c r="AQ10" s="23"/>
      <c r="AR10" s="30">
        <v>11394.92</v>
      </c>
      <c r="AS10" s="30">
        <v>3331.08</v>
      </c>
      <c r="AT10" s="30">
        <v>11096098</v>
      </c>
      <c r="AU10" s="30">
        <v>3331.1</v>
      </c>
    </row>
    <row r="11" spans="1:47" ht="18" x14ac:dyDescent="0.2">
      <c r="A11" s="26">
        <v>45874</v>
      </c>
      <c r="B11" s="40">
        <v>13971</v>
      </c>
      <c r="C11" s="23"/>
      <c r="D11" s="30">
        <v>11166.95</v>
      </c>
      <c r="E11" s="30">
        <v>2804.05</v>
      </c>
      <c r="F11" s="30">
        <v>7862719.5999999996</v>
      </c>
      <c r="G11" s="30">
        <v>2804.1</v>
      </c>
      <c r="H11" s="23"/>
      <c r="I11" s="30">
        <v>11638.68</v>
      </c>
      <c r="J11" s="30">
        <v>2332.3200000000002</v>
      </c>
      <c r="K11" s="30">
        <v>5439730</v>
      </c>
      <c r="L11" s="30">
        <v>2332.3000000000002</v>
      </c>
      <c r="M11" s="23"/>
      <c r="N11" s="30">
        <v>12069.95</v>
      </c>
      <c r="O11" s="30">
        <v>1901.05</v>
      </c>
      <c r="P11" s="30">
        <v>3613979</v>
      </c>
      <c r="Q11" s="30">
        <v>1901</v>
      </c>
      <c r="R11" s="23"/>
      <c r="S11" s="30">
        <v>12480.21</v>
      </c>
      <c r="T11" s="30">
        <v>1490.79</v>
      </c>
      <c r="U11" s="30">
        <v>2222444.6</v>
      </c>
      <c r="V11" s="30">
        <v>1490.8</v>
      </c>
      <c r="W11" s="23"/>
      <c r="X11" s="30">
        <v>12880.31</v>
      </c>
      <c r="Y11" s="30">
        <v>1090.69</v>
      </c>
      <c r="Z11" s="30">
        <v>1189599.2</v>
      </c>
      <c r="AA11" s="30">
        <v>1090.7</v>
      </c>
      <c r="AB11" s="23"/>
      <c r="AC11" s="30">
        <v>13274.26</v>
      </c>
      <c r="AD11" s="27">
        <v>696.74</v>
      </c>
      <c r="AE11" s="30">
        <v>485453.1</v>
      </c>
      <c r="AF11" s="27">
        <v>696.7</v>
      </c>
      <c r="AG11" s="23"/>
      <c r="AH11" s="30">
        <v>13660.93</v>
      </c>
      <c r="AI11" s="27">
        <v>310.07</v>
      </c>
      <c r="AJ11" s="30">
        <v>96141.8</v>
      </c>
      <c r="AK11" s="27">
        <v>310.10000000000002</v>
      </c>
      <c r="AL11" s="23"/>
      <c r="AM11" s="30">
        <v>14035.86</v>
      </c>
      <c r="AN11" s="27">
        <v>-64.86</v>
      </c>
      <c r="AO11" s="30">
        <v>4206.3</v>
      </c>
      <c r="AP11" s="27">
        <v>64.900000000000006</v>
      </c>
      <c r="AQ11" s="23"/>
      <c r="AR11" s="30">
        <v>14392.89</v>
      </c>
      <c r="AS11" s="27">
        <v>-421.89</v>
      </c>
      <c r="AT11" s="30">
        <v>177992.8</v>
      </c>
      <c r="AU11" s="27">
        <v>421.9</v>
      </c>
    </row>
    <row r="12" spans="1:47" ht="18" x14ac:dyDescent="0.2">
      <c r="A12" s="26">
        <v>45905</v>
      </c>
      <c r="B12" s="40">
        <v>9198</v>
      </c>
      <c r="C12" s="23"/>
      <c r="D12" s="30">
        <v>11447.35</v>
      </c>
      <c r="E12" s="30">
        <v>-2249.35</v>
      </c>
      <c r="F12" s="30">
        <v>5059581.2</v>
      </c>
      <c r="G12" s="30">
        <v>2249.4</v>
      </c>
      <c r="H12" s="23"/>
      <c r="I12" s="30">
        <v>12105.14</v>
      </c>
      <c r="J12" s="30">
        <v>-2907.14</v>
      </c>
      <c r="K12" s="30">
        <v>8451472.8000000007</v>
      </c>
      <c r="L12" s="30">
        <v>2907.1</v>
      </c>
      <c r="M12" s="23"/>
      <c r="N12" s="30">
        <v>12640.27</v>
      </c>
      <c r="O12" s="30">
        <v>-3442.27</v>
      </c>
      <c r="P12" s="30">
        <v>11849203.699999999</v>
      </c>
      <c r="Q12" s="30">
        <v>3442.3</v>
      </c>
      <c r="R12" s="23"/>
      <c r="S12" s="30">
        <v>13076.53</v>
      </c>
      <c r="T12" s="30">
        <v>-3878.53</v>
      </c>
      <c r="U12" s="30">
        <v>15042979.9</v>
      </c>
      <c r="V12" s="30">
        <v>3878.5</v>
      </c>
      <c r="W12" s="23"/>
      <c r="X12" s="30">
        <v>13425.66</v>
      </c>
      <c r="Y12" s="30">
        <v>-4227.66</v>
      </c>
      <c r="Z12" s="30">
        <v>17873077.399999999</v>
      </c>
      <c r="AA12" s="30">
        <v>4227.7</v>
      </c>
      <c r="AB12" s="23"/>
      <c r="AC12" s="30">
        <v>13692.3</v>
      </c>
      <c r="AD12" s="30">
        <v>-4494.3</v>
      </c>
      <c r="AE12" s="30">
        <v>20198751.800000001</v>
      </c>
      <c r="AF12" s="30">
        <v>4494.3</v>
      </c>
      <c r="AG12" s="23"/>
      <c r="AH12" s="30">
        <v>13877.98</v>
      </c>
      <c r="AI12" s="30">
        <v>-4679.9799999999996</v>
      </c>
      <c r="AJ12" s="30">
        <v>21902210.800000001</v>
      </c>
      <c r="AK12" s="30">
        <v>4680</v>
      </c>
      <c r="AL12" s="23"/>
      <c r="AM12" s="30">
        <v>13983.97</v>
      </c>
      <c r="AN12" s="30">
        <v>-4785.97</v>
      </c>
      <c r="AO12" s="30">
        <v>22905519.699999999</v>
      </c>
      <c r="AP12" s="30">
        <v>4786</v>
      </c>
      <c r="AQ12" s="23"/>
      <c r="AR12" s="30">
        <v>14013.19</v>
      </c>
      <c r="AS12" s="30">
        <v>-4815.1899999999996</v>
      </c>
      <c r="AT12" s="30">
        <v>23186047</v>
      </c>
      <c r="AU12" s="30">
        <v>4815.2</v>
      </c>
    </row>
    <row r="13" spans="1:47" ht="18" x14ac:dyDescent="0.2">
      <c r="A13" s="26">
        <v>45935</v>
      </c>
      <c r="B13" s="40">
        <v>10872</v>
      </c>
      <c r="C13" s="23"/>
      <c r="D13" s="30">
        <v>11222.42</v>
      </c>
      <c r="E13" s="27">
        <v>-350.42</v>
      </c>
      <c r="F13" s="30">
        <v>122791.5</v>
      </c>
      <c r="G13" s="27">
        <v>350.4</v>
      </c>
      <c r="H13" s="23"/>
      <c r="I13" s="30">
        <v>11523.71</v>
      </c>
      <c r="J13" s="27">
        <v>-651.71</v>
      </c>
      <c r="K13" s="30">
        <v>424730.3</v>
      </c>
      <c r="L13" s="27">
        <v>651.70000000000005</v>
      </c>
      <c r="M13" s="23"/>
      <c r="N13" s="30">
        <v>11607.59</v>
      </c>
      <c r="O13" s="27">
        <v>-735.59</v>
      </c>
      <c r="P13" s="30">
        <v>541088.30000000005</v>
      </c>
      <c r="Q13" s="27">
        <v>735.6</v>
      </c>
      <c r="R13" s="23"/>
      <c r="S13" s="30">
        <v>11525.12</v>
      </c>
      <c r="T13" s="27">
        <v>-653.12</v>
      </c>
      <c r="U13" s="30">
        <v>426561.6</v>
      </c>
      <c r="V13" s="27">
        <v>653.1</v>
      </c>
      <c r="W13" s="23"/>
      <c r="X13" s="30">
        <v>11311.83</v>
      </c>
      <c r="Y13" s="27">
        <v>-439.83</v>
      </c>
      <c r="Z13" s="30">
        <v>193448.8</v>
      </c>
      <c r="AA13" s="27">
        <v>439.8</v>
      </c>
      <c r="AB13" s="23"/>
      <c r="AC13" s="30">
        <v>10995.72</v>
      </c>
      <c r="AD13" s="27">
        <v>-123.72</v>
      </c>
      <c r="AE13" s="30">
        <v>15306.9</v>
      </c>
      <c r="AF13" s="27">
        <v>123.7</v>
      </c>
      <c r="AG13" s="23"/>
      <c r="AH13" s="30">
        <v>10601.99</v>
      </c>
      <c r="AI13" s="27">
        <v>270.01</v>
      </c>
      <c r="AJ13" s="30">
        <v>72903.3</v>
      </c>
      <c r="AK13" s="27">
        <v>270</v>
      </c>
      <c r="AL13" s="23"/>
      <c r="AM13" s="30">
        <v>10155.19</v>
      </c>
      <c r="AN13" s="27">
        <v>716.81</v>
      </c>
      <c r="AO13" s="30">
        <v>513810.5</v>
      </c>
      <c r="AP13" s="27">
        <v>716.8</v>
      </c>
      <c r="AQ13" s="23"/>
      <c r="AR13" s="30">
        <v>9679.52</v>
      </c>
      <c r="AS13" s="30">
        <v>1192.48</v>
      </c>
      <c r="AT13" s="30">
        <v>1422011.1</v>
      </c>
      <c r="AU13" s="30">
        <v>1192.5</v>
      </c>
    </row>
    <row r="14" spans="1:47" ht="18" x14ac:dyDescent="0.2">
      <c r="A14" s="26">
        <v>45966</v>
      </c>
      <c r="B14" s="40">
        <v>12040</v>
      </c>
      <c r="C14" s="23"/>
      <c r="D14" s="30">
        <v>11187.37</v>
      </c>
      <c r="E14" s="27">
        <v>852.63</v>
      </c>
      <c r="F14" s="30">
        <v>726970.2</v>
      </c>
      <c r="G14" s="27">
        <v>852.6</v>
      </c>
      <c r="H14" s="23"/>
      <c r="I14" s="30">
        <v>11393.37</v>
      </c>
      <c r="J14" s="27">
        <v>646.63</v>
      </c>
      <c r="K14" s="30">
        <v>418129.5</v>
      </c>
      <c r="L14" s="27">
        <v>646.6</v>
      </c>
      <c r="M14" s="23"/>
      <c r="N14" s="30">
        <v>11386.91</v>
      </c>
      <c r="O14" s="27">
        <v>653.09</v>
      </c>
      <c r="P14" s="30">
        <v>426525.3</v>
      </c>
      <c r="Q14" s="27">
        <v>653.1</v>
      </c>
      <c r="R14" s="23"/>
      <c r="S14" s="30">
        <v>11263.87</v>
      </c>
      <c r="T14" s="27">
        <v>776.13</v>
      </c>
      <c r="U14" s="30">
        <v>602377.6</v>
      </c>
      <c r="V14" s="27">
        <v>776.1</v>
      </c>
      <c r="W14" s="23"/>
      <c r="X14" s="30">
        <v>11091.91</v>
      </c>
      <c r="Y14" s="27">
        <v>948.09</v>
      </c>
      <c r="Z14" s="30">
        <v>898866.9</v>
      </c>
      <c r="AA14" s="27">
        <v>948.1</v>
      </c>
      <c r="AB14" s="23"/>
      <c r="AC14" s="30">
        <v>10921.49</v>
      </c>
      <c r="AD14" s="30">
        <v>1118.51</v>
      </c>
      <c r="AE14" s="30">
        <v>1251068.3</v>
      </c>
      <c r="AF14" s="30">
        <v>1118.5</v>
      </c>
      <c r="AG14" s="23"/>
      <c r="AH14" s="30">
        <v>10791</v>
      </c>
      <c r="AI14" s="30">
        <v>1249</v>
      </c>
      <c r="AJ14" s="30">
        <v>1560005.5</v>
      </c>
      <c r="AK14" s="30">
        <v>1249</v>
      </c>
      <c r="AL14" s="23"/>
      <c r="AM14" s="30">
        <v>10728.64</v>
      </c>
      <c r="AN14" s="30">
        <v>1311.36</v>
      </c>
      <c r="AO14" s="30">
        <v>1719668.1</v>
      </c>
      <c r="AP14" s="30">
        <v>1311.4</v>
      </c>
      <c r="AQ14" s="23"/>
      <c r="AR14" s="30">
        <v>10752.75</v>
      </c>
      <c r="AS14" s="30">
        <v>1287.25</v>
      </c>
      <c r="AT14" s="30">
        <v>1657007.7</v>
      </c>
      <c r="AU14" s="30">
        <v>1287.2</v>
      </c>
    </row>
    <row r="15" spans="1:47" ht="18" x14ac:dyDescent="0.2">
      <c r="A15" s="26">
        <v>45996</v>
      </c>
      <c r="B15" s="40">
        <v>18788</v>
      </c>
      <c r="C15" s="23"/>
      <c r="D15" s="30">
        <v>11272.64</v>
      </c>
      <c r="E15" s="30">
        <v>7515.36</v>
      </c>
      <c r="F15" s="30">
        <v>56480679.799999997</v>
      </c>
      <c r="G15" s="30">
        <v>7515.4</v>
      </c>
      <c r="H15" s="23"/>
      <c r="I15" s="30">
        <v>11522.7</v>
      </c>
      <c r="J15" s="30">
        <v>7265.3</v>
      </c>
      <c r="K15" s="30">
        <v>52784634.200000003</v>
      </c>
      <c r="L15" s="30">
        <v>7265.3</v>
      </c>
      <c r="M15" s="23"/>
      <c r="N15" s="30">
        <v>11582.84</v>
      </c>
      <c r="O15" s="30">
        <v>7205.16</v>
      </c>
      <c r="P15" s="30">
        <v>51914364.399999999</v>
      </c>
      <c r="Q15" s="30">
        <v>7205.2</v>
      </c>
      <c r="R15" s="23"/>
      <c r="S15" s="30">
        <v>11574.32</v>
      </c>
      <c r="T15" s="30">
        <v>7213.68</v>
      </c>
      <c r="U15" s="30">
        <v>52037149.399999999</v>
      </c>
      <c r="V15" s="30">
        <v>7213.7</v>
      </c>
      <c r="W15" s="23"/>
      <c r="X15" s="30">
        <v>11565.96</v>
      </c>
      <c r="Y15" s="30">
        <v>7222.04</v>
      </c>
      <c r="Z15" s="30">
        <v>52157904.600000001</v>
      </c>
      <c r="AA15" s="30">
        <v>7222</v>
      </c>
      <c r="AB15" s="23"/>
      <c r="AC15" s="30">
        <v>11592.6</v>
      </c>
      <c r="AD15" s="30">
        <v>7195.4</v>
      </c>
      <c r="AE15" s="30">
        <v>51773848.299999997</v>
      </c>
      <c r="AF15" s="30">
        <v>7195.4</v>
      </c>
      <c r="AG15" s="23"/>
      <c r="AH15" s="30">
        <v>11665.3</v>
      </c>
      <c r="AI15" s="30">
        <v>7122.7</v>
      </c>
      <c r="AJ15" s="30">
        <v>50732863.100000001</v>
      </c>
      <c r="AK15" s="30">
        <v>7122.7</v>
      </c>
      <c r="AL15" s="23"/>
      <c r="AM15" s="30">
        <v>11777.73</v>
      </c>
      <c r="AN15" s="30">
        <v>7010.27</v>
      </c>
      <c r="AO15" s="30">
        <v>49143916.799999997</v>
      </c>
      <c r="AP15" s="30">
        <v>7010.3</v>
      </c>
      <c r="AQ15" s="23"/>
      <c r="AR15" s="30">
        <v>11911.28</v>
      </c>
      <c r="AS15" s="30">
        <v>6876.72</v>
      </c>
      <c r="AT15" s="30">
        <v>47289344.100000001</v>
      </c>
      <c r="AU15" s="30">
        <v>6876.7</v>
      </c>
    </row>
    <row r="16" spans="1:47" ht="18" x14ac:dyDescent="0.2">
      <c r="A16" s="26">
        <v>45663</v>
      </c>
      <c r="B16" s="40">
        <v>9999</v>
      </c>
      <c r="C16" s="23"/>
      <c r="D16" s="30">
        <v>12024.17</v>
      </c>
      <c r="E16" s="30">
        <v>-2025.17</v>
      </c>
      <c r="F16" s="30">
        <v>4101327.2</v>
      </c>
      <c r="G16" s="30">
        <v>2025.2</v>
      </c>
      <c r="H16" s="23"/>
      <c r="I16" s="30">
        <v>12975.76</v>
      </c>
      <c r="J16" s="30">
        <v>-2976.76</v>
      </c>
      <c r="K16" s="30">
        <v>8861083.6999999993</v>
      </c>
      <c r="L16" s="30">
        <v>2976.8</v>
      </c>
      <c r="M16" s="23"/>
      <c r="N16" s="30">
        <v>13744.39</v>
      </c>
      <c r="O16" s="30">
        <v>-3745.39</v>
      </c>
      <c r="P16" s="30">
        <v>14027919</v>
      </c>
      <c r="Q16" s="30">
        <v>3745.4</v>
      </c>
      <c r="R16" s="23"/>
      <c r="S16" s="30">
        <v>14459.79</v>
      </c>
      <c r="T16" s="30">
        <v>-4460.79</v>
      </c>
      <c r="U16" s="30">
        <v>19898676.300000001</v>
      </c>
      <c r="V16" s="30">
        <v>4460.8</v>
      </c>
      <c r="W16" s="23"/>
      <c r="X16" s="30">
        <v>15176.98</v>
      </c>
      <c r="Y16" s="30">
        <v>-5177.9799999999996</v>
      </c>
      <c r="Z16" s="30">
        <v>26811461.5</v>
      </c>
      <c r="AA16" s="30">
        <v>5178</v>
      </c>
      <c r="AB16" s="23"/>
      <c r="AC16" s="30">
        <v>15909.84</v>
      </c>
      <c r="AD16" s="30">
        <v>-5910.84</v>
      </c>
      <c r="AE16" s="30">
        <v>34938007.5</v>
      </c>
      <c r="AF16" s="30">
        <v>5910.8</v>
      </c>
      <c r="AG16" s="23"/>
      <c r="AH16" s="30">
        <v>16651.189999999999</v>
      </c>
      <c r="AI16" s="30">
        <v>-6652.19</v>
      </c>
      <c r="AJ16" s="30">
        <v>44251629.600000001</v>
      </c>
      <c r="AK16" s="30">
        <v>6652.2</v>
      </c>
      <c r="AL16" s="23"/>
      <c r="AM16" s="30">
        <v>17385.95</v>
      </c>
      <c r="AN16" s="30">
        <v>-7386.95</v>
      </c>
      <c r="AO16" s="30">
        <v>54566964.600000001</v>
      </c>
      <c r="AP16" s="30">
        <v>7386.9</v>
      </c>
      <c r="AQ16" s="23"/>
      <c r="AR16" s="30">
        <v>18100.330000000002</v>
      </c>
      <c r="AS16" s="30">
        <v>-8101.33</v>
      </c>
      <c r="AT16" s="30">
        <v>65631507.600000001</v>
      </c>
      <c r="AU16" s="30">
        <v>8101.3</v>
      </c>
    </row>
    <row r="17" spans="1:47" ht="18" x14ac:dyDescent="0.2">
      <c r="A17" s="26">
        <v>45694</v>
      </c>
      <c r="B17" s="40">
        <v>10901</v>
      </c>
      <c r="C17" s="23"/>
      <c r="D17" s="30">
        <v>11821.66</v>
      </c>
      <c r="E17" s="27">
        <v>-920.66</v>
      </c>
      <c r="F17" s="30">
        <v>847607.5</v>
      </c>
      <c r="G17" s="27">
        <v>920.7</v>
      </c>
      <c r="H17" s="23"/>
      <c r="I17" s="30">
        <v>12380.41</v>
      </c>
      <c r="J17" s="30">
        <v>-1479.41</v>
      </c>
      <c r="K17" s="30">
        <v>2188641.5</v>
      </c>
      <c r="L17" s="30">
        <v>1479.4</v>
      </c>
      <c r="M17" s="23"/>
      <c r="N17" s="30">
        <v>12620.77</v>
      </c>
      <c r="O17" s="30">
        <v>-1719.77</v>
      </c>
      <c r="P17" s="30">
        <v>2957610.4</v>
      </c>
      <c r="Q17" s="30">
        <v>1719.8</v>
      </c>
      <c r="R17" s="23"/>
      <c r="S17" s="30">
        <v>12675.48</v>
      </c>
      <c r="T17" s="30">
        <v>-1774.48</v>
      </c>
      <c r="U17" s="30">
        <v>3148764.9</v>
      </c>
      <c r="V17" s="30">
        <v>1774.5</v>
      </c>
      <c r="W17" s="23"/>
      <c r="X17" s="30">
        <v>12587.99</v>
      </c>
      <c r="Y17" s="30">
        <v>-1686.99</v>
      </c>
      <c r="Z17" s="30">
        <v>2845932.8</v>
      </c>
      <c r="AA17" s="30">
        <v>1687</v>
      </c>
      <c r="AB17" s="23"/>
      <c r="AC17" s="30">
        <v>12363.34</v>
      </c>
      <c r="AD17" s="30">
        <v>-1462.34</v>
      </c>
      <c r="AE17" s="30">
        <v>2138424.4</v>
      </c>
      <c r="AF17" s="30">
        <v>1462.3</v>
      </c>
      <c r="AG17" s="23"/>
      <c r="AH17" s="30">
        <v>11994.66</v>
      </c>
      <c r="AI17" s="30">
        <v>-1093.6600000000001</v>
      </c>
      <c r="AJ17" s="30">
        <v>1196085.5</v>
      </c>
      <c r="AK17" s="30">
        <v>1093.7</v>
      </c>
      <c r="AL17" s="23"/>
      <c r="AM17" s="30">
        <v>11476.39</v>
      </c>
      <c r="AN17" s="27">
        <v>-575.39</v>
      </c>
      <c r="AO17" s="30">
        <v>331072.59999999998</v>
      </c>
      <c r="AP17" s="27">
        <v>575.4</v>
      </c>
      <c r="AQ17" s="23"/>
      <c r="AR17" s="30">
        <v>10809.13</v>
      </c>
      <c r="AS17" s="27">
        <v>91.87</v>
      </c>
      <c r="AT17" s="30">
        <v>8439.6</v>
      </c>
      <c r="AU17" s="27">
        <v>91.9</v>
      </c>
    </row>
    <row r="18" spans="1:47" ht="18" x14ac:dyDescent="0.2">
      <c r="A18" s="26">
        <v>45722</v>
      </c>
      <c r="B18" s="40">
        <v>12966</v>
      </c>
      <c r="C18" s="23"/>
      <c r="D18" s="30">
        <v>11729.59</v>
      </c>
      <c r="E18" s="30">
        <v>1236.4100000000001</v>
      </c>
      <c r="F18" s="30">
        <v>1528708.6</v>
      </c>
      <c r="G18" s="30">
        <v>1236.4000000000001</v>
      </c>
      <c r="H18" s="23"/>
      <c r="I18" s="30">
        <v>12084.52</v>
      </c>
      <c r="J18" s="27">
        <v>881.48</v>
      </c>
      <c r="K18" s="30">
        <v>776998.8</v>
      </c>
      <c r="L18" s="27">
        <v>881.5</v>
      </c>
      <c r="M18" s="23"/>
      <c r="N18" s="30">
        <v>12104.84</v>
      </c>
      <c r="O18" s="27">
        <v>861.16</v>
      </c>
      <c r="P18" s="30">
        <v>741597.7</v>
      </c>
      <c r="Q18" s="27">
        <v>861.2</v>
      </c>
      <c r="R18" s="23"/>
      <c r="S18" s="30">
        <v>11965.69</v>
      </c>
      <c r="T18" s="30">
        <v>1000.31</v>
      </c>
      <c r="U18" s="30">
        <v>1000629</v>
      </c>
      <c r="V18" s="30">
        <v>1000.3</v>
      </c>
      <c r="W18" s="23"/>
      <c r="X18" s="30">
        <v>11744.49</v>
      </c>
      <c r="Y18" s="30">
        <v>1221.51</v>
      </c>
      <c r="Z18" s="30">
        <v>1492075.4</v>
      </c>
      <c r="AA18" s="30">
        <v>1221.5</v>
      </c>
      <c r="AB18" s="23"/>
      <c r="AC18" s="30">
        <v>11485.93</v>
      </c>
      <c r="AD18" s="30">
        <v>1480.07</v>
      </c>
      <c r="AE18" s="30">
        <v>2190595.1</v>
      </c>
      <c r="AF18" s="30">
        <v>1480.1</v>
      </c>
      <c r="AG18" s="23"/>
      <c r="AH18" s="30">
        <v>11229.1</v>
      </c>
      <c r="AI18" s="30">
        <v>1736.9</v>
      </c>
      <c r="AJ18" s="30">
        <v>3016831.7</v>
      </c>
      <c r="AK18" s="30">
        <v>1736.9</v>
      </c>
      <c r="AL18" s="23"/>
      <c r="AM18" s="30">
        <v>11016.08</v>
      </c>
      <c r="AN18" s="30">
        <v>1949.92</v>
      </c>
      <c r="AO18" s="30">
        <v>3802196.5</v>
      </c>
      <c r="AP18" s="30">
        <v>1949.9</v>
      </c>
      <c r="AQ18" s="23"/>
      <c r="AR18" s="30">
        <v>10891.81</v>
      </c>
      <c r="AS18" s="30">
        <v>2074.19</v>
      </c>
      <c r="AT18" s="30">
        <v>4302250.5999999996</v>
      </c>
      <c r="AU18" s="30">
        <v>2074.1999999999998</v>
      </c>
    </row>
    <row r="19" spans="1:47" ht="18" x14ac:dyDescent="0.2">
      <c r="A19" s="26">
        <v>45753</v>
      </c>
      <c r="B19" s="40">
        <v>12566</v>
      </c>
      <c r="C19" s="23"/>
      <c r="D19" s="30">
        <v>11853.23</v>
      </c>
      <c r="E19" s="27">
        <v>712.77</v>
      </c>
      <c r="F19" s="30">
        <v>508039.1</v>
      </c>
      <c r="G19" s="27">
        <v>712.8</v>
      </c>
      <c r="H19" s="23"/>
      <c r="I19" s="30">
        <v>12260.82</v>
      </c>
      <c r="J19" s="27">
        <v>305.18</v>
      </c>
      <c r="K19" s="30">
        <v>93135</v>
      </c>
      <c r="L19" s="27">
        <v>305.2</v>
      </c>
      <c r="M19" s="23"/>
      <c r="N19" s="30">
        <v>12363.19</v>
      </c>
      <c r="O19" s="27">
        <v>202.81</v>
      </c>
      <c r="P19" s="30">
        <v>41132.9</v>
      </c>
      <c r="Q19" s="27">
        <v>202.8</v>
      </c>
      <c r="R19" s="23"/>
      <c r="S19" s="30">
        <v>12365.81</v>
      </c>
      <c r="T19" s="27">
        <v>200.19</v>
      </c>
      <c r="U19" s="30">
        <v>40075.5</v>
      </c>
      <c r="V19" s="27">
        <v>200.2</v>
      </c>
      <c r="W19" s="23"/>
      <c r="X19" s="30">
        <v>12355.25</v>
      </c>
      <c r="Y19" s="27">
        <v>210.75</v>
      </c>
      <c r="Z19" s="30">
        <v>44416.7</v>
      </c>
      <c r="AA19" s="27">
        <v>210.8</v>
      </c>
      <c r="AB19" s="23"/>
      <c r="AC19" s="30">
        <v>12373.97</v>
      </c>
      <c r="AD19" s="27">
        <v>192.03</v>
      </c>
      <c r="AE19" s="30">
        <v>36874.1</v>
      </c>
      <c r="AF19" s="27">
        <v>192</v>
      </c>
      <c r="AG19" s="23"/>
      <c r="AH19" s="30">
        <v>12444.93</v>
      </c>
      <c r="AI19" s="27">
        <v>121.07</v>
      </c>
      <c r="AJ19" s="30">
        <v>14658.2</v>
      </c>
      <c r="AK19" s="27">
        <v>121.1</v>
      </c>
      <c r="AL19" s="23"/>
      <c r="AM19" s="30">
        <v>12576.02</v>
      </c>
      <c r="AN19" s="27">
        <v>-10.02</v>
      </c>
      <c r="AO19" s="27">
        <v>100.3</v>
      </c>
      <c r="AP19" s="27">
        <v>10</v>
      </c>
      <c r="AQ19" s="23"/>
      <c r="AR19" s="30">
        <v>12758.58</v>
      </c>
      <c r="AS19" s="27">
        <v>-192.58</v>
      </c>
      <c r="AT19" s="30">
        <v>37087.599999999999</v>
      </c>
      <c r="AU19" s="27">
        <v>192.6</v>
      </c>
    </row>
    <row r="20" spans="1:47" ht="18" x14ac:dyDescent="0.2">
      <c r="A20" s="26">
        <v>45783</v>
      </c>
      <c r="B20" s="40">
        <v>12856</v>
      </c>
      <c r="C20" s="23"/>
      <c r="D20" s="30">
        <v>11924.51</v>
      </c>
      <c r="E20" s="27">
        <v>931.49</v>
      </c>
      <c r="F20" s="30">
        <v>867676.9</v>
      </c>
      <c r="G20" s="27">
        <v>931.5</v>
      </c>
      <c r="H20" s="23"/>
      <c r="I20" s="30">
        <v>12321.86</v>
      </c>
      <c r="J20" s="27">
        <v>534.14</v>
      </c>
      <c r="K20" s="30">
        <v>285310.09999999998</v>
      </c>
      <c r="L20" s="27">
        <v>534.1</v>
      </c>
      <c r="M20" s="23"/>
      <c r="N20" s="30">
        <v>12424.03</v>
      </c>
      <c r="O20" s="27">
        <v>431.97</v>
      </c>
      <c r="P20" s="30">
        <v>186597</v>
      </c>
      <c r="Q20" s="27">
        <v>432</v>
      </c>
      <c r="R20" s="23"/>
      <c r="S20" s="30">
        <v>12445.89</v>
      </c>
      <c r="T20" s="27">
        <v>410.11</v>
      </c>
      <c r="U20" s="30">
        <v>168192.8</v>
      </c>
      <c r="V20" s="27">
        <v>410.1</v>
      </c>
      <c r="W20" s="23"/>
      <c r="X20" s="30">
        <v>12460.62</v>
      </c>
      <c r="Y20" s="27">
        <v>395.38</v>
      </c>
      <c r="Z20" s="30">
        <v>156322.5</v>
      </c>
      <c r="AA20" s="27">
        <v>395.4</v>
      </c>
      <c r="AB20" s="23"/>
      <c r="AC20" s="30">
        <v>12489.19</v>
      </c>
      <c r="AD20" s="27">
        <v>366.81</v>
      </c>
      <c r="AE20" s="30">
        <v>134550</v>
      </c>
      <c r="AF20" s="27">
        <v>366.8</v>
      </c>
      <c r="AG20" s="23"/>
      <c r="AH20" s="30">
        <v>12529.68</v>
      </c>
      <c r="AI20" s="27">
        <v>326.32</v>
      </c>
      <c r="AJ20" s="30">
        <v>106485.6</v>
      </c>
      <c r="AK20" s="27">
        <v>326.3</v>
      </c>
      <c r="AL20" s="23"/>
      <c r="AM20" s="30">
        <v>12568</v>
      </c>
      <c r="AN20" s="27">
        <v>288</v>
      </c>
      <c r="AO20" s="30">
        <v>82942.2</v>
      </c>
      <c r="AP20" s="27">
        <v>288</v>
      </c>
      <c r="AQ20" s="23"/>
      <c r="AR20" s="30">
        <v>12585.26</v>
      </c>
      <c r="AS20" s="27">
        <v>270.74</v>
      </c>
      <c r="AT20" s="30">
        <v>73301.2</v>
      </c>
      <c r="AU20" s="27">
        <v>270.7</v>
      </c>
    </row>
    <row r="21" spans="1:47" ht="18" x14ac:dyDescent="0.2">
      <c r="A21" s="26">
        <v>45814</v>
      </c>
      <c r="B21" s="40">
        <v>11458</v>
      </c>
      <c r="C21" s="23"/>
      <c r="D21" s="30">
        <v>12017.66</v>
      </c>
      <c r="E21" s="27">
        <v>-559.66</v>
      </c>
      <c r="F21" s="30">
        <v>313216.40000000002</v>
      </c>
      <c r="G21" s="27">
        <v>559.70000000000005</v>
      </c>
      <c r="H21" s="23"/>
      <c r="I21" s="30">
        <v>12428.68</v>
      </c>
      <c r="J21" s="27">
        <v>-970.68</v>
      </c>
      <c r="K21" s="30">
        <v>942228.6</v>
      </c>
      <c r="L21" s="27">
        <v>970.7</v>
      </c>
      <c r="M21" s="23"/>
      <c r="N21" s="30">
        <v>12553.62</v>
      </c>
      <c r="O21" s="30">
        <v>-1095.6199999999999</v>
      </c>
      <c r="P21" s="30">
        <v>1200387.3</v>
      </c>
      <c r="Q21" s="30">
        <v>1095.5999999999999</v>
      </c>
      <c r="R21" s="23"/>
      <c r="S21" s="30">
        <v>12609.93</v>
      </c>
      <c r="T21" s="30">
        <v>-1151.93</v>
      </c>
      <c r="U21" s="30">
        <v>1326947.5</v>
      </c>
      <c r="V21" s="30">
        <v>1151.9000000000001</v>
      </c>
      <c r="W21" s="23"/>
      <c r="X21" s="30">
        <v>12658.31</v>
      </c>
      <c r="Y21" s="30">
        <v>-1200.31</v>
      </c>
      <c r="Z21" s="30">
        <v>1440748.5</v>
      </c>
      <c r="AA21" s="30">
        <v>1200.3</v>
      </c>
      <c r="AB21" s="23"/>
      <c r="AC21" s="30">
        <v>12709.28</v>
      </c>
      <c r="AD21" s="30">
        <v>-1251.28</v>
      </c>
      <c r="AE21" s="30">
        <v>1565691.1</v>
      </c>
      <c r="AF21" s="30">
        <v>1251.3</v>
      </c>
      <c r="AG21" s="23"/>
      <c r="AH21" s="30">
        <v>12758.1</v>
      </c>
      <c r="AI21" s="30">
        <v>-1300.0999999999999</v>
      </c>
      <c r="AJ21" s="30">
        <v>1690269.4</v>
      </c>
      <c r="AK21" s="30">
        <v>1300.0999999999999</v>
      </c>
      <c r="AL21" s="23"/>
      <c r="AM21" s="30">
        <v>12798.4</v>
      </c>
      <c r="AN21" s="30">
        <v>-1340.4</v>
      </c>
      <c r="AO21" s="30">
        <v>1796673.8</v>
      </c>
      <c r="AP21" s="30">
        <v>1340.4</v>
      </c>
      <c r="AQ21" s="23"/>
      <c r="AR21" s="30">
        <v>12828.93</v>
      </c>
      <c r="AS21" s="30">
        <v>-1370.93</v>
      </c>
      <c r="AT21" s="30">
        <v>1879437.6</v>
      </c>
      <c r="AU21" s="30">
        <v>1370.9</v>
      </c>
    </row>
    <row r="22" spans="1:47" ht="18" x14ac:dyDescent="0.2">
      <c r="A22" s="26">
        <v>45844</v>
      </c>
      <c r="B22" s="40">
        <v>19490</v>
      </c>
      <c r="C22" s="23"/>
      <c r="D22" s="30">
        <v>11961.69</v>
      </c>
      <c r="E22" s="30">
        <v>7528.31</v>
      </c>
      <c r="F22" s="30">
        <v>56675426.100000001</v>
      </c>
      <c r="G22" s="30">
        <v>7528.3</v>
      </c>
      <c r="H22" s="23"/>
      <c r="I22" s="30">
        <v>12234.55</v>
      </c>
      <c r="J22" s="30">
        <v>7255.45</v>
      </c>
      <c r="K22" s="30">
        <v>52641588.200000003</v>
      </c>
      <c r="L22" s="30">
        <v>7255.5</v>
      </c>
      <c r="M22" s="23"/>
      <c r="N22" s="30">
        <v>12224.94</v>
      </c>
      <c r="O22" s="30">
        <v>7265.06</v>
      </c>
      <c r="P22" s="30">
        <v>52781164.799999997</v>
      </c>
      <c r="Q22" s="30">
        <v>7265.1</v>
      </c>
      <c r="R22" s="23"/>
      <c r="S22" s="30">
        <v>12149.16</v>
      </c>
      <c r="T22" s="30">
        <v>7340.84</v>
      </c>
      <c r="U22" s="30">
        <v>53887942.899999999</v>
      </c>
      <c r="V22" s="30">
        <v>7340.8</v>
      </c>
      <c r="W22" s="23"/>
      <c r="X22" s="30">
        <v>12058.16</v>
      </c>
      <c r="Y22" s="30">
        <v>7431.84</v>
      </c>
      <c r="Z22" s="30">
        <v>55232306.5</v>
      </c>
      <c r="AA22" s="30">
        <v>7431.8</v>
      </c>
      <c r="AB22" s="23"/>
      <c r="AC22" s="30">
        <v>11958.51</v>
      </c>
      <c r="AD22" s="30">
        <v>7531.49</v>
      </c>
      <c r="AE22" s="30">
        <v>56723336.899999999</v>
      </c>
      <c r="AF22" s="30">
        <v>7531.5</v>
      </c>
      <c r="AG22" s="23"/>
      <c r="AH22" s="30">
        <v>11848.03</v>
      </c>
      <c r="AI22" s="30">
        <v>7641.97</v>
      </c>
      <c r="AJ22" s="30">
        <v>58399688.899999999</v>
      </c>
      <c r="AK22" s="30">
        <v>7642</v>
      </c>
      <c r="AL22" s="23"/>
      <c r="AM22" s="30">
        <v>11726.08</v>
      </c>
      <c r="AN22" s="30">
        <v>7763.92</v>
      </c>
      <c r="AO22" s="30">
        <v>60278451.799999997</v>
      </c>
      <c r="AP22" s="30">
        <v>7763.9</v>
      </c>
      <c r="AQ22" s="23"/>
      <c r="AR22" s="30">
        <v>11595.09</v>
      </c>
      <c r="AS22" s="30">
        <v>7894.91</v>
      </c>
      <c r="AT22" s="30">
        <v>62329563.100000001</v>
      </c>
      <c r="AU22" s="30">
        <v>7894.9</v>
      </c>
    </row>
    <row r="23" spans="1:47" ht="18" x14ac:dyDescent="0.2">
      <c r="A23" s="26">
        <v>45875</v>
      </c>
      <c r="B23" s="40">
        <v>19100</v>
      </c>
      <c r="C23" s="23"/>
      <c r="D23" s="30">
        <v>12714.52</v>
      </c>
      <c r="E23" s="30">
        <v>6385.48</v>
      </c>
      <c r="F23" s="30">
        <v>40774322.700000003</v>
      </c>
      <c r="G23" s="30">
        <v>6385.5</v>
      </c>
      <c r="H23" s="23"/>
      <c r="I23" s="30">
        <v>13685.64</v>
      </c>
      <c r="J23" s="30">
        <v>5414.36</v>
      </c>
      <c r="K23" s="30">
        <v>29315314.199999999</v>
      </c>
      <c r="L23" s="30">
        <v>5414.4</v>
      </c>
      <c r="M23" s="23"/>
      <c r="N23" s="30">
        <v>14404.45</v>
      </c>
      <c r="O23" s="30">
        <v>4695.55</v>
      </c>
      <c r="P23" s="30">
        <v>22048145.399999999</v>
      </c>
      <c r="Q23" s="30">
        <v>4695.5</v>
      </c>
      <c r="R23" s="23"/>
      <c r="S23" s="30">
        <v>15085.5</v>
      </c>
      <c r="T23" s="30">
        <v>4014.5</v>
      </c>
      <c r="U23" s="30">
        <v>16116246</v>
      </c>
      <c r="V23" s="30">
        <v>4014.5</v>
      </c>
      <c r="W23" s="23"/>
      <c r="X23" s="30">
        <v>15774.08</v>
      </c>
      <c r="Y23" s="30">
        <v>3325.92</v>
      </c>
      <c r="Z23" s="30">
        <v>11061757.4</v>
      </c>
      <c r="AA23" s="30">
        <v>3325.9</v>
      </c>
      <c r="AB23" s="23"/>
      <c r="AC23" s="30">
        <v>16477.400000000001</v>
      </c>
      <c r="AD23" s="30">
        <v>2622.6</v>
      </c>
      <c r="AE23" s="30">
        <v>6878009.0999999996</v>
      </c>
      <c r="AF23" s="30">
        <v>2622.6</v>
      </c>
      <c r="AG23" s="23"/>
      <c r="AH23" s="30">
        <v>17197.41</v>
      </c>
      <c r="AI23" s="30">
        <v>1902.59</v>
      </c>
      <c r="AJ23" s="30">
        <v>3619851.3</v>
      </c>
      <c r="AK23" s="30">
        <v>1902.6</v>
      </c>
      <c r="AL23" s="23"/>
      <c r="AM23" s="30">
        <v>17937.22</v>
      </c>
      <c r="AN23" s="30">
        <v>1162.78</v>
      </c>
      <c r="AO23" s="30">
        <v>1352066.6</v>
      </c>
      <c r="AP23" s="30">
        <v>1162.8</v>
      </c>
      <c r="AQ23" s="23"/>
      <c r="AR23" s="30">
        <v>18700.509999999998</v>
      </c>
      <c r="AS23" s="27">
        <v>399.49</v>
      </c>
      <c r="AT23" s="30">
        <v>159592.9</v>
      </c>
      <c r="AU23" s="27">
        <v>399.5</v>
      </c>
    </row>
    <row r="24" spans="1:47" ht="18" x14ac:dyDescent="0.2">
      <c r="A24" s="26">
        <v>45906</v>
      </c>
      <c r="B24" s="40">
        <v>10001</v>
      </c>
      <c r="C24" s="23"/>
      <c r="D24" s="30">
        <v>13353.07</v>
      </c>
      <c r="E24" s="30">
        <v>-3352.07</v>
      </c>
      <c r="F24" s="30">
        <v>11236375</v>
      </c>
      <c r="G24" s="30">
        <v>3352.1</v>
      </c>
      <c r="H24" s="23"/>
      <c r="I24" s="30">
        <v>14768.51</v>
      </c>
      <c r="J24" s="30">
        <v>-4767.51</v>
      </c>
      <c r="K24" s="30">
        <v>22729156.600000001</v>
      </c>
      <c r="L24" s="30">
        <v>4767.5</v>
      </c>
      <c r="M24" s="23"/>
      <c r="N24" s="30">
        <v>15813.12</v>
      </c>
      <c r="O24" s="30">
        <v>-5812.12</v>
      </c>
      <c r="P24" s="30">
        <v>33780719.200000003</v>
      </c>
      <c r="Q24" s="30">
        <v>5812.1</v>
      </c>
      <c r="R24" s="23"/>
      <c r="S24" s="30">
        <v>16691.3</v>
      </c>
      <c r="T24" s="30">
        <v>-6690.3</v>
      </c>
      <c r="U24" s="30">
        <v>44760078.399999999</v>
      </c>
      <c r="V24" s="30">
        <v>6690.3</v>
      </c>
      <c r="W24" s="23"/>
      <c r="X24" s="30">
        <v>17437.04</v>
      </c>
      <c r="Y24" s="30">
        <v>-7436.04</v>
      </c>
      <c r="Z24" s="30">
        <v>55294675.700000003</v>
      </c>
      <c r="AA24" s="30">
        <v>7436</v>
      </c>
      <c r="AB24" s="23"/>
      <c r="AC24" s="30">
        <v>18050.96</v>
      </c>
      <c r="AD24" s="30">
        <v>-8049.96</v>
      </c>
      <c r="AE24" s="30">
        <v>64801882.600000001</v>
      </c>
      <c r="AF24" s="30">
        <v>8050</v>
      </c>
      <c r="AG24" s="23"/>
      <c r="AH24" s="30">
        <v>18529.22</v>
      </c>
      <c r="AI24" s="30">
        <v>-8528.2199999999993</v>
      </c>
      <c r="AJ24" s="30">
        <v>72730584.099999994</v>
      </c>
      <c r="AK24" s="30">
        <v>8528.2000000000007</v>
      </c>
      <c r="AL24" s="23"/>
      <c r="AM24" s="30">
        <v>18867.439999999999</v>
      </c>
      <c r="AN24" s="30">
        <v>-8866.44</v>
      </c>
      <c r="AO24" s="30">
        <v>78613815.099999994</v>
      </c>
      <c r="AP24" s="30">
        <v>8866.4</v>
      </c>
      <c r="AQ24" s="23"/>
      <c r="AR24" s="30">
        <v>19060.05</v>
      </c>
      <c r="AS24" s="30">
        <v>-9059.0499999999993</v>
      </c>
      <c r="AT24" s="30">
        <v>82066403.700000003</v>
      </c>
      <c r="AU24" s="30">
        <v>9059.1</v>
      </c>
    </row>
    <row r="25" spans="1:47" ht="18" x14ac:dyDescent="0.2">
      <c r="A25" s="26">
        <v>45936</v>
      </c>
      <c r="B25" s="40">
        <v>8335</v>
      </c>
      <c r="C25" s="23"/>
      <c r="D25" s="30">
        <v>13017.86</v>
      </c>
      <c r="E25" s="30">
        <v>-4682.8599999999997</v>
      </c>
      <c r="F25" s="30">
        <v>21929208.100000001</v>
      </c>
      <c r="G25" s="30">
        <v>4682.8999999999996</v>
      </c>
      <c r="H25" s="23"/>
      <c r="I25" s="30">
        <v>13815.01</v>
      </c>
      <c r="J25" s="30">
        <v>-5480.01</v>
      </c>
      <c r="K25" s="30">
        <v>30030492.300000001</v>
      </c>
      <c r="L25" s="30">
        <v>5480</v>
      </c>
      <c r="M25" s="23"/>
      <c r="N25" s="30">
        <v>14069.48</v>
      </c>
      <c r="O25" s="30">
        <v>-5734.48</v>
      </c>
      <c r="P25" s="30">
        <v>32884293.199999999</v>
      </c>
      <c r="Q25" s="30">
        <v>5734.5</v>
      </c>
      <c r="R25" s="23"/>
      <c r="S25" s="30">
        <v>14015.18</v>
      </c>
      <c r="T25" s="30">
        <v>-5680.18</v>
      </c>
      <c r="U25" s="30">
        <v>32264426.600000001</v>
      </c>
      <c r="V25" s="30">
        <v>5680.2</v>
      </c>
      <c r="W25" s="23"/>
      <c r="X25" s="30">
        <v>13719.02</v>
      </c>
      <c r="Y25" s="30">
        <v>-5384.02</v>
      </c>
      <c r="Z25" s="30">
        <v>28987665.899999999</v>
      </c>
      <c r="AA25" s="30">
        <v>5384</v>
      </c>
      <c r="AB25" s="23"/>
      <c r="AC25" s="30">
        <v>13220.98</v>
      </c>
      <c r="AD25" s="30">
        <v>-4885.9799999999996</v>
      </c>
      <c r="AE25" s="30">
        <v>23872846.100000001</v>
      </c>
      <c r="AF25" s="30">
        <v>4886</v>
      </c>
      <c r="AG25" s="23"/>
      <c r="AH25" s="30">
        <v>12559.47</v>
      </c>
      <c r="AI25" s="30">
        <v>-4224.47</v>
      </c>
      <c r="AJ25" s="30">
        <v>17846120.100000001</v>
      </c>
      <c r="AK25" s="30">
        <v>4224.5</v>
      </c>
      <c r="AL25" s="23"/>
      <c r="AM25" s="30">
        <v>11774.29</v>
      </c>
      <c r="AN25" s="30">
        <v>-3439.29</v>
      </c>
      <c r="AO25" s="30">
        <v>11828706.4</v>
      </c>
      <c r="AP25" s="30">
        <v>3439.3</v>
      </c>
      <c r="AQ25" s="23"/>
      <c r="AR25" s="30">
        <v>10906.91</v>
      </c>
      <c r="AS25" s="30">
        <v>-2571.91</v>
      </c>
      <c r="AT25" s="30">
        <v>6614695.7999999998</v>
      </c>
      <c r="AU25" s="30">
        <v>2571.9</v>
      </c>
    </row>
    <row r="26" spans="1:47" ht="18" x14ac:dyDescent="0.2">
      <c r="A26" s="26">
        <v>45967</v>
      </c>
      <c r="B26" s="40">
        <v>9520</v>
      </c>
      <c r="C26" s="23"/>
      <c r="D26" s="30">
        <v>12549.58</v>
      </c>
      <c r="E26" s="30">
        <v>-3029.58</v>
      </c>
      <c r="F26" s="30">
        <v>9178336.3000000007</v>
      </c>
      <c r="G26" s="30">
        <v>3029.6</v>
      </c>
      <c r="H26" s="23"/>
      <c r="I26" s="30">
        <v>12719.01</v>
      </c>
      <c r="J26" s="30">
        <v>-3199.01</v>
      </c>
      <c r="K26" s="30">
        <v>10233644.1</v>
      </c>
      <c r="L26" s="30">
        <v>3199</v>
      </c>
      <c r="M26" s="23"/>
      <c r="N26" s="30">
        <v>12349.14</v>
      </c>
      <c r="O26" s="30">
        <v>-2829.14</v>
      </c>
      <c r="P26" s="30">
        <v>8004021.7000000002</v>
      </c>
      <c r="Q26" s="30">
        <v>2829.1</v>
      </c>
      <c r="R26" s="23"/>
      <c r="S26" s="30">
        <v>11743.11</v>
      </c>
      <c r="T26" s="30">
        <v>-2223.11</v>
      </c>
      <c r="U26" s="30">
        <v>4942204.9000000004</v>
      </c>
      <c r="V26" s="30">
        <v>2223.1</v>
      </c>
      <c r="W26" s="23"/>
      <c r="X26" s="30">
        <v>11027.01</v>
      </c>
      <c r="Y26" s="30">
        <v>-1507.01</v>
      </c>
      <c r="Z26" s="30">
        <v>2271078.3999999999</v>
      </c>
      <c r="AA26" s="30">
        <v>1507</v>
      </c>
      <c r="AB26" s="23"/>
      <c r="AC26" s="30">
        <v>10289.39</v>
      </c>
      <c r="AD26" s="27">
        <v>-769.39</v>
      </c>
      <c r="AE26" s="30">
        <v>591966.9</v>
      </c>
      <c r="AF26" s="27">
        <v>769.4</v>
      </c>
      <c r="AG26" s="23"/>
      <c r="AH26" s="30">
        <v>9602.34</v>
      </c>
      <c r="AI26" s="27">
        <v>-82.34</v>
      </c>
      <c r="AJ26" s="30">
        <v>6779.9</v>
      </c>
      <c r="AK26" s="27">
        <v>82.3</v>
      </c>
      <c r="AL26" s="23"/>
      <c r="AM26" s="30">
        <v>9022.86</v>
      </c>
      <c r="AN26" s="27">
        <v>497.14</v>
      </c>
      <c r="AO26" s="30">
        <v>247150.4</v>
      </c>
      <c r="AP26" s="27">
        <v>497.1</v>
      </c>
      <c r="AQ26" s="23"/>
      <c r="AR26" s="30">
        <v>8592.19</v>
      </c>
      <c r="AS26" s="27">
        <v>927.81</v>
      </c>
      <c r="AT26" s="30">
        <v>860830.5</v>
      </c>
      <c r="AU26" s="27">
        <v>927.8</v>
      </c>
    </row>
    <row r="27" spans="1:47" ht="18" x14ac:dyDescent="0.2">
      <c r="A27" s="26">
        <v>45997</v>
      </c>
      <c r="B27" s="40">
        <v>14962</v>
      </c>
      <c r="C27" s="23"/>
      <c r="D27" s="30">
        <v>12246.62</v>
      </c>
      <c r="E27" s="30">
        <v>2715.38</v>
      </c>
      <c r="F27" s="30">
        <v>7373292.7999999998</v>
      </c>
      <c r="G27" s="30">
        <v>2715.4</v>
      </c>
      <c r="H27" s="23"/>
      <c r="I27" s="30">
        <v>12079.21</v>
      </c>
      <c r="J27" s="30">
        <v>2882.79</v>
      </c>
      <c r="K27" s="30">
        <v>8310504.7999999998</v>
      </c>
      <c r="L27" s="30">
        <v>2882.8</v>
      </c>
      <c r="M27" s="23"/>
      <c r="N27" s="30">
        <v>11500.4</v>
      </c>
      <c r="O27" s="30">
        <v>3461.6</v>
      </c>
      <c r="P27" s="30">
        <v>11982698.199999999</v>
      </c>
      <c r="Q27" s="30">
        <v>3461.6</v>
      </c>
      <c r="R27" s="23"/>
      <c r="S27" s="30">
        <v>10853.86</v>
      </c>
      <c r="T27" s="30">
        <v>4108.1400000000003</v>
      </c>
      <c r="U27" s="30">
        <v>16876779.600000001</v>
      </c>
      <c r="V27" s="30">
        <v>4108.1000000000004</v>
      </c>
      <c r="W27" s="23"/>
      <c r="X27" s="30">
        <v>10273.5</v>
      </c>
      <c r="Y27" s="30">
        <v>4688.5</v>
      </c>
      <c r="Z27" s="30">
        <v>21981986.600000001</v>
      </c>
      <c r="AA27" s="30">
        <v>4688.5</v>
      </c>
      <c r="AB27" s="23"/>
      <c r="AC27" s="30">
        <v>9827.76</v>
      </c>
      <c r="AD27" s="30">
        <v>5134.24</v>
      </c>
      <c r="AE27" s="30">
        <v>26360445.600000001</v>
      </c>
      <c r="AF27" s="30">
        <v>5134.2</v>
      </c>
      <c r="AG27" s="23"/>
      <c r="AH27" s="30">
        <v>9544.7000000000007</v>
      </c>
      <c r="AI27" s="30">
        <v>5417.3</v>
      </c>
      <c r="AJ27" s="30">
        <v>29347117.5</v>
      </c>
      <c r="AK27" s="30">
        <v>5417.3</v>
      </c>
      <c r="AL27" s="23"/>
      <c r="AM27" s="30">
        <v>9420.57</v>
      </c>
      <c r="AN27" s="30">
        <v>5541.43</v>
      </c>
      <c r="AO27" s="30">
        <v>30707429.300000001</v>
      </c>
      <c r="AP27" s="30">
        <v>5541.4</v>
      </c>
      <c r="AQ27" s="23"/>
      <c r="AR27" s="30">
        <v>9427.2199999999993</v>
      </c>
      <c r="AS27" s="30">
        <v>5534.78</v>
      </c>
      <c r="AT27" s="30">
        <v>30633800.199999999</v>
      </c>
      <c r="AU27" s="30">
        <v>5534.8</v>
      </c>
    </row>
    <row r="28" spans="1:47" ht="18" x14ac:dyDescent="0.2">
      <c r="A28" s="26">
        <v>45664</v>
      </c>
      <c r="B28" s="40">
        <v>9375</v>
      </c>
      <c r="C28" s="23"/>
      <c r="D28" s="30">
        <v>12518.16</v>
      </c>
      <c r="E28" s="30">
        <v>-3143.16</v>
      </c>
      <c r="F28" s="30">
        <v>9879437.8000000007</v>
      </c>
      <c r="G28" s="30">
        <v>3143.2</v>
      </c>
      <c r="H28" s="23"/>
      <c r="I28" s="30">
        <v>12655.76</v>
      </c>
      <c r="J28" s="30">
        <v>-3280.76</v>
      </c>
      <c r="K28" s="30">
        <v>10763414.5</v>
      </c>
      <c r="L28" s="30">
        <v>3280.8</v>
      </c>
      <c r="M28" s="23"/>
      <c r="N28" s="30">
        <v>12538.88</v>
      </c>
      <c r="O28" s="30">
        <v>-3163.88</v>
      </c>
      <c r="P28" s="30">
        <v>10010121.5</v>
      </c>
      <c r="Q28" s="30">
        <v>3163.9</v>
      </c>
      <c r="R28" s="23"/>
      <c r="S28" s="30">
        <v>12497.12</v>
      </c>
      <c r="T28" s="30">
        <v>-3122.12</v>
      </c>
      <c r="U28" s="30">
        <v>9747624.0999999996</v>
      </c>
      <c r="V28" s="30">
        <v>3122.1</v>
      </c>
      <c r="W28" s="23"/>
      <c r="X28" s="30">
        <v>12617.75</v>
      </c>
      <c r="Y28" s="30">
        <v>-3242.75</v>
      </c>
      <c r="Z28" s="30">
        <v>10515443.4</v>
      </c>
      <c r="AA28" s="30">
        <v>3242.8</v>
      </c>
      <c r="AB28" s="23"/>
      <c r="AC28" s="30">
        <v>12908.3</v>
      </c>
      <c r="AD28" s="30">
        <v>-3533.3</v>
      </c>
      <c r="AE28" s="30">
        <v>12484230.199999999</v>
      </c>
      <c r="AF28" s="30">
        <v>3533.3</v>
      </c>
      <c r="AG28" s="23"/>
      <c r="AH28" s="30">
        <v>13336.81</v>
      </c>
      <c r="AI28" s="30">
        <v>-3961.81</v>
      </c>
      <c r="AJ28" s="30">
        <v>15695943.300000001</v>
      </c>
      <c r="AK28" s="30">
        <v>3961.8</v>
      </c>
      <c r="AL28" s="23"/>
      <c r="AM28" s="30">
        <v>13853.71</v>
      </c>
      <c r="AN28" s="30">
        <v>-4478.71</v>
      </c>
      <c r="AO28" s="30">
        <v>20058881.899999999</v>
      </c>
      <c r="AP28" s="30">
        <v>4478.7</v>
      </c>
      <c r="AQ28" s="23"/>
      <c r="AR28" s="30">
        <v>14408.52</v>
      </c>
      <c r="AS28" s="30">
        <v>-5033.5200000000004</v>
      </c>
      <c r="AT28" s="30">
        <v>25336342.800000001</v>
      </c>
      <c r="AU28" s="30">
        <v>5033.5</v>
      </c>
    </row>
    <row r="29" spans="1:47" ht="18" x14ac:dyDescent="0.2">
      <c r="A29" s="26">
        <v>45695</v>
      </c>
      <c r="B29" s="40">
        <v>10367</v>
      </c>
      <c r="C29" s="23"/>
      <c r="D29" s="30">
        <v>12203.84</v>
      </c>
      <c r="E29" s="30">
        <v>-1836.84</v>
      </c>
      <c r="F29" s="30">
        <v>3373986.9</v>
      </c>
      <c r="G29" s="30">
        <v>1836.8</v>
      </c>
      <c r="H29" s="23"/>
      <c r="I29" s="30">
        <v>11999.61</v>
      </c>
      <c r="J29" s="30">
        <v>-1632.61</v>
      </c>
      <c r="K29" s="30">
        <v>2665420.1</v>
      </c>
      <c r="L29" s="30">
        <v>1632.6</v>
      </c>
      <c r="M29" s="23"/>
      <c r="N29" s="30">
        <v>11589.71</v>
      </c>
      <c r="O29" s="30">
        <v>-1222.71</v>
      </c>
      <c r="P29" s="30">
        <v>1495030.3</v>
      </c>
      <c r="Q29" s="30">
        <v>1222.7</v>
      </c>
      <c r="R29" s="23"/>
      <c r="S29" s="30">
        <v>11248.27</v>
      </c>
      <c r="T29" s="27">
        <v>-881.27</v>
      </c>
      <c r="U29" s="30">
        <v>776638.8</v>
      </c>
      <c r="V29" s="27">
        <v>881.3</v>
      </c>
      <c r="W29" s="23"/>
      <c r="X29" s="30">
        <v>10996.38</v>
      </c>
      <c r="Y29" s="27">
        <v>-629.38</v>
      </c>
      <c r="Z29" s="30">
        <v>396114.4</v>
      </c>
      <c r="AA29" s="27">
        <v>629.4</v>
      </c>
      <c r="AB29" s="23"/>
      <c r="AC29" s="30">
        <v>10788.32</v>
      </c>
      <c r="AD29" s="27">
        <v>-421.32</v>
      </c>
      <c r="AE29" s="30">
        <v>177511.6</v>
      </c>
      <c r="AF29" s="27">
        <v>421.3</v>
      </c>
      <c r="AG29" s="23"/>
      <c r="AH29" s="30">
        <v>10563.54</v>
      </c>
      <c r="AI29" s="27">
        <v>-196.54</v>
      </c>
      <c r="AJ29" s="30">
        <v>38629.199999999997</v>
      </c>
      <c r="AK29" s="27">
        <v>196.5</v>
      </c>
      <c r="AL29" s="23"/>
      <c r="AM29" s="30">
        <v>10270.74</v>
      </c>
      <c r="AN29" s="27">
        <v>96.26</v>
      </c>
      <c r="AO29" s="30">
        <v>9265.4</v>
      </c>
      <c r="AP29" s="27">
        <v>96.3</v>
      </c>
      <c r="AQ29" s="23"/>
      <c r="AR29" s="30">
        <v>9878.35</v>
      </c>
      <c r="AS29" s="27">
        <v>488.65</v>
      </c>
      <c r="AT29" s="30">
        <v>238776.7</v>
      </c>
      <c r="AU29" s="27">
        <v>488.6</v>
      </c>
    </row>
    <row r="30" spans="1:47" ht="18" x14ac:dyDescent="0.2">
      <c r="A30" s="26">
        <v>45723</v>
      </c>
      <c r="B30" s="40">
        <v>14339</v>
      </c>
      <c r="C30" s="23"/>
      <c r="D30" s="30">
        <v>12020.16</v>
      </c>
      <c r="E30" s="30">
        <v>2318.84</v>
      </c>
      <c r="F30" s="30">
        <v>5377030.9000000004</v>
      </c>
      <c r="G30" s="30">
        <v>2318.8000000000002</v>
      </c>
      <c r="H30" s="23"/>
      <c r="I30" s="30">
        <v>11673.09</v>
      </c>
      <c r="J30" s="30">
        <v>2665.91</v>
      </c>
      <c r="K30" s="30">
        <v>7107080.5999999996</v>
      </c>
      <c r="L30" s="30">
        <v>2665.9</v>
      </c>
      <c r="M30" s="23"/>
      <c r="N30" s="30">
        <v>11222.9</v>
      </c>
      <c r="O30" s="30">
        <v>3116.1</v>
      </c>
      <c r="P30" s="30">
        <v>9710079</v>
      </c>
      <c r="Q30" s="30">
        <v>3116.1</v>
      </c>
      <c r="R30" s="23"/>
      <c r="S30" s="30">
        <v>10895.76</v>
      </c>
      <c r="T30" s="30">
        <v>3443.24</v>
      </c>
      <c r="U30" s="30">
        <v>11855883.300000001</v>
      </c>
      <c r="V30" s="30">
        <v>3443.2</v>
      </c>
      <c r="W30" s="23"/>
      <c r="X30" s="30">
        <v>10681.69</v>
      </c>
      <c r="Y30" s="30">
        <v>3657.31</v>
      </c>
      <c r="Z30" s="30">
        <v>13375930.300000001</v>
      </c>
      <c r="AA30" s="30">
        <v>3657.3</v>
      </c>
      <c r="AB30" s="23"/>
      <c r="AC30" s="30">
        <v>10535.53</v>
      </c>
      <c r="AD30" s="30">
        <v>3803.47</v>
      </c>
      <c r="AE30" s="30">
        <v>14466395.6</v>
      </c>
      <c r="AF30" s="30">
        <v>3803.5</v>
      </c>
      <c r="AG30" s="23"/>
      <c r="AH30" s="30">
        <v>10425.959999999999</v>
      </c>
      <c r="AI30" s="30">
        <v>3913.04</v>
      </c>
      <c r="AJ30" s="30">
        <v>15311858.9</v>
      </c>
      <c r="AK30" s="30">
        <v>3913</v>
      </c>
      <c r="AL30" s="23"/>
      <c r="AM30" s="30">
        <v>10347.75</v>
      </c>
      <c r="AN30" s="30">
        <v>3991.25</v>
      </c>
      <c r="AO30" s="30">
        <v>15930088</v>
      </c>
      <c r="AP30" s="30">
        <v>3991.3</v>
      </c>
      <c r="AQ30" s="23"/>
      <c r="AR30" s="30">
        <v>10318.14</v>
      </c>
      <c r="AS30" s="30">
        <v>4020.86</v>
      </c>
      <c r="AT30" s="30">
        <v>16167353.6</v>
      </c>
      <c r="AU30" s="30">
        <v>4020.9</v>
      </c>
    </row>
    <row r="31" spans="1:47" ht="18" x14ac:dyDescent="0.2">
      <c r="A31" s="26">
        <v>45754</v>
      </c>
      <c r="B31" s="40">
        <v>12047</v>
      </c>
      <c r="C31" s="23"/>
      <c r="D31" s="30">
        <v>12252.04</v>
      </c>
      <c r="E31" s="27">
        <v>-205.04</v>
      </c>
      <c r="F31" s="30">
        <v>42042.1</v>
      </c>
      <c r="G31" s="27">
        <v>205</v>
      </c>
      <c r="H31" s="23"/>
      <c r="I31" s="30">
        <v>12206.27</v>
      </c>
      <c r="J31" s="27">
        <v>-159.27000000000001</v>
      </c>
      <c r="K31" s="30">
        <v>25367.4</v>
      </c>
      <c r="L31" s="27">
        <v>159.30000000000001</v>
      </c>
      <c r="M31" s="23"/>
      <c r="N31" s="30">
        <v>12157.73</v>
      </c>
      <c r="O31" s="27">
        <v>-110.73</v>
      </c>
      <c r="P31" s="30">
        <v>12261.1</v>
      </c>
      <c r="Q31" s="27">
        <v>110.7</v>
      </c>
      <c r="R31" s="23"/>
      <c r="S31" s="30">
        <v>12273.06</v>
      </c>
      <c r="T31" s="27">
        <v>-226.06</v>
      </c>
      <c r="U31" s="30">
        <v>51102</v>
      </c>
      <c r="V31" s="27">
        <v>226.1</v>
      </c>
      <c r="W31" s="23"/>
      <c r="X31" s="30">
        <v>12510.34</v>
      </c>
      <c r="Y31" s="27">
        <v>-463.34</v>
      </c>
      <c r="Z31" s="30">
        <v>214687.7</v>
      </c>
      <c r="AA31" s="27">
        <v>463.3</v>
      </c>
      <c r="AB31" s="23"/>
      <c r="AC31" s="30">
        <v>12817.61</v>
      </c>
      <c r="AD31" s="27">
        <v>-770.61</v>
      </c>
      <c r="AE31" s="30">
        <v>593841.9</v>
      </c>
      <c r="AF31" s="27">
        <v>770.6</v>
      </c>
      <c r="AG31" s="23"/>
      <c r="AH31" s="30">
        <v>13165.09</v>
      </c>
      <c r="AI31" s="30">
        <v>-1118.0899999999999</v>
      </c>
      <c r="AJ31" s="30">
        <v>1250122.8</v>
      </c>
      <c r="AK31" s="30">
        <v>1118.0999999999999</v>
      </c>
      <c r="AL31" s="23"/>
      <c r="AM31" s="30">
        <v>13540.75</v>
      </c>
      <c r="AN31" s="30">
        <v>-1493.75</v>
      </c>
      <c r="AO31" s="30">
        <v>2231288.2000000002</v>
      </c>
      <c r="AP31" s="30">
        <v>1493.7</v>
      </c>
      <c r="AQ31" s="23"/>
      <c r="AR31" s="30">
        <v>13936.91</v>
      </c>
      <c r="AS31" s="30">
        <v>-1889.91</v>
      </c>
      <c r="AT31" s="30">
        <v>3571773.1</v>
      </c>
      <c r="AU31" s="30">
        <v>1889.9</v>
      </c>
    </row>
    <row r="32" spans="1:47" ht="18" x14ac:dyDescent="0.2">
      <c r="A32" s="26">
        <v>45784</v>
      </c>
      <c r="B32" s="40">
        <v>10133</v>
      </c>
      <c r="C32" s="23"/>
      <c r="D32" s="30">
        <v>12231.54</v>
      </c>
      <c r="E32" s="30">
        <v>-2098.54</v>
      </c>
      <c r="F32" s="30">
        <v>4403859.7</v>
      </c>
      <c r="G32" s="30">
        <v>2098.5</v>
      </c>
      <c r="H32" s="23"/>
      <c r="I32" s="30">
        <v>12174.42</v>
      </c>
      <c r="J32" s="30">
        <v>-2041.42</v>
      </c>
      <c r="K32" s="30">
        <v>4167383.6</v>
      </c>
      <c r="L32" s="30">
        <v>2041.4</v>
      </c>
      <c r="M32" s="23"/>
      <c r="N32" s="30">
        <v>12124.51</v>
      </c>
      <c r="O32" s="30">
        <v>-1991.51</v>
      </c>
      <c r="P32" s="30">
        <v>3966116.1</v>
      </c>
      <c r="Q32" s="30">
        <v>1991.5</v>
      </c>
      <c r="R32" s="23"/>
      <c r="S32" s="30">
        <v>12182.63</v>
      </c>
      <c r="T32" s="30">
        <v>-2049.63</v>
      </c>
      <c r="U32" s="30">
        <v>4201001.8</v>
      </c>
      <c r="V32" s="30">
        <v>2049.6</v>
      </c>
      <c r="W32" s="23"/>
      <c r="X32" s="30">
        <v>12278.67</v>
      </c>
      <c r="Y32" s="30">
        <v>-2145.67</v>
      </c>
      <c r="Z32" s="30">
        <v>4603908.4000000004</v>
      </c>
      <c r="AA32" s="30">
        <v>2145.6999999999998</v>
      </c>
      <c r="AB32" s="23"/>
      <c r="AC32" s="30">
        <v>12355.24</v>
      </c>
      <c r="AD32" s="30">
        <v>-2222.2399999999998</v>
      </c>
      <c r="AE32" s="30">
        <v>4938370.9000000004</v>
      </c>
      <c r="AF32" s="30">
        <v>2222.1999999999998</v>
      </c>
      <c r="AG32" s="23"/>
      <c r="AH32" s="30">
        <v>12382.43</v>
      </c>
      <c r="AI32" s="30">
        <v>-2249.4299999999998</v>
      </c>
      <c r="AJ32" s="30">
        <v>5059920.3</v>
      </c>
      <c r="AK32" s="30">
        <v>2249.4</v>
      </c>
      <c r="AL32" s="23"/>
      <c r="AM32" s="30">
        <v>12345.75</v>
      </c>
      <c r="AN32" s="30">
        <v>-2212.75</v>
      </c>
      <c r="AO32" s="30">
        <v>4896262.3</v>
      </c>
      <c r="AP32" s="30">
        <v>2212.6999999999998</v>
      </c>
      <c r="AQ32" s="23"/>
      <c r="AR32" s="30">
        <v>12235.99</v>
      </c>
      <c r="AS32" s="30">
        <v>-2102.9899999999998</v>
      </c>
      <c r="AT32" s="30">
        <v>4422572.5999999996</v>
      </c>
      <c r="AU32" s="30">
        <v>2103</v>
      </c>
    </row>
    <row r="33" spans="1:47" ht="18" x14ac:dyDescent="0.2">
      <c r="A33" s="26">
        <v>45815</v>
      </c>
      <c r="B33" s="40">
        <v>10371</v>
      </c>
      <c r="C33" s="23"/>
      <c r="D33" s="30">
        <v>12021.68</v>
      </c>
      <c r="E33" s="30">
        <v>-1650.68</v>
      </c>
      <c r="F33" s="30">
        <v>2724756.9</v>
      </c>
      <c r="G33" s="30">
        <v>1650.7</v>
      </c>
      <c r="H33" s="23"/>
      <c r="I33" s="30">
        <v>11766.13</v>
      </c>
      <c r="J33" s="30">
        <v>-1395.13</v>
      </c>
      <c r="K33" s="30">
        <v>1946397.9</v>
      </c>
      <c r="L33" s="30">
        <v>1395.1</v>
      </c>
      <c r="M33" s="23"/>
      <c r="N33" s="30">
        <v>11527.06</v>
      </c>
      <c r="O33" s="30">
        <v>-1156.06</v>
      </c>
      <c r="P33" s="30">
        <v>1336469.3999999999</v>
      </c>
      <c r="Q33" s="30">
        <v>1156.0999999999999</v>
      </c>
      <c r="R33" s="23"/>
      <c r="S33" s="30">
        <v>11362.78</v>
      </c>
      <c r="T33" s="27">
        <v>-991.78</v>
      </c>
      <c r="U33" s="30">
        <v>983629</v>
      </c>
      <c r="V33" s="27">
        <v>991.8</v>
      </c>
      <c r="W33" s="23"/>
      <c r="X33" s="30">
        <v>11205.84</v>
      </c>
      <c r="Y33" s="27">
        <v>-834.84</v>
      </c>
      <c r="Z33" s="30">
        <v>696951.2</v>
      </c>
      <c r="AA33" s="27">
        <v>834.8</v>
      </c>
      <c r="AB33" s="23"/>
      <c r="AC33" s="30">
        <v>11021.9</v>
      </c>
      <c r="AD33" s="27">
        <v>-650.9</v>
      </c>
      <c r="AE33" s="30">
        <v>423668</v>
      </c>
      <c r="AF33" s="27">
        <v>650.9</v>
      </c>
      <c r="AG33" s="23"/>
      <c r="AH33" s="30">
        <v>10807.83</v>
      </c>
      <c r="AI33" s="27">
        <v>-436.83</v>
      </c>
      <c r="AJ33" s="30">
        <v>190818.7</v>
      </c>
      <c r="AK33" s="27">
        <v>436.8</v>
      </c>
      <c r="AL33" s="23"/>
      <c r="AM33" s="30">
        <v>10575.55</v>
      </c>
      <c r="AN33" s="27">
        <v>-204.55</v>
      </c>
      <c r="AO33" s="30">
        <v>41840.699999999997</v>
      </c>
      <c r="AP33" s="27">
        <v>204.5</v>
      </c>
      <c r="AQ33" s="23"/>
      <c r="AR33" s="30">
        <v>10343.299999999999</v>
      </c>
      <c r="AS33" s="27">
        <v>27.7</v>
      </c>
      <c r="AT33" s="27">
        <v>767.3</v>
      </c>
      <c r="AU33" s="27">
        <v>27.7</v>
      </c>
    </row>
    <row r="34" spans="1:47" ht="18" x14ac:dyDescent="0.2">
      <c r="A34" s="26">
        <v>45845</v>
      </c>
      <c r="B34" s="40">
        <v>13136</v>
      </c>
      <c r="C34" s="23"/>
      <c r="D34" s="30">
        <v>11856.62</v>
      </c>
      <c r="E34" s="30">
        <v>1279.3800000000001</v>
      </c>
      <c r="F34" s="30">
        <v>1636825</v>
      </c>
      <c r="G34" s="30">
        <v>1279.4000000000001</v>
      </c>
      <c r="H34" s="23"/>
      <c r="I34" s="30">
        <v>11487.11</v>
      </c>
      <c r="J34" s="30">
        <v>1648.89</v>
      </c>
      <c r="K34" s="30">
        <v>2718848.4</v>
      </c>
      <c r="L34" s="30">
        <v>1648.9</v>
      </c>
      <c r="M34" s="23"/>
      <c r="N34" s="30">
        <v>11180.24</v>
      </c>
      <c r="O34" s="30">
        <v>1955.76</v>
      </c>
      <c r="P34" s="30">
        <v>3824995.6</v>
      </c>
      <c r="Q34" s="30">
        <v>1955.8</v>
      </c>
      <c r="R34" s="23"/>
      <c r="S34" s="30">
        <v>10966.07</v>
      </c>
      <c r="T34" s="30">
        <v>2169.9299999999998</v>
      </c>
      <c r="U34" s="30">
        <v>4708603</v>
      </c>
      <c r="V34" s="30">
        <v>2169.9</v>
      </c>
      <c r="W34" s="23"/>
      <c r="X34" s="30">
        <v>10788.42</v>
      </c>
      <c r="Y34" s="30">
        <v>2347.58</v>
      </c>
      <c r="Z34" s="30">
        <v>5511141.2000000002</v>
      </c>
      <c r="AA34" s="30">
        <v>2347.6</v>
      </c>
      <c r="AB34" s="23"/>
      <c r="AC34" s="30">
        <v>10631.36</v>
      </c>
      <c r="AD34" s="30">
        <v>2504.64</v>
      </c>
      <c r="AE34" s="30">
        <v>6273225.9000000004</v>
      </c>
      <c r="AF34" s="30">
        <v>2504.6</v>
      </c>
      <c r="AG34" s="23"/>
      <c r="AH34" s="30">
        <v>10502.05</v>
      </c>
      <c r="AI34" s="30">
        <v>2633.95</v>
      </c>
      <c r="AJ34" s="30">
        <v>6937701</v>
      </c>
      <c r="AK34" s="30">
        <v>2634</v>
      </c>
      <c r="AL34" s="23"/>
      <c r="AM34" s="30">
        <v>10411.91</v>
      </c>
      <c r="AN34" s="30">
        <v>2724.09</v>
      </c>
      <c r="AO34" s="30">
        <v>7420666.2999999998</v>
      </c>
      <c r="AP34" s="30">
        <v>2724.1</v>
      </c>
      <c r="AQ34" s="23"/>
      <c r="AR34" s="30">
        <v>10368.23</v>
      </c>
      <c r="AS34" s="30">
        <v>2767.77</v>
      </c>
      <c r="AT34" s="30">
        <v>7660551.2999999998</v>
      </c>
      <c r="AU34" s="30">
        <v>2767.8</v>
      </c>
    </row>
    <row r="35" spans="1:47" ht="18" x14ac:dyDescent="0.2">
      <c r="A35" s="26">
        <v>45876</v>
      </c>
      <c r="B35" s="40">
        <v>9504</v>
      </c>
      <c r="C35" s="23"/>
      <c r="D35" s="30">
        <v>11984.55</v>
      </c>
      <c r="E35" s="30">
        <v>-2480.5500000000002</v>
      </c>
      <c r="F35" s="30">
        <v>6153147.4000000004</v>
      </c>
      <c r="G35" s="30">
        <v>2480.6</v>
      </c>
      <c r="H35" s="23"/>
      <c r="I35" s="30">
        <v>11816.89</v>
      </c>
      <c r="J35" s="30">
        <v>-2312.89</v>
      </c>
      <c r="K35" s="30">
        <v>5349439.5</v>
      </c>
      <c r="L35" s="30">
        <v>2312.9</v>
      </c>
      <c r="M35" s="23"/>
      <c r="N35" s="30">
        <v>11766.97</v>
      </c>
      <c r="O35" s="30">
        <v>-2262.9699999999998</v>
      </c>
      <c r="P35" s="30">
        <v>5121025.4000000004</v>
      </c>
      <c r="Q35" s="30">
        <v>2263</v>
      </c>
      <c r="R35" s="23"/>
      <c r="S35" s="30">
        <v>11834.04</v>
      </c>
      <c r="T35" s="30">
        <v>-2330.04</v>
      </c>
      <c r="U35" s="30">
        <v>5429091.4000000004</v>
      </c>
      <c r="V35" s="30">
        <v>2330</v>
      </c>
      <c r="W35" s="23"/>
      <c r="X35" s="30">
        <v>11962.21</v>
      </c>
      <c r="Y35" s="30">
        <v>-2458.21</v>
      </c>
      <c r="Z35" s="30">
        <v>6042791.5</v>
      </c>
      <c r="AA35" s="30">
        <v>2458.1999999999998</v>
      </c>
      <c r="AB35" s="23"/>
      <c r="AC35" s="30">
        <v>12134.14</v>
      </c>
      <c r="AD35" s="30">
        <v>-2630.14</v>
      </c>
      <c r="AE35" s="30">
        <v>6917655.5999999996</v>
      </c>
      <c r="AF35" s="30">
        <v>2630.1</v>
      </c>
      <c r="AG35" s="23"/>
      <c r="AH35" s="30">
        <v>12345.81</v>
      </c>
      <c r="AI35" s="30">
        <v>-2841.81</v>
      </c>
      <c r="AJ35" s="30">
        <v>8075909.7999999998</v>
      </c>
      <c r="AK35" s="30">
        <v>2841.8</v>
      </c>
      <c r="AL35" s="23"/>
      <c r="AM35" s="30">
        <v>12591.18</v>
      </c>
      <c r="AN35" s="30">
        <v>-3087.18</v>
      </c>
      <c r="AO35" s="30">
        <v>9530692.6999999993</v>
      </c>
      <c r="AP35" s="30">
        <v>3087.2</v>
      </c>
      <c r="AQ35" s="23"/>
      <c r="AR35" s="30">
        <v>12859.22</v>
      </c>
      <c r="AS35" s="30">
        <v>-3355.22</v>
      </c>
      <c r="AT35" s="30">
        <v>11257521.300000001</v>
      </c>
      <c r="AU35" s="30">
        <v>3355.2</v>
      </c>
    </row>
    <row r="36" spans="1:47" ht="18" x14ac:dyDescent="0.2">
      <c r="A36" s="26">
        <v>45907</v>
      </c>
      <c r="B36" s="40">
        <v>6191</v>
      </c>
      <c r="C36" s="23"/>
      <c r="D36" s="30">
        <v>11736.5</v>
      </c>
      <c r="E36" s="30">
        <v>-5545.5</v>
      </c>
      <c r="F36" s="30">
        <v>30752553.100000001</v>
      </c>
      <c r="G36" s="30">
        <v>5545.5</v>
      </c>
      <c r="H36" s="23"/>
      <c r="I36" s="30">
        <v>11354.31</v>
      </c>
      <c r="J36" s="30">
        <v>-5163.3100000000004</v>
      </c>
      <c r="K36" s="30">
        <v>26659753.899999999</v>
      </c>
      <c r="L36" s="30">
        <v>5163.3</v>
      </c>
      <c r="M36" s="23"/>
      <c r="N36" s="30">
        <v>11088.08</v>
      </c>
      <c r="O36" s="30">
        <v>-4897.08</v>
      </c>
      <c r="P36" s="30">
        <v>23981370.899999999</v>
      </c>
      <c r="Q36" s="30">
        <v>4897.1000000000004</v>
      </c>
      <c r="R36" s="23"/>
      <c r="S36" s="30">
        <v>10902.02</v>
      </c>
      <c r="T36" s="30">
        <v>-4711.0200000000004</v>
      </c>
      <c r="U36" s="30">
        <v>22193753.199999999</v>
      </c>
      <c r="V36" s="30">
        <v>4711</v>
      </c>
      <c r="W36" s="23"/>
      <c r="X36" s="30">
        <v>10733.1</v>
      </c>
      <c r="Y36" s="30">
        <v>-4542.1000000000004</v>
      </c>
      <c r="Z36" s="30">
        <v>20630713.300000001</v>
      </c>
      <c r="AA36" s="30">
        <v>4542.1000000000004</v>
      </c>
      <c r="AB36" s="23"/>
      <c r="AC36" s="30">
        <v>10556.06</v>
      </c>
      <c r="AD36" s="30">
        <v>-4365.0600000000004</v>
      </c>
      <c r="AE36" s="30">
        <v>19053726.600000001</v>
      </c>
      <c r="AF36" s="30">
        <v>4365.1000000000004</v>
      </c>
      <c r="AG36" s="23"/>
      <c r="AH36" s="30">
        <v>10356.540000000001</v>
      </c>
      <c r="AI36" s="30">
        <v>-4165.54</v>
      </c>
      <c r="AJ36" s="30">
        <v>17351759.800000001</v>
      </c>
      <c r="AK36" s="30">
        <v>4165.5</v>
      </c>
      <c r="AL36" s="23"/>
      <c r="AM36" s="30">
        <v>10121.44</v>
      </c>
      <c r="AN36" s="30">
        <v>-3930.44</v>
      </c>
      <c r="AO36" s="30">
        <v>15448330.300000001</v>
      </c>
      <c r="AP36" s="30">
        <v>3930.4</v>
      </c>
      <c r="AQ36" s="23"/>
      <c r="AR36" s="30">
        <v>9839.52</v>
      </c>
      <c r="AS36" s="30">
        <v>-3648.52</v>
      </c>
      <c r="AT36" s="30">
        <v>13311715</v>
      </c>
      <c r="AU36" s="30">
        <v>3648.5</v>
      </c>
    </row>
    <row r="37" spans="1:47" ht="18" x14ac:dyDescent="0.2">
      <c r="A37" s="26">
        <v>45937</v>
      </c>
      <c r="B37" s="40">
        <v>5920</v>
      </c>
      <c r="C37" s="23"/>
      <c r="D37" s="30">
        <v>11181.95</v>
      </c>
      <c r="E37" s="30">
        <v>-5261.95</v>
      </c>
      <c r="F37" s="30">
        <v>27688103.199999999</v>
      </c>
      <c r="G37" s="30">
        <v>5261.9</v>
      </c>
      <c r="H37" s="23"/>
      <c r="I37" s="30">
        <v>10321.65</v>
      </c>
      <c r="J37" s="30">
        <v>-4401.6499999999996</v>
      </c>
      <c r="K37" s="30">
        <v>19374494</v>
      </c>
      <c r="L37" s="30">
        <v>4401.6000000000004</v>
      </c>
      <c r="M37" s="23"/>
      <c r="N37" s="30">
        <v>9618.9500000000007</v>
      </c>
      <c r="O37" s="30">
        <v>-3698.95</v>
      </c>
      <c r="P37" s="30">
        <v>13682264.1</v>
      </c>
      <c r="Q37" s="30">
        <v>3699</v>
      </c>
      <c r="R37" s="23"/>
      <c r="S37" s="30">
        <v>9017.61</v>
      </c>
      <c r="T37" s="30">
        <v>-3097.61</v>
      </c>
      <c r="U37" s="30">
        <v>9595217.3000000007</v>
      </c>
      <c r="V37" s="30">
        <v>3097.6</v>
      </c>
      <c r="W37" s="23"/>
      <c r="X37" s="30">
        <v>8462.0499999999993</v>
      </c>
      <c r="Y37" s="30">
        <v>-2542.0500000000002</v>
      </c>
      <c r="Z37" s="30">
        <v>6462029.5999999996</v>
      </c>
      <c r="AA37" s="30">
        <v>2542.1</v>
      </c>
      <c r="AB37" s="23"/>
      <c r="AC37" s="30">
        <v>7937.02</v>
      </c>
      <c r="AD37" s="30">
        <v>-2017.02</v>
      </c>
      <c r="AE37" s="30">
        <v>4068381.7</v>
      </c>
      <c r="AF37" s="30">
        <v>2017</v>
      </c>
      <c r="AG37" s="23"/>
      <c r="AH37" s="30">
        <v>7440.66</v>
      </c>
      <c r="AI37" s="30">
        <v>-1520.66</v>
      </c>
      <c r="AJ37" s="30">
        <v>2312416.9</v>
      </c>
      <c r="AK37" s="30">
        <v>1520.7</v>
      </c>
      <c r="AL37" s="23"/>
      <c r="AM37" s="30">
        <v>6977.09</v>
      </c>
      <c r="AN37" s="30">
        <v>-1057.0899999999999</v>
      </c>
      <c r="AO37" s="30">
        <v>1117433.5</v>
      </c>
      <c r="AP37" s="30">
        <v>1057.0999999999999</v>
      </c>
      <c r="AQ37" s="23"/>
      <c r="AR37" s="30">
        <v>6555.85</v>
      </c>
      <c r="AS37" s="27">
        <v>-635.85</v>
      </c>
      <c r="AT37" s="30">
        <v>404308.1</v>
      </c>
      <c r="AU37" s="27">
        <v>635.9</v>
      </c>
    </row>
    <row r="38" spans="1:47" ht="18" x14ac:dyDescent="0.2">
      <c r="A38" s="26">
        <v>45968</v>
      </c>
      <c r="B38" s="40">
        <v>5360</v>
      </c>
      <c r="C38" s="23"/>
      <c r="D38" s="30">
        <v>10655.75</v>
      </c>
      <c r="E38" s="30">
        <v>-5295.75</v>
      </c>
      <c r="F38" s="30">
        <v>28045007.800000001</v>
      </c>
      <c r="G38" s="30">
        <v>5295.8</v>
      </c>
      <c r="H38" s="23"/>
      <c r="I38" s="30">
        <v>9441.32</v>
      </c>
      <c r="J38" s="30">
        <v>-4081.32</v>
      </c>
      <c r="K38" s="30">
        <v>16657151.699999999</v>
      </c>
      <c r="L38" s="30">
        <v>4081.3</v>
      </c>
      <c r="M38" s="23"/>
      <c r="N38" s="30">
        <v>8509.27</v>
      </c>
      <c r="O38" s="30">
        <v>-3149.27</v>
      </c>
      <c r="P38" s="30">
        <v>9917889.6999999993</v>
      </c>
      <c r="Q38" s="30">
        <v>3149.3</v>
      </c>
      <c r="R38" s="23"/>
      <c r="S38" s="30">
        <v>7778.57</v>
      </c>
      <c r="T38" s="30">
        <v>-2418.5700000000002</v>
      </c>
      <c r="U38" s="30">
        <v>5849475.4000000004</v>
      </c>
      <c r="V38" s="30">
        <v>2418.6</v>
      </c>
      <c r="W38" s="23"/>
      <c r="X38" s="30">
        <v>7191.03</v>
      </c>
      <c r="Y38" s="30">
        <v>-1831.03</v>
      </c>
      <c r="Z38" s="30">
        <v>3352656.7</v>
      </c>
      <c r="AA38" s="30">
        <v>1831</v>
      </c>
      <c r="AB38" s="23"/>
      <c r="AC38" s="30">
        <v>6726.81</v>
      </c>
      <c r="AD38" s="30">
        <v>-1366.81</v>
      </c>
      <c r="AE38" s="30">
        <v>1868167.4</v>
      </c>
      <c r="AF38" s="30">
        <v>1366.8</v>
      </c>
      <c r="AG38" s="23"/>
      <c r="AH38" s="30">
        <v>6376.2</v>
      </c>
      <c r="AI38" s="30">
        <v>-1016.2</v>
      </c>
      <c r="AJ38" s="30">
        <v>1032660.4</v>
      </c>
      <c r="AK38" s="30">
        <v>1016.2</v>
      </c>
      <c r="AL38" s="23"/>
      <c r="AM38" s="30">
        <v>6131.42</v>
      </c>
      <c r="AN38" s="27">
        <v>-771.42</v>
      </c>
      <c r="AO38" s="30">
        <v>595084.9</v>
      </c>
      <c r="AP38" s="27">
        <v>771.4</v>
      </c>
      <c r="AQ38" s="23"/>
      <c r="AR38" s="30">
        <v>5983.59</v>
      </c>
      <c r="AS38" s="27">
        <v>-623.59</v>
      </c>
      <c r="AT38" s="30">
        <v>388858.5</v>
      </c>
      <c r="AU38" s="27">
        <v>623.6</v>
      </c>
    </row>
    <row r="39" spans="1:47" ht="18" x14ac:dyDescent="0.2">
      <c r="A39" s="26">
        <v>45998</v>
      </c>
      <c r="B39" s="40">
        <v>10403</v>
      </c>
      <c r="C39" s="23"/>
      <c r="D39" s="30">
        <v>10126.18</v>
      </c>
      <c r="E39" s="27">
        <v>276.82</v>
      </c>
      <c r="F39" s="30">
        <v>76630.2</v>
      </c>
      <c r="G39" s="27">
        <v>276.8</v>
      </c>
      <c r="H39" s="23"/>
      <c r="I39" s="30">
        <v>8625.0499999999993</v>
      </c>
      <c r="J39" s="30">
        <v>1777.95</v>
      </c>
      <c r="K39" s="30">
        <v>3161092.3</v>
      </c>
      <c r="L39" s="30">
        <v>1777.9</v>
      </c>
      <c r="M39" s="23"/>
      <c r="N39" s="30">
        <v>7564.49</v>
      </c>
      <c r="O39" s="30">
        <v>2838.51</v>
      </c>
      <c r="P39" s="30">
        <v>8057152.2000000002</v>
      </c>
      <c r="Q39" s="30">
        <v>2838.5</v>
      </c>
      <c r="R39" s="23"/>
      <c r="S39" s="30">
        <v>6811.14</v>
      </c>
      <c r="T39" s="30">
        <v>3591.86</v>
      </c>
      <c r="U39" s="30">
        <v>12901448.800000001</v>
      </c>
      <c r="V39" s="30">
        <v>3591.9</v>
      </c>
      <c r="W39" s="23"/>
      <c r="X39" s="30">
        <v>6275.51</v>
      </c>
      <c r="Y39" s="30">
        <v>4127.49</v>
      </c>
      <c r="Z39" s="30">
        <v>17036148.399999999</v>
      </c>
      <c r="AA39" s="30">
        <v>4127.5</v>
      </c>
      <c r="AB39" s="23"/>
      <c r="AC39" s="30">
        <v>5906.72</v>
      </c>
      <c r="AD39" s="30">
        <v>4496.28</v>
      </c>
      <c r="AE39" s="30">
        <v>20216500.800000001</v>
      </c>
      <c r="AF39" s="30">
        <v>4496.3</v>
      </c>
      <c r="AG39" s="23"/>
      <c r="AH39" s="30">
        <v>5664.86</v>
      </c>
      <c r="AI39" s="30">
        <v>4738.1400000000003</v>
      </c>
      <c r="AJ39" s="30">
        <v>22449973.5</v>
      </c>
      <c r="AK39" s="30">
        <v>4738.1000000000004</v>
      </c>
      <c r="AL39" s="23"/>
      <c r="AM39" s="30">
        <v>5514.28</v>
      </c>
      <c r="AN39" s="30">
        <v>4888.72</v>
      </c>
      <c r="AO39" s="30">
        <v>23899549.100000001</v>
      </c>
      <c r="AP39" s="30">
        <v>4888.7</v>
      </c>
      <c r="AQ39" s="23"/>
      <c r="AR39" s="30">
        <v>5422.36</v>
      </c>
      <c r="AS39" s="30">
        <v>4980.6400000000003</v>
      </c>
      <c r="AT39" s="30">
        <v>24806789.5</v>
      </c>
      <c r="AU39" s="30">
        <v>4980.6000000000004</v>
      </c>
    </row>
    <row r="40" spans="1:47" ht="18" x14ac:dyDescent="0.2">
      <c r="A40" s="26">
        <v>45665</v>
      </c>
      <c r="B40" s="40">
        <v>8375</v>
      </c>
      <c r="C40" s="23"/>
      <c r="D40" s="30">
        <v>10153.86</v>
      </c>
      <c r="E40" s="30">
        <v>-1778.86</v>
      </c>
      <c r="F40" s="30">
        <v>3164344.8</v>
      </c>
      <c r="G40" s="30">
        <v>1778.9</v>
      </c>
      <c r="H40" s="23"/>
      <c r="I40" s="30">
        <v>8980.64</v>
      </c>
      <c r="J40" s="27">
        <v>-605.64</v>
      </c>
      <c r="K40" s="30">
        <v>366803.6</v>
      </c>
      <c r="L40" s="27">
        <v>605.6</v>
      </c>
      <c r="M40" s="23"/>
      <c r="N40" s="30">
        <v>8416.0400000000009</v>
      </c>
      <c r="O40" s="27">
        <v>-41.04</v>
      </c>
      <c r="P40" s="30">
        <v>1684.4</v>
      </c>
      <c r="Q40" s="27">
        <v>41</v>
      </c>
      <c r="R40" s="23"/>
      <c r="S40" s="30">
        <v>8247.8799999999992</v>
      </c>
      <c r="T40" s="27">
        <v>127.12</v>
      </c>
      <c r="U40" s="30">
        <v>16158.3</v>
      </c>
      <c r="V40" s="27">
        <v>127.1</v>
      </c>
      <c r="W40" s="23"/>
      <c r="X40" s="30">
        <v>8339.26</v>
      </c>
      <c r="Y40" s="27">
        <v>35.74</v>
      </c>
      <c r="Z40" s="30">
        <v>1277.5999999999999</v>
      </c>
      <c r="AA40" s="27">
        <v>35.700000000000003</v>
      </c>
      <c r="AB40" s="23"/>
      <c r="AC40" s="30">
        <v>8604.49</v>
      </c>
      <c r="AD40" s="27">
        <v>-229.49</v>
      </c>
      <c r="AE40" s="30">
        <v>52665.4</v>
      </c>
      <c r="AF40" s="27">
        <v>229.5</v>
      </c>
      <c r="AG40" s="23"/>
      <c r="AH40" s="30">
        <v>8981.56</v>
      </c>
      <c r="AI40" s="27">
        <v>-606.55999999999995</v>
      </c>
      <c r="AJ40" s="30">
        <v>367912.5</v>
      </c>
      <c r="AK40" s="27">
        <v>606.6</v>
      </c>
      <c r="AL40" s="23"/>
      <c r="AM40" s="30">
        <v>9425.26</v>
      </c>
      <c r="AN40" s="30">
        <v>-1050.26</v>
      </c>
      <c r="AO40" s="30">
        <v>1103039.1000000001</v>
      </c>
      <c r="AP40" s="30">
        <v>1050.3</v>
      </c>
      <c r="AQ40" s="23"/>
      <c r="AR40" s="30">
        <v>9904.94</v>
      </c>
      <c r="AS40" s="30">
        <v>-1529.94</v>
      </c>
      <c r="AT40" s="30">
        <v>2340703.7000000002</v>
      </c>
      <c r="AU40" s="30">
        <v>1529.9</v>
      </c>
    </row>
    <row r="41" spans="1:47" ht="18" x14ac:dyDescent="0.2">
      <c r="A41" s="26">
        <v>45696</v>
      </c>
      <c r="B41" s="40">
        <v>12881</v>
      </c>
      <c r="C41" s="23"/>
      <c r="D41" s="30">
        <v>9975.9699999999993</v>
      </c>
      <c r="E41" s="30">
        <v>2905.03</v>
      </c>
      <c r="F41" s="30">
        <v>8439173.3000000007</v>
      </c>
      <c r="G41" s="30">
        <v>2905</v>
      </c>
      <c r="H41" s="23"/>
      <c r="I41" s="30">
        <v>8859.51</v>
      </c>
      <c r="J41" s="30">
        <v>4021.49</v>
      </c>
      <c r="K41" s="30">
        <v>16172345.6</v>
      </c>
      <c r="L41" s="30">
        <v>4021.5</v>
      </c>
      <c r="M41" s="23"/>
      <c r="N41" s="30">
        <v>8403.73</v>
      </c>
      <c r="O41" s="30">
        <v>4477.2700000000004</v>
      </c>
      <c r="P41" s="30">
        <v>20045955.899999999</v>
      </c>
      <c r="Q41" s="30">
        <v>4477.3</v>
      </c>
      <c r="R41" s="23"/>
      <c r="S41" s="30">
        <v>8298.73</v>
      </c>
      <c r="T41" s="30">
        <v>4582.2700000000004</v>
      </c>
      <c r="U41" s="30">
        <v>20997190.300000001</v>
      </c>
      <c r="V41" s="30">
        <v>4582.3</v>
      </c>
      <c r="W41" s="23"/>
      <c r="X41" s="30">
        <v>8357.1299999999992</v>
      </c>
      <c r="Y41" s="30">
        <v>4523.87</v>
      </c>
      <c r="Z41" s="30">
        <v>20465415.5</v>
      </c>
      <c r="AA41" s="30">
        <v>4523.8999999999996</v>
      </c>
      <c r="AB41" s="23"/>
      <c r="AC41" s="30">
        <v>8466.7999999999993</v>
      </c>
      <c r="AD41" s="30">
        <v>4414.2</v>
      </c>
      <c r="AE41" s="30">
        <v>19485198.800000001</v>
      </c>
      <c r="AF41" s="30">
        <v>4414.2</v>
      </c>
      <c r="AG41" s="23"/>
      <c r="AH41" s="30">
        <v>8556.9699999999993</v>
      </c>
      <c r="AI41" s="30">
        <v>4324.03</v>
      </c>
      <c r="AJ41" s="30">
        <v>18697258.199999999</v>
      </c>
      <c r="AK41" s="30">
        <v>4324</v>
      </c>
      <c r="AL41" s="23"/>
      <c r="AM41" s="30">
        <v>8585.0499999999993</v>
      </c>
      <c r="AN41" s="30">
        <v>4295.95</v>
      </c>
      <c r="AO41" s="30">
        <v>18455174.899999999</v>
      </c>
      <c r="AP41" s="30">
        <v>4295.8999999999996</v>
      </c>
      <c r="AQ41" s="23"/>
      <c r="AR41" s="30">
        <v>8527.99</v>
      </c>
      <c r="AS41" s="30">
        <v>4353.01</v>
      </c>
      <c r="AT41" s="30">
        <v>18948664.800000001</v>
      </c>
      <c r="AU41" s="30">
        <v>4353</v>
      </c>
    </row>
    <row r="42" spans="1:47" ht="18" x14ac:dyDescent="0.2">
      <c r="A42" s="26">
        <v>45724</v>
      </c>
      <c r="B42" s="40">
        <v>10168</v>
      </c>
      <c r="C42" s="23"/>
      <c r="D42" s="30">
        <v>10266.48</v>
      </c>
      <c r="E42" s="27">
        <v>-98.48</v>
      </c>
      <c r="F42" s="30">
        <v>9697.7000000000007</v>
      </c>
      <c r="G42" s="27">
        <v>98.5</v>
      </c>
      <c r="H42" s="23"/>
      <c r="I42" s="30">
        <v>9663.81</v>
      </c>
      <c r="J42" s="27">
        <v>504.19</v>
      </c>
      <c r="K42" s="30">
        <v>254205.9</v>
      </c>
      <c r="L42" s="27">
        <v>504.2</v>
      </c>
      <c r="M42" s="23"/>
      <c r="N42" s="30">
        <v>9746.91</v>
      </c>
      <c r="O42" s="27">
        <v>421.09</v>
      </c>
      <c r="P42" s="30">
        <v>177316.6</v>
      </c>
      <c r="Q42" s="27">
        <v>421.1</v>
      </c>
      <c r="R42" s="23"/>
      <c r="S42" s="30">
        <v>10131.64</v>
      </c>
      <c r="T42" s="27">
        <v>36.36</v>
      </c>
      <c r="U42" s="30">
        <v>1322.2</v>
      </c>
      <c r="V42" s="27">
        <v>36.4</v>
      </c>
      <c r="W42" s="23"/>
      <c r="X42" s="30">
        <v>10619.06</v>
      </c>
      <c r="Y42" s="27">
        <v>-451.06</v>
      </c>
      <c r="Z42" s="30">
        <v>203458.9</v>
      </c>
      <c r="AA42" s="27">
        <v>451.1</v>
      </c>
      <c r="AB42" s="23"/>
      <c r="AC42" s="30">
        <v>11115.32</v>
      </c>
      <c r="AD42" s="27">
        <v>-947.32</v>
      </c>
      <c r="AE42" s="30">
        <v>897412</v>
      </c>
      <c r="AF42" s="27">
        <v>947.3</v>
      </c>
      <c r="AG42" s="23"/>
      <c r="AH42" s="30">
        <v>11583.79</v>
      </c>
      <c r="AI42" s="30">
        <v>-1415.79</v>
      </c>
      <c r="AJ42" s="30">
        <v>2004461.9</v>
      </c>
      <c r="AK42" s="30">
        <v>1415.8</v>
      </c>
      <c r="AL42" s="23"/>
      <c r="AM42" s="30">
        <v>12021.81</v>
      </c>
      <c r="AN42" s="30">
        <v>-1853.81</v>
      </c>
      <c r="AO42" s="30">
        <v>3436612.5</v>
      </c>
      <c r="AP42" s="30">
        <v>1853.8</v>
      </c>
      <c r="AQ42" s="23"/>
      <c r="AR42" s="30">
        <v>12445.7</v>
      </c>
      <c r="AS42" s="30">
        <v>-2277.6999999999998</v>
      </c>
      <c r="AT42" s="30">
        <v>5187914.4000000004</v>
      </c>
      <c r="AU42" s="30">
        <v>2277.6999999999998</v>
      </c>
    </row>
    <row r="43" spans="1:47" ht="18" x14ac:dyDescent="0.2">
      <c r="A43" s="26">
        <v>45816</v>
      </c>
      <c r="B43" s="40">
        <v>7282</v>
      </c>
      <c r="C43" s="23"/>
      <c r="D43" s="30">
        <v>10256.629999999999</v>
      </c>
      <c r="E43" s="30">
        <v>-2974.63</v>
      </c>
      <c r="F43" s="30">
        <v>8848419.6999999993</v>
      </c>
      <c r="G43" s="30">
        <v>2974.6</v>
      </c>
      <c r="H43" s="23"/>
      <c r="I43" s="30">
        <v>9764.65</v>
      </c>
      <c r="J43" s="30">
        <v>-2482.65</v>
      </c>
      <c r="K43" s="30">
        <v>6163547.5</v>
      </c>
      <c r="L43" s="30">
        <v>2482.6</v>
      </c>
      <c r="M43" s="23"/>
      <c r="N43" s="30">
        <v>9873.24</v>
      </c>
      <c r="O43" s="30">
        <v>-2591.2399999999998</v>
      </c>
      <c r="P43" s="30">
        <v>6714510.2000000002</v>
      </c>
      <c r="Q43" s="30">
        <v>2591.1999999999998</v>
      </c>
      <c r="R43" s="23"/>
      <c r="S43" s="30">
        <v>10146.18</v>
      </c>
      <c r="T43" s="30">
        <v>-2864.18</v>
      </c>
      <c r="U43" s="30">
        <v>8203544.9000000004</v>
      </c>
      <c r="V43" s="30">
        <v>2864.2</v>
      </c>
      <c r="W43" s="23"/>
      <c r="X43" s="30">
        <v>10393.530000000001</v>
      </c>
      <c r="Y43" s="30">
        <v>-3111.53</v>
      </c>
      <c r="Z43" s="30">
        <v>9681631.8000000007</v>
      </c>
      <c r="AA43" s="30">
        <v>3111.5</v>
      </c>
      <c r="AB43" s="23"/>
      <c r="AC43" s="30">
        <v>10546.93</v>
      </c>
      <c r="AD43" s="30">
        <v>-3264.93</v>
      </c>
      <c r="AE43" s="30">
        <v>10659750.4</v>
      </c>
      <c r="AF43" s="30">
        <v>3264.9</v>
      </c>
      <c r="AG43" s="23"/>
      <c r="AH43" s="30">
        <v>10592.74</v>
      </c>
      <c r="AI43" s="30">
        <v>-3310.74</v>
      </c>
      <c r="AJ43" s="30">
        <v>10960979.9</v>
      </c>
      <c r="AK43" s="30">
        <v>3310.7</v>
      </c>
      <c r="AL43" s="23"/>
      <c r="AM43" s="30">
        <v>10538.76</v>
      </c>
      <c r="AN43" s="30">
        <v>-3256.76</v>
      </c>
      <c r="AO43" s="30">
        <v>10606499.1</v>
      </c>
      <c r="AP43" s="30">
        <v>3256.8</v>
      </c>
      <c r="AQ43" s="23"/>
      <c r="AR43" s="30">
        <v>10395.77</v>
      </c>
      <c r="AS43" s="30">
        <v>-3113.77</v>
      </c>
      <c r="AT43" s="30">
        <v>9695563.1999999993</v>
      </c>
      <c r="AU43" s="30">
        <v>3113.8</v>
      </c>
    </row>
    <row r="44" spans="1:47" ht="18" x14ac:dyDescent="0.2">
      <c r="A44" s="26">
        <v>45846</v>
      </c>
      <c r="B44" s="40">
        <v>7486</v>
      </c>
      <c r="C44" s="23"/>
      <c r="D44" s="30">
        <v>9959.17</v>
      </c>
      <c r="E44" s="30">
        <v>-2473.17</v>
      </c>
      <c r="F44" s="30">
        <v>6116552</v>
      </c>
      <c r="G44" s="30">
        <v>2473.1999999999998</v>
      </c>
      <c r="H44" s="23"/>
      <c r="I44" s="30">
        <v>9268.1200000000008</v>
      </c>
      <c r="J44" s="30">
        <v>-1782.12</v>
      </c>
      <c r="K44" s="30">
        <v>3175949.7</v>
      </c>
      <c r="L44" s="30">
        <v>1782.1</v>
      </c>
      <c r="M44" s="23"/>
      <c r="N44" s="30">
        <v>9095.8700000000008</v>
      </c>
      <c r="O44" s="30">
        <v>-1609.87</v>
      </c>
      <c r="P44" s="30">
        <v>2591668.7000000002</v>
      </c>
      <c r="Q44" s="30">
        <v>1609.9</v>
      </c>
      <c r="R44" s="23"/>
      <c r="S44" s="30">
        <v>9000.51</v>
      </c>
      <c r="T44" s="30">
        <v>-1514.51</v>
      </c>
      <c r="U44" s="30">
        <v>2293740.1</v>
      </c>
      <c r="V44" s="30">
        <v>1514.5</v>
      </c>
      <c r="W44" s="23"/>
      <c r="X44" s="30">
        <v>8837.77</v>
      </c>
      <c r="Y44" s="30">
        <v>-1351.77</v>
      </c>
      <c r="Z44" s="30">
        <v>1827271.4</v>
      </c>
      <c r="AA44" s="30">
        <v>1351.8</v>
      </c>
      <c r="AB44" s="23"/>
      <c r="AC44" s="30">
        <v>8587.9699999999993</v>
      </c>
      <c r="AD44" s="30">
        <v>-1101.97</v>
      </c>
      <c r="AE44" s="30">
        <v>1214339.8999999999</v>
      </c>
      <c r="AF44" s="30">
        <v>1102</v>
      </c>
      <c r="AG44" s="23"/>
      <c r="AH44" s="30">
        <v>8275.2199999999993</v>
      </c>
      <c r="AI44" s="27">
        <v>-789.22</v>
      </c>
      <c r="AJ44" s="30">
        <v>622870</v>
      </c>
      <c r="AK44" s="27">
        <v>789.2</v>
      </c>
      <c r="AL44" s="23"/>
      <c r="AM44" s="30">
        <v>7933.35</v>
      </c>
      <c r="AN44" s="27">
        <v>-447.35</v>
      </c>
      <c r="AO44" s="30">
        <v>200124.2</v>
      </c>
      <c r="AP44" s="27">
        <v>447.4</v>
      </c>
      <c r="AQ44" s="23"/>
      <c r="AR44" s="30">
        <v>7593.38</v>
      </c>
      <c r="AS44" s="27">
        <v>-107.38</v>
      </c>
      <c r="AT44" s="30">
        <v>11529.8</v>
      </c>
      <c r="AU44" s="27">
        <v>107.4</v>
      </c>
    </row>
    <row r="45" spans="1:47" ht="18" x14ac:dyDescent="0.2">
      <c r="A45" s="26">
        <v>45999</v>
      </c>
      <c r="B45" s="40">
        <v>6735</v>
      </c>
      <c r="C45" s="23"/>
      <c r="D45" s="30">
        <v>9711.85</v>
      </c>
      <c r="E45" s="30">
        <v>-2976.85</v>
      </c>
      <c r="F45" s="30">
        <v>8861634.5</v>
      </c>
      <c r="G45" s="30">
        <v>2976.8</v>
      </c>
      <c r="H45" s="23"/>
      <c r="I45" s="30">
        <v>8911.7000000000007</v>
      </c>
      <c r="J45" s="30">
        <v>-2176.6999999999998</v>
      </c>
      <c r="K45" s="30">
        <v>4738003.5</v>
      </c>
      <c r="L45" s="30">
        <v>2176.6999999999998</v>
      </c>
      <c r="M45" s="23"/>
      <c r="N45" s="30">
        <v>8612.91</v>
      </c>
      <c r="O45" s="30">
        <v>-1877.91</v>
      </c>
      <c r="P45" s="30">
        <v>3526531.8</v>
      </c>
      <c r="Q45" s="30">
        <v>1877.9</v>
      </c>
      <c r="R45" s="23"/>
      <c r="S45" s="30">
        <v>8394.7099999999991</v>
      </c>
      <c r="T45" s="30">
        <v>-1659.71</v>
      </c>
      <c r="U45" s="30">
        <v>2754623.7</v>
      </c>
      <c r="V45" s="30">
        <v>1659.7</v>
      </c>
      <c r="W45" s="23"/>
      <c r="X45" s="30">
        <v>8161.88</v>
      </c>
      <c r="Y45" s="30">
        <v>-1426.88</v>
      </c>
      <c r="Z45" s="30">
        <v>2035995.1</v>
      </c>
      <c r="AA45" s="30">
        <v>1426.9</v>
      </c>
      <c r="AB45" s="23"/>
      <c r="AC45" s="30">
        <v>7926.79</v>
      </c>
      <c r="AD45" s="30">
        <v>-1191.79</v>
      </c>
      <c r="AE45" s="30">
        <v>1420359.5</v>
      </c>
      <c r="AF45" s="30">
        <v>1191.8</v>
      </c>
      <c r="AG45" s="23"/>
      <c r="AH45" s="30">
        <v>7722.77</v>
      </c>
      <c r="AI45" s="27">
        <v>-987.77</v>
      </c>
      <c r="AJ45" s="30">
        <v>975682.3</v>
      </c>
      <c r="AK45" s="27">
        <v>987.8</v>
      </c>
      <c r="AL45" s="23"/>
      <c r="AM45" s="30">
        <v>7575.47</v>
      </c>
      <c r="AN45" s="27">
        <v>-840.47</v>
      </c>
      <c r="AO45" s="30">
        <v>706390.6</v>
      </c>
      <c r="AP45" s="27">
        <v>840.5</v>
      </c>
      <c r="AQ45" s="23"/>
      <c r="AR45" s="30">
        <v>7496.74</v>
      </c>
      <c r="AS45" s="27">
        <v>-761.74</v>
      </c>
      <c r="AT45" s="30">
        <v>580244.30000000005</v>
      </c>
      <c r="AU45" s="27">
        <v>761.7</v>
      </c>
    </row>
    <row r="46" spans="1:47" ht="18" x14ac:dyDescent="0.2">
      <c r="A46" s="26">
        <v>45666</v>
      </c>
      <c r="B46" s="40">
        <v>6679</v>
      </c>
      <c r="C46" s="23"/>
      <c r="D46" s="30">
        <v>9414.16</v>
      </c>
      <c r="E46" s="30">
        <v>-2735.16</v>
      </c>
      <c r="F46" s="30">
        <v>7481126.4000000004</v>
      </c>
      <c r="G46" s="30">
        <v>2735.2</v>
      </c>
      <c r="H46" s="23"/>
      <c r="I46" s="30">
        <v>8476.36</v>
      </c>
      <c r="J46" s="30">
        <v>-1797.36</v>
      </c>
      <c r="K46" s="30">
        <v>3230490.1</v>
      </c>
      <c r="L46" s="30">
        <v>1797.4</v>
      </c>
      <c r="M46" s="23"/>
      <c r="N46" s="30">
        <v>8049.53</v>
      </c>
      <c r="O46" s="30">
        <v>-1370.53</v>
      </c>
      <c r="P46" s="30">
        <v>1878364.4</v>
      </c>
      <c r="Q46" s="30">
        <v>1370.5</v>
      </c>
      <c r="R46" s="23"/>
      <c r="S46" s="30">
        <v>7730.82</v>
      </c>
      <c r="T46" s="30">
        <v>-1051.82</v>
      </c>
      <c r="U46" s="30">
        <v>1106332.8</v>
      </c>
      <c r="V46" s="30">
        <v>1051.8</v>
      </c>
      <c r="W46" s="23"/>
      <c r="X46" s="30">
        <v>7448.44</v>
      </c>
      <c r="Y46" s="27">
        <v>-769.44</v>
      </c>
      <c r="Z46" s="30">
        <v>592040.19999999995</v>
      </c>
      <c r="AA46" s="27">
        <v>769.4</v>
      </c>
      <c r="AB46" s="23"/>
      <c r="AC46" s="30">
        <v>7211.72</v>
      </c>
      <c r="AD46" s="27">
        <v>-532.72</v>
      </c>
      <c r="AE46" s="30">
        <v>283785.59999999998</v>
      </c>
      <c r="AF46" s="27">
        <v>532.70000000000005</v>
      </c>
      <c r="AG46" s="23"/>
      <c r="AH46" s="30">
        <v>7031.33</v>
      </c>
      <c r="AI46" s="27">
        <v>-352.33</v>
      </c>
      <c r="AJ46" s="30">
        <v>124136.4</v>
      </c>
      <c r="AK46" s="27">
        <v>352.3</v>
      </c>
      <c r="AL46" s="23"/>
      <c r="AM46" s="30">
        <v>6903.09</v>
      </c>
      <c r="AN46" s="27">
        <v>-224.09</v>
      </c>
      <c r="AO46" s="30">
        <v>50218.2</v>
      </c>
      <c r="AP46" s="27">
        <v>224.1</v>
      </c>
      <c r="AQ46" s="23"/>
      <c r="AR46" s="30">
        <v>6811.17</v>
      </c>
      <c r="AS46" s="27">
        <v>-132.16999999999999</v>
      </c>
      <c r="AT46" s="30">
        <v>17469.900000000001</v>
      </c>
      <c r="AU46" s="27">
        <v>132.19999999999999</v>
      </c>
    </row>
    <row r="47" spans="1:47" ht="18" x14ac:dyDescent="0.2">
      <c r="A47" s="26">
        <v>45697</v>
      </c>
      <c r="B47" s="40">
        <v>6678</v>
      </c>
      <c r="C47" s="23"/>
      <c r="D47" s="30">
        <v>9140.65</v>
      </c>
      <c r="E47" s="30">
        <v>-2462.65</v>
      </c>
      <c r="F47" s="30">
        <v>6064636.7000000002</v>
      </c>
      <c r="G47" s="30">
        <v>2462.6</v>
      </c>
      <c r="H47" s="23"/>
      <c r="I47" s="30">
        <v>8116.89</v>
      </c>
      <c r="J47" s="30">
        <v>-1438.89</v>
      </c>
      <c r="K47" s="30">
        <v>2070390.5</v>
      </c>
      <c r="L47" s="30">
        <v>1438.9</v>
      </c>
      <c r="M47" s="23"/>
      <c r="N47" s="30">
        <v>7638.37</v>
      </c>
      <c r="O47" s="27">
        <v>-960.37</v>
      </c>
      <c r="P47" s="30">
        <v>922318.3</v>
      </c>
      <c r="Q47" s="27">
        <v>960.4</v>
      </c>
      <c r="R47" s="23"/>
      <c r="S47" s="30">
        <v>7310.09</v>
      </c>
      <c r="T47" s="27">
        <v>-632.09</v>
      </c>
      <c r="U47" s="30">
        <v>399543</v>
      </c>
      <c r="V47" s="27">
        <v>632.1</v>
      </c>
      <c r="W47" s="23"/>
      <c r="X47" s="30">
        <v>7063.72</v>
      </c>
      <c r="Y47" s="27">
        <v>-385.72</v>
      </c>
      <c r="Z47" s="30">
        <v>148780.5</v>
      </c>
      <c r="AA47" s="27">
        <v>385.7</v>
      </c>
      <c r="AB47" s="23"/>
      <c r="AC47" s="30">
        <v>6892.09</v>
      </c>
      <c r="AD47" s="27">
        <v>-214.09</v>
      </c>
      <c r="AE47" s="30">
        <v>45832.9</v>
      </c>
      <c r="AF47" s="27">
        <v>214.1</v>
      </c>
      <c r="AG47" s="23"/>
      <c r="AH47" s="30">
        <v>6784.7</v>
      </c>
      <c r="AI47" s="27">
        <v>-106.7</v>
      </c>
      <c r="AJ47" s="30">
        <v>11384.7</v>
      </c>
      <c r="AK47" s="27">
        <v>106.7</v>
      </c>
      <c r="AL47" s="23"/>
      <c r="AM47" s="30">
        <v>6723.82</v>
      </c>
      <c r="AN47" s="27">
        <v>-45.82</v>
      </c>
      <c r="AO47" s="30">
        <v>2099.4</v>
      </c>
      <c r="AP47" s="27">
        <v>45.8</v>
      </c>
      <c r="AQ47" s="23"/>
      <c r="AR47" s="30">
        <v>6692.22</v>
      </c>
      <c r="AS47" s="27">
        <v>-14.22</v>
      </c>
      <c r="AT47" s="27">
        <v>202.1</v>
      </c>
      <c r="AU47" s="27">
        <v>14.2</v>
      </c>
    </row>
    <row r="48" spans="1:47" ht="18" x14ac:dyDescent="0.2">
      <c r="A48" s="26">
        <v>45725</v>
      </c>
      <c r="B48" s="40">
        <v>6789</v>
      </c>
      <c r="C48" s="23"/>
      <c r="D48" s="30">
        <v>8894.3799999999992</v>
      </c>
      <c r="E48" s="30">
        <v>-2105.38</v>
      </c>
      <c r="F48" s="30">
        <v>4432639.5999999996</v>
      </c>
      <c r="G48" s="30">
        <v>2105.4</v>
      </c>
      <c r="H48" s="23"/>
      <c r="I48" s="30">
        <v>7829.11</v>
      </c>
      <c r="J48" s="30">
        <v>-1040.1099999999999</v>
      </c>
      <c r="K48" s="30">
        <v>1081824.8999999999</v>
      </c>
      <c r="L48" s="30">
        <v>1040.0999999999999</v>
      </c>
      <c r="M48" s="23"/>
      <c r="N48" s="30">
        <v>7350.26</v>
      </c>
      <c r="O48" s="27">
        <v>-561.26</v>
      </c>
      <c r="P48" s="30">
        <v>315014.8</v>
      </c>
      <c r="Q48" s="27">
        <v>561.29999999999995</v>
      </c>
      <c r="R48" s="23"/>
      <c r="S48" s="30">
        <v>7057.26</v>
      </c>
      <c r="T48" s="27">
        <v>-268.26</v>
      </c>
      <c r="U48" s="30">
        <v>71961.5</v>
      </c>
      <c r="V48" s="27">
        <v>268.3</v>
      </c>
      <c r="W48" s="23"/>
      <c r="X48" s="30">
        <v>6870.86</v>
      </c>
      <c r="Y48" s="27">
        <v>-81.86</v>
      </c>
      <c r="Z48" s="30">
        <v>6701.1</v>
      </c>
      <c r="AA48" s="27">
        <v>81.900000000000006</v>
      </c>
      <c r="AB48" s="23"/>
      <c r="AC48" s="30">
        <v>6763.63</v>
      </c>
      <c r="AD48" s="27">
        <v>25.37</v>
      </c>
      <c r="AE48" s="27">
        <v>643.4</v>
      </c>
      <c r="AF48" s="27">
        <v>25.4</v>
      </c>
      <c r="AG48" s="23"/>
      <c r="AH48" s="30">
        <v>6710.01</v>
      </c>
      <c r="AI48" s="27">
        <v>78.989999999999995</v>
      </c>
      <c r="AJ48" s="30">
        <v>6239.5</v>
      </c>
      <c r="AK48" s="27">
        <v>79</v>
      </c>
      <c r="AL48" s="23"/>
      <c r="AM48" s="30">
        <v>6687.16</v>
      </c>
      <c r="AN48" s="27">
        <v>101.84</v>
      </c>
      <c r="AO48" s="30">
        <v>10370.6</v>
      </c>
      <c r="AP48" s="27">
        <v>101.8</v>
      </c>
      <c r="AQ48" s="23"/>
      <c r="AR48" s="30">
        <v>6679.42</v>
      </c>
      <c r="AS48" s="27">
        <v>109.58</v>
      </c>
      <c r="AT48" s="30">
        <v>12007.4</v>
      </c>
      <c r="AU48" s="27">
        <v>109.6</v>
      </c>
    </row>
    <row r="49" spans="1:47" ht="18" x14ac:dyDescent="0.2">
      <c r="A49" s="26">
        <v>45756</v>
      </c>
      <c r="B49" s="40">
        <v>6569</v>
      </c>
      <c r="C49" s="23"/>
      <c r="D49" s="30">
        <v>8683.85</v>
      </c>
      <c r="E49" s="30">
        <v>-2114.85</v>
      </c>
      <c r="F49" s="30">
        <v>4472569.9000000004</v>
      </c>
      <c r="G49" s="30">
        <v>2114.8000000000002</v>
      </c>
      <c r="H49" s="23"/>
      <c r="I49" s="30">
        <v>7621.09</v>
      </c>
      <c r="J49" s="30">
        <v>-1052.0899999999999</v>
      </c>
      <c r="K49" s="30">
        <v>1106886</v>
      </c>
      <c r="L49" s="30">
        <v>1052.0999999999999</v>
      </c>
      <c r="M49" s="23"/>
      <c r="N49" s="30">
        <v>7181.88</v>
      </c>
      <c r="O49" s="27">
        <v>-612.88</v>
      </c>
      <c r="P49" s="30">
        <v>375625.9</v>
      </c>
      <c r="Q49" s="27">
        <v>612.9</v>
      </c>
      <c r="R49" s="23"/>
      <c r="S49" s="30">
        <v>6949.95</v>
      </c>
      <c r="T49" s="27">
        <v>-380.95</v>
      </c>
      <c r="U49" s="30">
        <v>145125.9</v>
      </c>
      <c r="V49" s="27">
        <v>381</v>
      </c>
      <c r="W49" s="23"/>
      <c r="X49" s="30">
        <v>6829.93</v>
      </c>
      <c r="Y49" s="27">
        <v>-260.93</v>
      </c>
      <c r="Z49" s="30">
        <v>68084.600000000006</v>
      </c>
      <c r="AA49" s="27">
        <v>260.89999999999998</v>
      </c>
      <c r="AB49" s="23"/>
      <c r="AC49" s="30">
        <v>6778.85</v>
      </c>
      <c r="AD49" s="27">
        <v>-209.85</v>
      </c>
      <c r="AE49" s="30">
        <v>44038.6</v>
      </c>
      <c r="AF49" s="27">
        <v>209.9</v>
      </c>
      <c r="AG49" s="23"/>
      <c r="AH49" s="30">
        <v>6765.3</v>
      </c>
      <c r="AI49" s="27">
        <v>-196.3</v>
      </c>
      <c r="AJ49" s="30">
        <v>38534.800000000003</v>
      </c>
      <c r="AK49" s="27">
        <v>196.3</v>
      </c>
      <c r="AL49" s="23"/>
      <c r="AM49" s="30">
        <v>6768.63</v>
      </c>
      <c r="AN49" s="27">
        <v>-199.63</v>
      </c>
      <c r="AO49" s="30">
        <v>39853.199999999997</v>
      </c>
      <c r="AP49" s="27">
        <v>199.6</v>
      </c>
      <c r="AQ49" s="23"/>
      <c r="AR49" s="30">
        <v>6778.04</v>
      </c>
      <c r="AS49" s="27">
        <v>-209.04</v>
      </c>
      <c r="AT49" s="30">
        <v>43698.6</v>
      </c>
      <c r="AU49" s="27">
        <v>209</v>
      </c>
    </row>
    <row r="50" spans="1:47" ht="18" x14ac:dyDescent="0.2">
      <c r="A50" s="26">
        <v>45786</v>
      </c>
      <c r="B50" s="40">
        <v>7412</v>
      </c>
      <c r="C50" s="23"/>
      <c r="D50" s="30">
        <v>8472.36</v>
      </c>
      <c r="E50" s="30">
        <v>-1060.3599999999999</v>
      </c>
      <c r="F50" s="30">
        <v>1124364.6000000001</v>
      </c>
      <c r="G50" s="30">
        <v>1060.4000000000001</v>
      </c>
      <c r="H50" s="23"/>
      <c r="I50" s="30">
        <v>7410.67</v>
      </c>
      <c r="J50" s="27">
        <v>1.33</v>
      </c>
      <c r="K50" s="27">
        <v>1.8</v>
      </c>
      <c r="L50" s="27">
        <v>1.3</v>
      </c>
      <c r="M50" s="23"/>
      <c r="N50" s="30">
        <v>6998.02</v>
      </c>
      <c r="O50" s="27">
        <v>413.98</v>
      </c>
      <c r="P50" s="30">
        <v>171380.8</v>
      </c>
      <c r="Q50" s="27">
        <v>414</v>
      </c>
      <c r="R50" s="23"/>
      <c r="S50" s="30">
        <v>6797.57</v>
      </c>
      <c r="T50" s="27">
        <v>614.42999999999995</v>
      </c>
      <c r="U50" s="30">
        <v>377521.4</v>
      </c>
      <c r="V50" s="27">
        <v>614.4</v>
      </c>
      <c r="W50" s="23"/>
      <c r="X50" s="30">
        <v>6699.47</v>
      </c>
      <c r="Y50" s="27">
        <v>712.53</v>
      </c>
      <c r="Z50" s="30">
        <v>507706</v>
      </c>
      <c r="AA50" s="27">
        <v>712.5</v>
      </c>
      <c r="AB50" s="23"/>
      <c r="AC50" s="30">
        <v>6652.94</v>
      </c>
      <c r="AD50" s="27">
        <v>759.06</v>
      </c>
      <c r="AE50" s="30">
        <v>576169.80000000005</v>
      </c>
      <c r="AF50" s="27">
        <v>759.1</v>
      </c>
      <c r="AG50" s="23"/>
      <c r="AH50" s="30">
        <v>6627.89</v>
      </c>
      <c r="AI50" s="27">
        <v>784.11</v>
      </c>
      <c r="AJ50" s="30">
        <v>614827.1</v>
      </c>
      <c r="AK50" s="27">
        <v>784.1</v>
      </c>
      <c r="AL50" s="23"/>
      <c r="AM50" s="30">
        <v>6608.93</v>
      </c>
      <c r="AN50" s="27">
        <v>803.07</v>
      </c>
      <c r="AO50" s="30">
        <v>644927</v>
      </c>
      <c r="AP50" s="27">
        <v>803.1</v>
      </c>
      <c r="AQ50" s="23"/>
      <c r="AR50" s="30">
        <v>6589.9</v>
      </c>
      <c r="AS50" s="27">
        <v>822.1</v>
      </c>
      <c r="AT50" s="30">
        <v>675841.5</v>
      </c>
      <c r="AU50" s="27">
        <v>822.1</v>
      </c>
    </row>
    <row r="51" spans="1:47" ht="18" x14ac:dyDescent="0.2">
      <c r="A51" s="26">
        <v>45817</v>
      </c>
      <c r="B51" s="40">
        <v>8171</v>
      </c>
      <c r="C51" s="23"/>
      <c r="D51" s="30">
        <v>8366.32</v>
      </c>
      <c r="E51" s="27">
        <v>-195.32</v>
      </c>
      <c r="F51" s="30">
        <v>38151.699999999997</v>
      </c>
      <c r="G51" s="27">
        <v>195.3</v>
      </c>
      <c r="H51" s="23"/>
      <c r="I51" s="30">
        <v>7410.94</v>
      </c>
      <c r="J51" s="27">
        <v>760.06</v>
      </c>
      <c r="K51" s="30">
        <v>577698.30000000005</v>
      </c>
      <c r="L51" s="27">
        <v>760.1</v>
      </c>
      <c r="M51" s="23"/>
      <c r="N51" s="30">
        <v>7122.21</v>
      </c>
      <c r="O51" s="30">
        <v>1048.79</v>
      </c>
      <c r="P51" s="30">
        <v>1099954.6000000001</v>
      </c>
      <c r="Q51" s="30">
        <v>1048.8</v>
      </c>
      <c r="R51" s="23"/>
      <c r="S51" s="30">
        <v>7043.34</v>
      </c>
      <c r="T51" s="30">
        <v>1127.6600000000001</v>
      </c>
      <c r="U51" s="30">
        <v>1271609.3999999999</v>
      </c>
      <c r="V51" s="30">
        <v>1127.7</v>
      </c>
      <c r="W51" s="23"/>
      <c r="X51" s="30">
        <v>7055.73</v>
      </c>
      <c r="Y51" s="30">
        <v>1115.27</v>
      </c>
      <c r="Z51" s="30">
        <v>1243821.5</v>
      </c>
      <c r="AA51" s="30">
        <v>1115.3</v>
      </c>
      <c r="AB51" s="23"/>
      <c r="AC51" s="30">
        <v>7108.38</v>
      </c>
      <c r="AD51" s="30">
        <v>1062.6199999999999</v>
      </c>
      <c r="AE51" s="30">
        <v>1129168.5</v>
      </c>
      <c r="AF51" s="30">
        <v>1062.5999999999999</v>
      </c>
      <c r="AG51" s="23"/>
      <c r="AH51" s="30">
        <v>7176.77</v>
      </c>
      <c r="AI51" s="27">
        <v>994.23</v>
      </c>
      <c r="AJ51" s="30">
        <v>988498.7</v>
      </c>
      <c r="AK51" s="27">
        <v>994.2</v>
      </c>
      <c r="AL51" s="23"/>
      <c r="AM51" s="30">
        <v>7251.39</v>
      </c>
      <c r="AN51" s="27">
        <v>919.61</v>
      </c>
      <c r="AO51" s="30">
        <v>845691.2</v>
      </c>
      <c r="AP51" s="27">
        <v>919.6</v>
      </c>
      <c r="AQ51" s="23"/>
      <c r="AR51" s="30">
        <v>7329.79</v>
      </c>
      <c r="AS51" s="27">
        <v>841.21</v>
      </c>
      <c r="AT51" s="30">
        <v>707633.6</v>
      </c>
      <c r="AU51" s="27">
        <v>841.2</v>
      </c>
    </row>
    <row r="52" spans="1:47" ht="18" x14ac:dyDescent="0.2">
      <c r="A52" s="26">
        <v>45847</v>
      </c>
      <c r="B52" s="40">
        <v>6340</v>
      </c>
      <c r="C52" s="23"/>
      <c r="D52" s="30">
        <v>8346.7900000000009</v>
      </c>
      <c r="E52" s="30">
        <v>-2006.79</v>
      </c>
      <c r="F52" s="30">
        <v>4027214.5</v>
      </c>
      <c r="G52" s="30">
        <v>2006.8</v>
      </c>
      <c r="H52" s="23"/>
      <c r="I52" s="30">
        <v>7562.95</v>
      </c>
      <c r="J52" s="30">
        <v>-1222.95</v>
      </c>
      <c r="K52" s="30">
        <v>1495602.5</v>
      </c>
      <c r="L52" s="30">
        <v>1222.9000000000001</v>
      </c>
      <c r="M52" s="23"/>
      <c r="N52" s="30">
        <v>7436.85</v>
      </c>
      <c r="O52" s="30">
        <v>-1096.8499999999999</v>
      </c>
      <c r="P52" s="30">
        <v>1203077.7</v>
      </c>
      <c r="Q52" s="30">
        <v>1096.8</v>
      </c>
      <c r="R52" s="23"/>
      <c r="S52" s="30">
        <v>7494.41</v>
      </c>
      <c r="T52" s="30">
        <v>-1154.4100000000001</v>
      </c>
      <c r="U52" s="30">
        <v>1332653.3</v>
      </c>
      <c r="V52" s="30">
        <v>1154.4000000000001</v>
      </c>
      <c r="W52" s="23"/>
      <c r="X52" s="30">
        <v>7613.37</v>
      </c>
      <c r="Y52" s="30">
        <v>-1273.3699999999999</v>
      </c>
      <c r="Z52" s="30">
        <v>1621461.7</v>
      </c>
      <c r="AA52" s="30">
        <v>1273.4000000000001</v>
      </c>
      <c r="AB52" s="23"/>
      <c r="AC52" s="30">
        <v>7745.95</v>
      </c>
      <c r="AD52" s="30">
        <v>-1405.95</v>
      </c>
      <c r="AE52" s="30">
        <v>1976697.2</v>
      </c>
      <c r="AF52" s="30">
        <v>1406</v>
      </c>
      <c r="AG52" s="23"/>
      <c r="AH52" s="30">
        <v>7872.73</v>
      </c>
      <c r="AI52" s="30">
        <v>-1532.73</v>
      </c>
      <c r="AJ52" s="30">
        <v>2349261.7999999998</v>
      </c>
      <c r="AK52" s="30">
        <v>1532.7</v>
      </c>
      <c r="AL52" s="23"/>
      <c r="AM52" s="30">
        <v>7987.08</v>
      </c>
      <c r="AN52" s="30">
        <v>-1647.08</v>
      </c>
      <c r="AO52" s="30">
        <v>2712862.8</v>
      </c>
      <c r="AP52" s="30">
        <v>1647.1</v>
      </c>
      <c r="AQ52" s="23"/>
      <c r="AR52" s="30">
        <v>8086.88</v>
      </c>
      <c r="AS52" s="30">
        <v>-1746.88</v>
      </c>
      <c r="AT52" s="30">
        <v>3051586.4</v>
      </c>
      <c r="AU52" s="30">
        <v>1746.9</v>
      </c>
    </row>
    <row r="53" spans="1:47" ht="18" x14ac:dyDescent="0.2">
      <c r="A53" s="26">
        <v>45878</v>
      </c>
      <c r="B53" s="40">
        <v>7800</v>
      </c>
      <c r="C53" s="23"/>
      <c r="D53" s="30">
        <v>8146.11</v>
      </c>
      <c r="E53" s="27">
        <v>-346.11</v>
      </c>
      <c r="F53" s="30">
        <v>119794.1</v>
      </c>
      <c r="G53" s="27">
        <v>346.1</v>
      </c>
      <c r="H53" s="23"/>
      <c r="I53" s="30">
        <v>7318.36</v>
      </c>
      <c r="J53" s="27">
        <v>481.64</v>
      </c>
      <c r="K53" s="30">
        <v>231978.4</v>
      </c>
      <c r="L53" s="27">
        <v>481.6</v>
      </c>
      <c r="M53" s="23"/>
      <c r="N53" s="30">
        <v>7107.79</v>
      </c>
      <c r="O53" s="27">
        <v>692.21</v>
      </c>
      <c r="P53" s="30">
        <v>479148.79999999999</v>
      </c>
      <c r="Q53" s="27">
        <v>692.2</v>
      </c>
      <c r="R53" s="23"/>
      <c r="S53" s="30">
        <v>7032.64</v>
      </c>
      <c r="T53" s="27">
        <v>767.36</v>
      </c>
      <c r="U53" s="30">
        <v>588835.80000000005</v>
      </c>
      <c r="V53" s="27">
        <v>767.4</v>
      </c>
      <c r="W53" s="23"/>
      <c r="X53" s="30">
        <v>6976.68</v>
      </c>
      <c r="Y53" s="27">
        <v>823.32</v>
      </c>
      <c r="Z53" s="30">
        <v>677850.7</v>
      </c>
      <c r="AA53" s="27">
        <v>823.3</v>
      </c>
      <c r="AB53" s="23"/>
      <c r="AC53" s="30">
        <v>6902.38</v>
      </c>
      <c r="AD53" s="27">
        <v>897.62</v>
      </c>
      <c r="AE53" s="30">
        <v>805721.2</v>
      </c>
      <c r="AF53" s="27">
        <v>897.6</v>
      </c>
      <c r="AG53" s="23"/>
      <c r="AH53" s="30">
        <v>6799.82</v>
      </c>
      <c r="AI53" s="30">
        <v>1000.18</v>
      </c>
      <c r="AJ53" s="30">
        <v>1000361.9</v>
      </c>
      <c r="AK53" s="30">
        <v>1000.2</v>
      </c>
      <c r="AL53" s="23"/>
      <c r="AM53" s="30">
        <v>6669.42</v>
      </c>
      <c r="AN53" s="30">
        <v>1130.58</v>
      </c>
      <c r="AO53" s="30">
        <v>1278221.5</v>
      </c>
      <c r="AP53" s="30">
        <v>1130.5999999999999</v>
      </c>
      <c r="AQ53" s="23"/>
      <c r="AR53" s="30">
        <v>6514.69</v>
      </c>
      <c r="AS53" s="30">
        <v>1285.31</v>
      </c>
      <c r="AT53" s="30">
        <v>1652027.2</v>
      </c>
      <c r="AU53" s="30">
        <v>1285.3</v>
      </c>
    </row>
    <row r="54" spans="1:47" ht="18" x14ac:dyDescent="0.2">
      <c r="A54" s="26">
        <v>45909</v>
      </c>
      <c r="B54" s="40">
        <v>5438</v>
      </c>
      <c r="C54" s="23"/>
      <c r="D54" s="30">
        <v>8111.5</v>
      </c>
      <c r="E54" s="30">
        <v>-2673.5</v>
      </c>
      <c r="F54" s="30">
        <v>7147610.7999999998</v>
      </c>
      <c r="G54" s="30">
        <v>2673.5</v>
      </c>
      <c r="H54" s="23"/>
      <c r="I54" s="30">
        <v>7414.69</v>
      </c>
      <c r="J54" s="30">
        <v>-1976.69</v>
      </c>
      <c r="K54" s="30">
        <v>3907291.1</v>
      </c>
      <c r="L54" s="30">
        <v>1976.7</v>
      </c>
      <c r="M54" s="23"/>
      <c r="N54" s="30">
        <v>7315.46</v>
      </c>
      <c r="O54" s="30">
        <v>-1877.46</v>
      </c>
      <c r="P54" s="30">
        <v>3524841</v>
      </c>
      <c r="Q54" s="30">
        <v>1877.5</v>
      </c>
      <c r="R54" s="23"/>
      <c r="S54" s="30">
        <v>7339.59</v>
      </c>
      <c r="T54" s="30">
        <v>-1901.59</v>
      </c>
      <c r="U54" s="30">
        <v>3616030</v>
      </c>
      <c r="V54" s="30">
        <v>1901.6</v>
      </c>
      <c r="W54" s="23"/>
      <c r="X54" s="30">
        <v>7388.34</v>
      </c>
      <c r="Y54" s="30">
        <v>-1950.34</v>
      </c>
      <c r="Z54" s="30">
        <v>3803832.2</v>
      </c>
      <c r="AA54" s="30">
        <v>1950.3</v>
      </c>
      <c r="AB54" s="23"/>
      <c r="AC54" s="30">
        <v>7440.95</v>
      </c>
      <c r="AD54" s="30">
        <v>-2002.95</v>
      </c>
      <c r="AE54" s="30">
        <v>4011817.1</v>
      </c>
      <c r="AF54" s="30">
        <v>2003</v>
      </c>
      <c r="AG54" s="23"/>
      <c r="AH54" s="30">
        <v>7499.95</v>
      </c>
      <c r="AI54" s="30">
        <v>-2061.9499999999998</v>
      </c>
      <c r="AJ54" s="30">
        <v>4251620.0999999996</v>
      </c>
      <c r="AK54" s="30">
        <v>2061.9</v>
      </c>
      <c r="AL54" s="23"/>
      <c r="AM54" s="30">
        <v>7573.88</v>
      </c>
      <c r="AN54" s="30">
        <v>-2135.88</v>
      </c>
      <c r="AO54" s="30">
        <v>4561996.5</v>
      </c>
      <c r="AP54" s="30">
        <v>2135.9</v>
      </c>
      <c r="AQ54" s="23"/>
      <c r="AR54" s="30">
        <v>7671.47</v>
      </c>
      <c r="AS54" s="30">
        <v>-2233.4699999999998</v>
      </c>
      <c r="AT54" s="30">
        <v>4988382.8</v>
      </c>
      <c r="AU54" s="30">
        <v>2233.5</v>
      </c>
    </row>
    <row r="55" spans="1:47" ht="18" x14ac:dyDescent="0.2">
      <c r="A55" s="26">
        <v>45939</v>
      </c>
      <c r="B55" s="40">
        <v>6339</v>
      </c>
      <c r="C55" s="23"/>
      <c r="D55" s="30">
        <v>7844.15</v>
      </c>
      <c r="E55" s="30">
        <v>-1505.15</v>
      </c>
      <c r="F55" s="30">
        <v>2265480.9</v>
      </c>
      <c r="G55" s="30">
        <v>1505.2</v>
      </c>
      <c r="H55" s="23"/>
      <c r="I55" s="30">
        <v>7019.35</v>
      </c>
      <c r="J55" s="27">
        <v>-680.35</v>
      </c>
      <c r="K55" s="30">
        <v>462875.5</v>
      </c>
      <c r="L55" s="27">
        <v>680.3</v>
      </c>
      <c r="M55" s="23"/>
      <c r="N55" s="30">
        <v>6752.22</v>
      </c>
      <c r="O55" s="27">
        <v>-413.22</v>
      </c>
      <c r="P55" s="30">
        <v>170750.1</v>
      </c>
      <c r="Q55" s="27">
        <v>413.2</v>
      </c>
      <c r="R55" s="23"/>
      <c r="S55" s="30">
        <v>6578.95</v>
      </c>
      <c r="T55" s="27">
        <v>-239.95</v>
      </c>
      <c r="U55" s="30">
        <v>57576.800000000003</v>
      </c>
      <c r="V55" s="27">
        <v>240</v>
      </c>
      <c r="W55" s="23"/>
      <c r="X55" s="30">
        <v>6413.17</v>
      </c>
      <c r="Y55" s="27">
        <v>-74.17</v>
      </c>
      <c r="Z55" s="30">
        <v>5501.3</v>
      </c>
      <c r="AA55" s="27">
        <v>74.2</v>
      </c>
      <c r="AB55" s="23"/>
      <c r="AC55" s="30">
        <v>6239.18</v>
      </c>
      <c r="AD55" s="27">
        <v>99.82</v>
      </c>
      <c r="AE55" s="30">
        <v>9963.9</v>
      </c>
      <c r="AF55" s="27">
        <v>99.8</v>
      </c>
      <c r="AG55" s="23"/>
      <c r="AH55" s="30">
        <v>6056.58</v>
      </c>
      <c r="AI55" s="27">
        <v>282.42</v>
      </c>
      <c r="AJ55" s="30">
        <v>79759</v>
      </c>
      <c r="AK55" s="27">
        <v>282.39999999999998</v>
      </c>
      <c r="AL55" s="23"/>
      <c r="AM55" s="30">
        <v>5865.18</v>
      </c>
      <c r="AN55" s="27">
        <v>473.82</v>
      </c>
      <c r="AO55" s="30">
        <v>224508.6</v>
      </c>
      <c r="AP55" s="27">
        <v>473.8</v>
      </c>
      <c r="AQ55" s="23"/>
      <c r="AR55" s="30">
        <v>5661.35</v>
      </c>
      <c r="AS55" s="27">
        <v>677.65</v>
      </c>
      <c r="AT55" s="30">
        <v>459213.8</v>
      </c>
      <c r="AU55" s="27">
        <v>677.7</v>
      </c>
    </row>
    <row r="56" spans="1:47" ht="18" x14ac:dyDescent="0.2">
      <c r="A56" s="26">
        <v>45970</v>
      </c>
      <c r="B56" s="40">
        <v>6502</v>
      </c>
      <c r="C56" s="23"/>
      <c r="D56" s="30">
        <v>7693.64</v>
      </c>
      <c r="E56" s="30">
        <v>-1191.6400000000001</v>
      </c>
      <c r="F56" s="30">
        <v>1419997.1</v>
      </c>
      <c r="G56" s="30">
        <v>1191.5999999999999</v>
      </c>
      <c r="H56" s="23"/>
      <c r="I56" s="30">
        <v>6883.28</v>
      </c>
      <c r="J56" s="27">
        <v>-381.28</v>
      </c>
      <c r="K56" s="30">
        <v>145374.1</v>
      </c>
      <c r="L56" s="27">
        <v>381.3</v>
      </c>
      <c r="M56" s="23"/>
      <c r="N56" s="30">
        <v>6628.25</v>
      </c>
      <c r="O56" s="27">
        <v>-126.25</v>
      </c>
      <c r="P56" s="30">
        <v>15939.9</v>
      </c>
      <c r="Q56" s="27">
        <v>126.3</v>
      </c>
      <c r="R56" s="23"/>
      <c r="S56" s="30">
        <v>6482.97</v>
      </c>
      <c r="T56" s="27">
        <v>19.03</v>
      </c>
      <c r="U56" s="27">
        <v>362.1</v>
      </c>
      <c r="V56" s="27">
        <v>19</v>
      </c>
      <c r="W56" s="23"/>
      <c r="X56" s="30">
        <v>6376.09</v>
      </c>
      <c r="Y56" s="27">
        <v>125.91</v>
      </c>
      <c r="Z56" s="30">
        <v>15854.5</v>
      </c>
      <c r="AA56" s="27">
        <v>125.9</v>
      </c>
      <c r="AB56" s="23"/>
      <c r="AC56" s="30">
        <v>6299.07</v>
      </c>
      <c r="AD56" s="27">
        <v>202.93</v>
      </c>
      <c r="AE56" s="30">
        <v>41179.599999999999</v>
      </c>
      <c r="AF56" s="27">
        <v>202.9</v>
      </c>
      <c r="AG56" s="23"/>
      <c r="AH56" s="30">
        <v>6254.28</v>
      </c>
      <c r="AI56" s="27">
        <v>247.72</v>
      </c>
      <c r="AJ56" s="30">
        <v>61367.6</v>
      </c>
      <c r="AK56" s="27">
        <v>247.7</v>
      </c>
      <c r="AL56" s="23"/>
      <c r="AM56" s="30">
        <v>6244.24</v>
      </c>
      <c r="AN56" s="27">
        <v>257.76</v>
      </c>
      <c r="AO56" s="30">
        <v>66442.600000000006</v>
      </c>
      <c r="AP56" s="27">
        <v>257.8</v>
      </c>
      <c r="AQ56" s="23"/>
      <c r="AR56" s="30">
        <v>6271.23</v>
      </c>
      <c r="AS56" s="27">
        <v>230.77</v>
      </c>
      <c r="AT56" s="30">
        <v>53252.6</v>
      </c>
      <c r="AU56" s="27">
        <v>230.8</v>
      </c>
    </row>
    <row r="57" spans="1:47" ht="18" x14ac:dyDescent="0.2">
      <c r="A57" s="26">
        <v>46000</v>
      </c>
      <c r="B57" s="40">
        <v>9184</v>
      </c>
      <c r="C57" s="23"/>
      <c r="D57" s="30">
        <v>7574.47</v>
      </c>
      <c r="E57" s="30">
        <v>1609.53</v>
      </c>
      <c r="F57" s="30">
        <v>2590578.2000000002</v>
      </c>
      <c r="G57" s="30">
        <v>1609.5</v>
      </c>
      <c r="H57" s="23"/>
      <c r="I57" s="30">
        <v>6807.02</v>
      </c>
      <c r="J57" s="30">
        <v>2376.98</v>
      </c>
      <c r="K57" s="30">
        <v>5650016.4000000004</v>
      </c>
      <c r="L57" s="30">
        <v>2377</v>
      </c>
      <c r="M57" s="23"/>
      <c r="N57" s="30">
        <v>6590.38</v>
      </c>
      <c r="O57" s="30">
        <v>2593.62</v>
      </c>
      <c r="P57" s="30">
        <v>6726878.2000000002</v>
      </c>
      <c r="Q57" s="30">
        <v>2593.6</v>
      </c>
      <c r="R57" s="23"/>
      <c r="S57" s="30">
        <v>6490.58</v>
      </c>
      <c r="T57" s="30">
        <v>2693.42</v>
      </c>
      <c r="U57" s="30">
        <v>7254497.2000000002</v>
      </c>
      <c r="V57" s="30">
        <v>2693.4</v>
      </c>
      <c r="W57" s="23"/>
      <c r="X57" s="30">
        <v>6439.04</v>
      </c>
      <c r="Y57" s="30">
        <v>2744.96</v>
      </c>
      <c r="Z57" s="30">
        <v>7534790.5999999996</v>
      </c>
      <c r="AA57" s="30">
        <v>2745</v>
      </c>
      <c r="AB57" s="23"/>
      <c r="AC57" s="30">
        <v>6420.83</v>
      </c>
      <c r="AD57" s="30">
        <v>2763.17</v>
      </c>
      <c r="AE57" s="30">
        <v>7635114.2999999998</v>
      </c>
      <c r="AF57" s="30">
        <v>2763.2</v>
      </c>
      <c r="AG57" s="23"/>
      <c r="AH57" s="30">
        <v>6427.68</v>
      </c>
      <c r="AI57" s="30">
        <v>2756.32</v>
      </c>
      <c r="AJ57" s="30">
        <v>7597286</v>
      </c>
      <c r="AK57" s="30">
        <v>2756.3</v>
      </c>
      <c r="AL57" s="23"/>
      <c r="AM57" s="30">
        <v>6450.45</v>
      </c>
      <c r="AN57" s="30">
        <v>2733.55</v>
      </c>
      <c r="AO57" s="30">
        <v>7472311.7000000002</v>
      </c>
      <c r="AP57" s="30">
        <v>2733.6</v>
      </c>
      <c r="AQ57" s="23"/>
      <c r="AR57" s="30">
        <v>6478.92</v>
      </c>
      <c r="AS57" s="30">
        <v>2705.08</v>
      </c>
      <c r="AT57" s="30">
        <v>7317439</v>
      </c>
      <c r="AU57" s="30">
        <v>2705.1</v>
      </c>
    </row>
    <row r="58" spans="1:47" ht="18" x14ac:dyDescent="0.2">
      <c r="A58" s="26">
        <v>45667</v>
      </c>
      <c r="B58" s="40">
        <v>4865</v>
      </c>
      <c r="C58" s="23"/>
      <c r="D58" s="30">
        <v>7735.43</v>
      </c>
      <c r="E58" s="30">
        <v>-2870.43</v>
      </c>
      <c r="F58" s="30">
        <v>8239342</v>
      </c>
      <c r="G58" s="30">
        <v>2870.4</v>
      </c>
      <c r="H58" s="23"/>
      <c r="I58" s="30">
        <v>7282.42</v>
      </c>
      <c r="J58" s="30">
        <v>-2417.42</v>
      </c>
      <c r="K58" s="30">
        <v>5843914.4000000004</v>
      </c>
      <c r="L58" s="30">
        <v>2417.4</v>
      </c>
      <c r="M58" s="23"/>
      <c r="N58" s="30">
        <v>7368.46</v>
      </c>
      <c r="O58" s="30">
        <v>-2503.46</v>
      </c>
      <c r="P58" s="30">
        <v>6267332.9000000004</v>
      </c>
      <c r="Q58" s="30">
        <v>2503.5</v>
      </c>
      <c r="R58" s="23"/>
      <c r="S58" s="30">
        <v>7567.95</v>
      </c>
      <c r="T58" s="30">
        <v>-2702.95</v>
      </c>
      <c r="U58" s="30">
        <v>7305936.4000000004</v>
      </c>
      <c r="V58" s="30">
        <v>2702.9</v>
      </c>
      <c r="W58" s="23"/>
      <c r="X58" s="30">
        <v>7811.52</v>
      </c>
      <c r="Y58" s="30">
        <v>-2946.52</v>
      </c>
      <c r="Z58" s="30">
        <v>8681988.0999999996</v>
      </c>
      <c r="AA58" s="30">
        <v>2946.5</v>
      </c>
      <c r="AB58" s="23"/>
      <c r="AC58" s="30">
        <v>8078.73</v>
      </c>
      <c r="AD58" s="30">
        <v>-3213.73</v>
      </c>
      <c r="AE58" s="30">
        <v>10328070.6</v>
      </c>
      <c r="AF58" s="30">
        <v>3213.7</v>
      </c>
      <c r="AG58" s="23"/>
      <c r="AH58" s="30">
        <v>8357.1</v>
      </c>
      <c r="AI58" s="30">
        <v>-3492.1</v>
      </c>
      <c r="AJ58" s="30">
        <v>12194795.699999999</v>
      </c>
      <c r="AK58" s="30">
        <v>3492.1</v>
      </c>
      <c r="AL58" s="23"/>
      <c r="AM58" s="30">
        <v>8637.2900000000009</v>
      </c>
      <c r="AN58" s="30">
        <v>-3772.29</v>
      </c>
      <c r="AO58" s="30">
        <v>14230167.4</v>
      </c>
      <c r="AP58" s="30">
        <v>3772.3</v>
      </c>
      <c r="AQ58" s="23"/>
      <c r="AR58" s="30">
        <v>8913.49</v>
      </c>
      <c r="AS58" s="30">
        <v>-4048.49</v>
      </c>
      <c r="AT58" s="30">
        <v>16390290.300000001</v>
      </c>
      <c r="AU58" s="30">
        <v>4048.5</v>
      </c>
    </row>
    <row r="59" spans="1:47" ht="18" x14ac:dyDescent="0.2">
      <c r="A59" s="26">
        <v>45698</v>
      </c>
      <c r="B59" s="40">
        <v>6672</v>
      </c>
      <c r="C59" s="23"/>
      <c r="D59" s="30">
        <v>7448.38</v>
      </c>
      <c r="E59" s="27">
        <v>-776.38</v>
      </c>
      <c r="F59" s="30">
        <v>602770.30000000005</v>
      </c>
      <c r="G59" s="27">
        <v>776.4</v>
      </c>
      <c r="H59" s="23"/>
      <c r="I59" s="30">
        <v>6798.94</v>
      </c>
      <c r="J59" s="27">
        <v>-126.94</v>
      </c>
      <c r="K59" s="30">
        <v>16112.5</v>
      </c>
      <c r="L59" s="27">
        <v>126.9</v>
      </c>
      <c r="M59" s="23"/>
      <c r="N59" s="30">
        <v>6617.42</v>
      </c>
      <c r="O59" s="27">
        <v>54.58</v>
      </c>
      <c r="P59" s="30">
        <v>2978.4</v>
      </c>
      <c r="Q59" s="27">
        <v>54.6</v>
      </c>
      <c r="R59" s="23"/>
      <c r="S59" s="30">
        <v>6486.77</v>
      </c>
      <c r="T59" s="27">
        <v>185.23</v>
      </c>
      <c r="U59" s="30">
        <v>34310.199999999997</v>
      </c>
      <c r="V59" s="27">
        <v>185.2</v>
      </c>
      <c r="W59" s="23"/>
      <c r="X59" s="30">
        <v>6338.26</v>
      </c>
      <c r="Y59" s="27">
        <v>333.74</v>
      </c>
      <c r="Z59" s="30">
        <v>111381.9</v>
      </c>
      <c r="AA59" s="27">
        <v>333.7</v>
      </c>
      <c r="AB59" s="23"/>
      <c r="AC59" s="30">
        <v>6150.49</v>
      </c>
      <c r="AD59" s="27">
        <v>521.51</v>
      </c>
      <c r="AE59" s="30">
        <v>271969.90000000002</v>
      </c>
      <c r="AF59" s="27">
        <v>521.5</v>
      </c>
      <c r="AG59" s="23"/>
      <c r="AH59" s="30">
        <v>5912.63</v>
      </c>
      <c r="AI59" s="27">
        <v>759.37</v>
      </c>
      <c r="AJ59" s="30">
        <v>576640.6</v>
      </c>
      <c r="AK59" s="27">
        <v>759.4</v>
      </c>
      <c r="AL59" s="23"/>
      <c r="AM59" s="30">
        <v>5619.46</v>
      </c>
      <c r="AN59" s="30">
        <v>1052.54</v>
      </c>
      <c r="AO59" s="30">
        <v>1107844.8999999999</v>
      </c>
      <c r="AP59" s="30">
        <v>1052.5</v>
      </c>
      <c r="AQ59" s="23"/>
      <c r="AR59" s="30">
        <v>5269.85</v>
      </c>
      <c r="AS59" s="30">
        <v>1402.15</v>
      </c>
      <c r="AT59" s="30">
        <v>1966026.8</v>
      </c>
      <c r="AU59" s="30">
        <v>1402.2</v>
      </c>
    </row>
    <row r="60" spans="1:47" ht="18" x14ac:dyDescent="0.2">
      <c r="A60" s="26">
        <v>45726</v>
      </c>
      <c r="B60" s="40">
        <v>10432</v>
      </c>
      <c r="C60" s="23"/>
      <c r="D60" s="30">
        <v>7370.74</v>
      </c>
      <c r="E60" s="30">
        <v>3061.26</v>
      </c>
      <c r="F60" s="30">
        <v>9371284.8000000007</v>
      </c>
      <c r="G60" s="30">
        <v>3061.3</v>
      </c>
      <c r="H60" s="23"/>
      <c r="I60" s="30">
        <v>6773.55</v>
      </c>
      <c r="J60" s="30">
        <v>3658.45</v>
      </c>
      <c r="K60" s="30">
        <v>13384270.1</v>
      </c>
      <c r="L60" s="30">
        <v>3658.5</v>
      </c>
      <c r="M60" s="23"/>
      <c r="N60" s="30">
        <v>6633.8</v>
      </c>
      <c r="O60" s="30">
        <v>3798.2</v>
      </c>
      <c r="P60" s="30">
        <v>14426342.6</v>
      </c>
      <c r="Q60" s="30">
        <v>3798.2</v>
      </c>
      <c r="R60" s="23"/>
      <c r="S60" s="30">
        <v>6560.86</v>
      </c>
      <c r="T60" s="30">
        <v>3871.14</v>
      </c>
      <c r="U60" s="30">
        <v>14985710.6</v>
      </c>
      <c r="V60" s="30">
        <v>3871.1</v>
      </c>
      <c r="W60" s="23"/>
      <c r="X60" s="30">
        <v>6505.13</v>
      </c>
      <c r="Y60" s="30">
        <v>3926.87</v>
      </c>
      <c r="Z60" s="30">
        <v>15420305.4</v>
      </c>
      <c r="AA60" s="30">
        <v>3926.9</v>
      </c>
      <c r="AB60" s="23"/>
      <c r="AC60" s="30">
        <v>6463.4</v>
      </c>
      <c r="AD60" s="30">
        <v>3968.6</v>
      </c>
      <c r="AE60" s="30">
        <v>15749809.4</v>
      </c>
      <c r="AF60" s="30">
        <v>3968.6</v>
      </c>
      <c r="AG60" s="23"/>
      <c r="AH60" s="30">
        <v>6444.19</v>
      </c>
      <c r="AI60" s="30">
        <v>3987.81</v>
      </c>
      <c r="AJ60" s="30">
        <v>15902633.199999999</v>
      </c>
      <c r="AK60" s="30">
        <v>3987.8</v>
      </c>
      <c r="AL60" s="23"/>
      <c r="AM60" s="30">
        <v>6461.49</v>
      </c>
      <c r="AN60" s="30">
        <v>3970.51</v>
      </c>
      <c r="AO60" s="30">
        <v>15764937.1</v>
      </c>
      <c r="AP60" s="30">
        <v>3970.5</v>
      </c>
      <c r="AQ60" s="23"/>
      <c r="AR60" s="30">
        <v>6531.78</v>
      </c>
      <c r="AS60" s="30">
        <v>3900.22</v>
      </c>
      <c r="AT60" s="30">
        <v>15211677.6</v>
      </c>
      <c r="AU60" s="30">
        <v>3900.2</v>
      </c>
    </row>
    <row r="61" spans="1:47" ht="18" x14ac:dyDescent="0.2">
      <c r="A61" s="26">
        <v>45757</v>
      </c>
      <c r="B61" s="40">
        <v>9322</v>
      </c>
      <c r="C61" s="23"/>
      <c r="D61" s="30">
        <v>7676.87</v>
      </c>
      <c r="E61" s="30">
        <v>1645.13</v>
      </c>
      <c r="F61" s="30">
        <v>2706452.3</v>
      </c>
      <c r="G61" s="30">
        <v>1645.1</v>
      </c>
      <c r="H61" s="23"/>
      <c r="I61" s="30">
        <v>7505.24</v>
      </c>
      <c r="J61" s="30">
        <v>1816.76</v>
      </c>
      <c r="K61" s="30">
        <v>3300622.3</v>
      </c>
      <c r="L61" s="30">
        <v>1816.8</v>
      </c>
      <c r="M61" s="23"/>
      <c r="N61" s="30">
        <v>7773.26</v>
      </c>
      <c r="O61" s="30">
        <v>1548.74</v>
      </c>
      <c r="P61" s="30">
        <v>2398601.1</v>
      </c>
      <c r="Q61" s="30">
        <v>1548.7</v>
      </c>
      <c r="R61" s="23"/>
      <c r="S61" s="30">
        <v>8109.32</v>
      </c>
      <c r="T61" s="30">
        <v>1212.68</v>
      </c>
      <c r="U61" s="30">
        <v>1470599.8</v>
      </c>
      <c r="V61" s="30">
        <v>1212.7</v>
      </c>
      <c r="W61" s="23"/>
      <c r="X61" s="30">
        <v>8468.57</v>
      </c>
      <c r="Y61" s="27">
        <v>853.43</v>
      </c>
      <c r="Z61" s="30">
        <v>728351</v>
      </c>
      <c r="AA61" s="27">
        <v>853.4</v>
      </c>
      <c r="AB61" s="23"/>
      <c r="AC61" s="30">
        <v>8844.56</v>
      </c>
      <c r="AD61" s="27">
        <v>477.44</v>
      </c>
      <c r="AE61" s="30">
        <v>227950.1</v>
      </c>
      <c r="AF61" s="27">
        <v>477.4</v>
      </c>
      <c r="AG61" s="23"/>
      <c r="AH61" s="30">
        <v>9235.66</v>
      </c>
      <c r="AI61" s="27">
        <v>86.34</v>
      </c>
      <c r="AJ61" s="30">
        <v>7455.1</v>
      </c>
      <c r="AK61" s="27">
        <v>86.3</v>
      </c>
      <c r="AL61" s="23"/>
      <c r="AM61" s="30">
        <v>9637.9</v>
      </c>
      <c r="AN61" s="27">
        <v>-315.89999999999998</v>
      </c>
      <c r="AO61" s="30">
        <v>99791.7</v>
      </c>
      <c r="AP61" s="27">
        <v>315.89999999999998</v>
      </c>
      <c r="AQ61" s="23"/>
      <c r="AR61" s="30">
        <v>10041.98</v>
      </c>
      <c r="AS61" s="27">
        <v>-719.98</v>
      </c>
      <c r="AT61" s="30">
        <v>518369</v>
      </c>
      <c r="AU61" s="27">
        <v>720</v>
      </c>
    </row>
    <row r="62" spans="1:47" ht="18" x14ac:dyDescent="0.2">
      <c r="A62" s="26">
        <v>45787</v>
      </c>
      <c r="B62" s="40">
        <v>9834</v>
      </c>
      <c r="C62" s="23"/>
      <c r="D62" s="30">
        <v>7841.38</v>
      </c>
      <c r="E62" s="30">
        <v>1992.62</v>
      </c>
      <c r="F62" s="30">
        <v>3970522.1</v>
      </c>
      <c r="G62" s="30">
        <v>1992.6</v>
      </c>
      <c r="H62" s="23"/>
      <c r="I62" s="30">
        <v>7868.59</v>
      </c>
      <c r="J62" s="30">
        <v>1965.41</v>
      </c>
      <c r="K62" s="30">
        <v>3862833.3</v>
      </c>
      <c r="L62" s="30">
        <v>1965.4</v>
      </c>
      <c r="M62" s="23"/>
      <c r="N62" s="30">
        <v>8237.8799999999992</v>
      </c>
      <c r="O62" s="30">
        <v>1596.12</v>
      </c>
      <c r="P62" s="30">
        <v>2547596.7000000002</v>
      </c>
      <c r="Q62" s="30">
        <v>1596.1</v>
      </c>
      <c r="R62" s="23"/>
      <c r="S62" s="30">
        <v>8594.39</v>
      </c>
      <c r="T62" s="30">
        <v>1239.6099999999999</v>
      </c>
      <c r="U62" s="30">
        <v>1536632.3</v>
      </c>
      <c r="V62" s="30">
        <v>1239.5999999999999</v>
      </c>
      <c r="W62" s="23"/>
      <c r="X62" s="30">
        <v>8895.2800000000007</v>
      </c>
      <c r="Y62" s="27">
        <v>938.72</v>
      </c>
      <c r="Z62" s="30">
        <v>881190.40000000002</v>
      </c>
      <c r="AA62" s="27">
        <v>938.7</v>
      </c>
      <c r="AB62" s="23"/>
      <c r="AC62" s="30">
        <v>9131.02</v>
      </c>
      <c r="AD62" s="27">
        <v>702.98</v>
      </c>
      <c r="AE62" s="30">
        <v>494175.9</v>
      </c>
      <c r="AF62" s="27">
        <v>703</v>
      </c>
      <c r="AG62" s="23"/>
      <c r="AH62" s="30">
        <v>9296.1</v>
      </c>
      <c r="AI62" s="27">
        <v>537.9</v>
      </c>
      <c r="AJ62" s="30">
        <v>289339.59999999998</v>
      </c>
      <c r="AK62" s="27">
        <v>537.9</v>
      </c>
      <c r="AL62" s="23"/>
      <c r="AM62" s="30">
        <v>9385.18</v>
      </c>
      <c r="AN62" s="27">
        <v>448.82</v>
      </c>
      <c r="AO62" s="30">
        <v>201439.7</v>
      </c>
      <c r="AP62" s="27">
        <v>448.8</v>
      </c>
      <c r="AQ62" s="23"/>
      <c r="AR62" s="30">
        <v>9394</v>
      </c>
      <c r="AS62" s="27">
        <v>440</v>
      </c>
      <c r="AT62" s="30">
        <v>193601.9</v>
      </c>
      <c r="AU62" s="27">
        <v>440</v>
      </c>
    </row>
    <row r="63" spans="1:47" ht="18" x14ac:dyDescent="0.2">
      <c r="A63" s="26">
        <v>45818</v>
      </c>
      <c r="B63" s="40">
        <v>8986</v>
      </c>
      <c r="C63" s="23"/>
      <c r="D63" s="30">
        <v>8040.64</v>
      </c>
      <c r="E63" s="27">
        <v>945.36</v>
      </c>
      <c r="F63" s="30">
        <v>893696.5</v>
      </c>
      <c r="G63" s="27">
        <v>945.4</v>
      </c>
      <c r="H63" s="23"/>
      <c r="I63" s="30">
        <v>8261.67</v>
      </c>
      <c r="J63" s="27">
        <v>724.33</v>
      </c>
      <c r="K63" s="30">
        <v>524650.1</v>
      </c>
      <c r="L63" s="27">
        <v>724.3</v>
      </c>
      <c r="M63" s="23"/>
      <c r="N63" s="30">
        <v>8716.7199999999993</v>
      </c>
      <c r="O63" s="27">
        <v>269.27999999999997</v>
      </c>
      <c r="P63" s="30">
        <v>72513.600000000006</v>
      </c>
      <c r="Q63" s="27">
        <v>269.3</v>
      </c>
      <c r="R63" s="23"/>
      <c r="S63" s="30">
        <v>9090.23</v>
      </c>
      <c r="T63" s="27">
        <v>-104.23</v>
      </c>
      <c r="U63" s="30">
        <v>10864.8</v>
      </c>
      <c r="V63" s="27">
        <v>104.2</v>
      </c>
      <c r="W63" s="23"/>
      <c r="X63" s="30">
        <v>9364.64</v>
      </c>
      <c r="Y63" s="27">
        <v>-378.64</v>
      </c>
      <c r="Z63" s="30">
        <v>143369.20000000001</v>
      </c>
      <c r="AA63" s="27">
        <v>378.6</v>
      </c>
      <c r="AB63" s="23"/>
      <c r="AC63" s="30">
        <v>9552.81</v>
      </c>
      <c r="AD63" s="27">
        <v>-566.80999999999995</v>
      </c>
      <c r="AE63" s="30">
        <v>321272.90000000002</v>
      </c>
      <c r="AF63" s="27">
        <v>566.79999999999995</v>
      </c>
      <c r="AG63" s="23"/>
      <c r="AH63" s="30">
        <v>9672.6299999999992</v>
      </c>
      <c r="AI63" s="27">
        <v>-686.63</v>
      </c>
      <c r="AJ63" s="30">
        <v>471459.5</v>
      </c>
      <c r="AK63" s="27">
        <v>686.6</v>
      </c>
      <c r="AL63" s="23"/>
      <c r="AM63" s="30">
        <v>9744.24</v>
      </c>
      <c r="AN63" s="27">
        <v>-758.24</v>
      </c>
      <c r="AO63" s="30">
        <v>574921.69999999995</v>
      </c>
      <c r="AP63" s="27">
        <v>758.2</v>
      </c>
      <c r="AQ63" s="23"/>
      <c r="AR63" s="30">
        <v>9790</v>
      </c>
      <c r="AS63" s="27">
        <v>-804</v>
      </c>
      <c r="AT63" s="30">
        <v>646415.69999999995</v>
      </c>
      <c r="AU63" s="27">
        <v>804</v>
      </c>
    </row>
    <row r="64" spans="1:47" ht="18" x14ac:dyDescent="0.2">
      <c r="A64" s="26">
        <v>45848</v>
      </c>
      <c r="B64" s="40">
        <v>9570</v>
      </c>
      <c r="C64" s="23"/>
      <c r="D64" s="30">
        <v>8135.18</v>
      </c>
      <c r="E64" s="30">
        <v>1434.82</v>
      </c>
      <c r="F64" s="30">
        <v>2058707.5</v>
      </c>
      <c r="G64" s="30">
        <v>1434.8</v>
      </c>
      <c r="H64" s="23"/>
      <c r="I64" s="30">
        <v>8406.5400000000009</v>
      </c>
      <c r="J64" s="30">
        <v>1163.46</v>
      </c>
      <c r="K64" s="30">
        <v>1353643.6</v>
      </c>
      <c r="L64" s="30">
        <v>1163.5</v>
      </c>
      <c r="M64" s="23"/>
      <c r="N64" s="30">
        <v>8797.5</v>
      </c>
      <c r="O64" s="27">
        <v>772.5</v>
      </c>
      <c r="P64" s="30">
        <v>596753.80000000005</v>
      </c>
      <c r="Q64" s="27">
        <v>772.5</v>
      </c>
      <c r="R64" s="23"/>
      <c r="S64" s="30">
        <v>9048.5400000000009</v>
      </c>
      <c r="T64" s="27">
        <v>521.46</v>
      </c>
      <c r="U64" s="30">
        <v>271920</v>
      </c>
      <c r="V64" s="27">
        <v>521.5</v>
      </c>
      <c r="W64" s="23"/>
      <c r="X64" s="30">
        <v>9175.32</v>
      </c>
      <c r="Y64" s="27">
        <v>394.68</v>
      </c>
      <c r="Z64" s="30">
        <v>155771.79999999999</v>
      </c>
      <c r="AA64" s="27">
        <v>394.7</v>
      </c>
      <c r="AB64" s="23"/>
      <c r="AC64" s="30">
        <v>9212.7199999999993</v>
      </c>
      <c r="AD64" s="27">
        <v>357.28</v>
      </c>
      <c r="AE64" s="30">
        <v>127646.3</v>
      </c>
      <c r="AF64" s="27">
        <v>357.3</v>
      </c>
      <c r="AG64" s="23"/>
      <c r="AH64" s="30">
        <v>9191.99</v>
      </c>
      <c r="AI64" s="27">
        <v>378.01</v>
      </c>
      <c r="AJ64" s="30">
        <v>142892.5</v>
      </c>
      <c r="AK64" s="27">
        <v>378</v>
      </c>
      <c r="AL64" s="23"/>
      <c r="AM64" s="30">
        <v>9137.65</v>
      </c>
      <c r="AN64" s="27">
        <v>432.35</v>
      </c>
      <c r="AO64" s="30">
        <v>186929</v>
      </c>
      <c r="AP64" s="27">
        <v>432.4</v>
      </c>
      <c r="AQ64" s="23"/>
      <c r="AR64" s="30">
        <v>9066.4</v>
      </c>
      <c r="AS64" s="27">
        <v>503.6</v>
      </c>
      <c r="AT64" s="30">
        <v>253613</v>
      </c>
      <c r="AU64" s="27">
        <v>503.6</v>
      </c>
    </row>
    <row r="65" spans="1:47" ht="18" x14ac:dyDescent="0.2">
      <c r="A65" s="26">
        <v>45879</v>
      </c>
      <c r="B65" s="40">
        <v>8484</v>
      </c>
      <c r="C65" s="23"/>
      <c r="D65" s="30">
        <v>8278.66</v>
      </c>
      <c r="E65" s="27">
        <v>205.34</v>
      </c>
      <c r="F65" s="30">
        <v>42163.6</v>
      </c>
      <c r="G65" s="27">
        <v>205.3</v>
      </c>
      <c r="H65" s="23"/>
      <c r="I65" s="30">
        <v>8639.23</v>
      </c>
      <c r="J65" s="27">
        <v>-155.22999999999999</v>
      </c>
      <c r="K65" s="30">
        <v>24096.5</v>
      </c>
      <c r="L65" s="27">
        <v>155.19999999999999</v>
      </c>
      <c r="M65" s="23"/>
      <c r="N65" s="30">
        <v>9029.25</v>
      </c>
      <c r="O65" s="27">
        <v>-545.25</v>
      </c>
      <c r="P65" s="30">
        <v>297298.8</v>
      </c>
      <c r="Q65" s="27">
        <v>545.29999999999995</v>
      </c>
      <c r="R65" s="23"/>
      <c r="S65" s="30">
        <v>9257.1200000000008</v>
      </c>
      <c r="T65" s="27">
        <v>-773.12</v>
      </c>
      <c r="U65" s="30">
        <v>597721.19999999995</v>
      </c>
      <c r="V65" s="27">
        <v>773.1</v>
      </c>
      <c r="W65" s="23"/>
      <c r="X65" s="30">
        <v>9372.66</v>
      </c>
      <c r="Y65" s="27">
        <v>-888.66</v>
      </c>
      <c r="Z65" s="30">
        <v>789717.2</v>
      </c>
      <c r="AA65" s="27">
        <v>888.7</v>
      </c>
      <c r="AB65" s="23"/>
      <c r="AC65" s="30">
        <v>9427.09</v>
      </c>
      <c r="AD65" s="27">
        <v>-943.09</v>
      </c>
      <c r="AE65" s="30">
        <v>889417.8</v>
      </c>
      <c r="AF65" s="27">
        <v>943.1</v>
      </c>
      <c r="AG65" s="23"/>
      <c r="AH65" s="30">
        <v>9456.6</v>
      </c>
      <c r="AI65" s="27">
        <v>-972.6</v>
      </c>
      <c r="AJ65" s="30">
        <v>945944.2</v>
      </c>
      <c r="AK65" s="27">
        <v>972.6</v>
      </c>
      <c r="AL65" s="23"/>
      <c r="AM65" s="30">
        <v>9483.5300000000007</v>
      </c>
      <c r="AN65" s="27">
        <v>-999.53</v>
      </c>
      <c r="AO65" s="30">
        <v>999059.1</v>
      </c>
      <c r="AP65" s="27">
        <v>999.5</v>
      </c>
      <c r="AQ65" s="23"/>
      <c r="AR65" s="30">
        <v>9519.64</v>
      </c>
      <c r="AS65" s="30">
        <v>-1035.6400000000001</v>
      </c>
      <c r="AT65" s="30">
        <v>1072550.2</v>
      </c>
      <c r="AU65" s="30">
        <v>1035.5999999999999</v>
      </c>
    </row>
    <row r="66" spans="1:47" ht="18" x14ac:dyDescent="0.2">
      <c r="A66" s="26">
        <v>45910</v>
      </c>
      <c r="B66" s="40">
        <v>8059</v>
      </c>
      <c r="C66" s="23"/>
      <c r="D66" s="30">
        <v>8299.2000000000007</v>
      </c>
      <c r="E66" s="27">
        <v>-240.2</v>
      </c>
      <c r="F66" s="30">
        <v>57694.1</v>
      </c>
      <c r="G66" s="27">
        <v>240.2</v>
      </c>
      <c r="H66" s="23"/>
      <c r="I66" s="30">
        <v>8608.18</v>
      </c>
      <c r="J66" s="27">
        <v>-549.17999999999995</v>
      </c>
      <c r="K66" s="30">
        <v>301603.5</v>
      </c>
      <c r="L66" s="27">
        <v>549.20000000000005</v>
      </c>
      <c r="M66" s="23"/>
      <c r="N66" s="30">
        <v>8865.68</v>
      </c>
      <c r="O66" s="27">
        <v>-806.68</v>
      </c>
      <c r="P66" s="30">
        <v>650725.80000000005</v>
      </c>
      <c r="Q66" s="27">
        <v>806.7</v>
      </c>
      <c r="R66" s="23"/>
      <c r="S66" s="30">
        <v>8947.8700000000008</v>
      </c>
      <c r="T66" s="27">
        <v>-888.87</v>
      </c>
      <c r="U66" s="30">
        <v>790098</v>
      </c>
      <c r="V66" s="27">
        <v>888.9</v>
      </c>
      <c r="W66" s="23"/>
      <c r="X66" s="30">
        <v>8928.33</v>
      </c>
      <c r="Y66" s="27">
        <v>-869.33</v>
      </c>
      <c r="Z66" s="30">
        <v>755734.9</v>
      </c>
      <c r="AA66" s="27">
        <v>869.3</v>
      </c>
      <c r="AB66" s="23"/>
      <c r="AC66" s="30">
        <v>8861.24</v>
      </c>
      <c r="AD66" s="27">
        <v>-802.24</v>
      </c>
      <c r="AE66" s="30">
        <v>643582.30000000005</v>
      </c>
      <c r="AF66" s="27">
        <v>802.2</v>
      </c>
      <c r="AG66" s="23"/>
      <c r="AH66" s="30">
        <v>8775.7800000000007</v>
      </c>
      <c r="AI66" s="27">
        <v>-716.78</v>
      </c>
      <c r="AJ66" s="30">
        <v>513772.1</v>
      </c>
      <c r="AK66" s="27">
        <v>716.8</v>
      </c>
      <c r="AL66" s="23"/>
      <c r="AM66" s="30">
        <v>8683.91</v>
      </c>
      <c r="AN66" s="27">
        <v>-624.91</v>
      </c>
      <c r="AO66" s="30">
        <v>390507.4</v>
      </c>
      <c r="AP66" s="27">
        <v>624.9</v>
      </c>
      <c r="AQ66" s="23"/>
      <c r="AR66" s="30">
        <v>8587.56</v>
      </c>
      <c r="AS66" s="27">
        <v>-528.55999999999995</v>
      </c>
      <c r="AT66" s="30">
        <v>279379.90000000002</v>
      </c>
      <c r="AU66" s="27">
        <v>528.6</v>
      </c>
    </row>
    <row r="67" spans="1:47" ht="18" x14ac:dyDescent="0.2">
      <c r="A67" s="26">
        <v>45940</v>
      </c>
      <c r="B67" s="40">
        <v>8169</v>
      </c>
      <c r="C67" s="23"/>
      <c r="D67" s="30">
        <v>8275.18</v>
      </c>
      <c r="E67" s="27">
        <v>-106.18</v>
      </c>
      <c r="F67" s="30">
        <v>11273.4</v>
      </c>
      <c r="G67" s="27">
        <v>106.2</v>
      </c>
      <c r="H67" s="23"/>
      <c r="I67" s="30">
        <v>8498.35</v>
      </c>
      <c r="J67" s="27">
        <v>-329.35</v>
      </c>
      <c r="K67" s="30">
        <v>108469.8</v>
      </c>
      <c r="L67" s="27">
        <v>329.3</v>
      </c>
      <c r="M67" s="23"/>
      <c r="N67" s="30">
        <v>8623.67</v>
      </c>
      <c r="O67" s="27">
        <v>-454.67</v>
      </c>
      <c r="P67" s="30">
        <v>206727.6</v>
      </c>
      <c r="Q67" s="27">
        <v>454.7</v>
      </c>
      <c r="R67" s="23"/>
      <c r="S67" s="30">
        <v>8592.32</v>
      </c>
      <c r="T67" s="27">
        <v>-423.32</v>
      </c>
      <c r="U67" s="30">
        <v>179203.8</v>
      </c>
      <c r="V67" s="27">
        <v>423.3</v>
      </c>
      <c r="W67" s="23"/>
      <c r="X67" s="30">
        <v>8493.67</v>
      </c>
      <c r="Y67" s="27">
        <v>-324.67</v>
      </c>
      <c r="Z67" s="30">
        <v>105407.4</v>
      </c>
      <c r="AA67" s="27">
        <v>324.7</v>
      </c>
      <c r="AB67" s="23"/>
      <c r="AC67" s="30">
        <v>8379.89</v>
      </c>
      <c r="AD67" s="27">
        <v>-210.89</v>
      </c>
      <c r="AE67" s="30">
        <v>44476.4</v>
      </c>
      <c r="AF67" s="27">
        <v>210.9</v>
      </c>
      <c r="AG67" s="23"/>
      <c r="AH67" s="30">
        <v>8274.0300000000007</v>
      </c>
      <c r="AI67" s="27">
        <v>-105.03</v>
      </c>
      <c r="AJ67" s="30">
        <v>11032.1</v>
      </c>
      <c r="AK67" s="27">
        <v>105</v>
      </c>
      <c r="AL67" s="23"/>
      <c r="AM67" s="30">
        <v>8183.98</v>
      </c>
      <c r="AN67" s="27">
        <v>-14.98</v>
      </c>
      <c r="AO67" s="27">
        <v>224.4</v>
      </c>
      <c r="AP67" s="27">
        <v>15</v>
      </c>
      <c r="AQ67" s="23"/>
      <c r="AR67" s="30">
        <v>8111.86</v>
      </c>
      <c r="AS67" s="27">
        <v>57.14</v>
      </c>
      <c r="AT67" s="30">
        <v>3265.4</v>
      </c>
      <c r="AU67" s="27">
        <v>57.1</v>
      </c>
    </row>
    <row r="68" spans="1:47" ht="18" x14ac:dyDescent="0.2">
      <c r="A68" s="26">
        <v>45971</v>
      </c>
      <c r="B68" s="40">
        <v>7593</v>
      </c>
      <c r="C68" s="23"/>
      <c r="D68" s="30">
        <v>8264.56</v>
      </c>
      <c r="E68" s="27">
        <v>-671.56</v>
      </c>
      <c r="F68" s="30">
        <v>450991.2</v>
      </c>
      <c r="G68" s="27">
        <v>671.6</v>
      </c>
      <c r="H68" s="23"/>
      <c r="I68" s="30">
        <v>8432.48</v>
      </c>
      <c r="J68" s="27">
        <v>-839.48</v>
      </c>
      <c r="K68" s="30">
        <v>704723.3</v>
      </c>
      <c r="L68" s="27">
        <v>839.5</v>
      </c>
      <c r="M68" s="23"/>
      <c r="N68" s="30">
        <v>8487.27</v>
      </c>
      <c r="O68" s="27">
        <v>-894.27</v>
      </c>
      <c r="P68" s="30">
        <v>799720.8</v>
      </c>
      <c r="Q68" s="27">
        <v>894.3</v>
      </c>
      <c r="R68" s="23"/>
      <c r="S68" s="30">
        <v>8422.99</v>
      </c>
      <c r="T68" s="27">
        <v>-829.99</v>
      </c>
      <c r="U68" s="30">
        <v>688891.4</v>
      </c>
      <c r="V68" s="27">
        <v>830</v>
      </c>
      <c r="W68" s="23"/>
      <c r="X68" s="30">
        <v>8331.33</v>
      </c>
      <c r="Y68" s="27">
        <v>-738.33</v>
      </c>
      <c r="Z68" s="30">
        <v>545134.9</v>
      </c>
      <c r="AA68" s="27">
        <v>738.3</v>
      </c>
      <c r="AB68" s="23"/>
      <c r="AC68" s="30">
        <v>8253.36</v>
      </c>
      <c r="AD68" s="27">
        <v>-660.36</v>
      </c>
      <c r="AE68" s="30">
        <v>436072.3</v>
      </c>
      <c r="AF68" s="27">
        <v>660.4</v>
      </c>
      <c r="AG68" s="23"/>
      <c r="AH68" s="30">
        <v>8200.51</v>
      </c>
      <c r="AI68" s="27">
        <v>-607.51</v>
      </c>
      <c r="AJ68" s="30">
        <v>369068.5</v>
      </c>
      <c r="AK68" s="27">
        <v>607.5</v>
      </c>
      <c r="AL68" s="23"/>
      <c r="AM68" s="30">
        <v>8172</v>
      </c>
      <c r="AN68" s="27">
        <v>-579</v>
      </c>
      <c r="AO68" s="30">
        <v>335236.59999999998</v>
      </c>
      <c r="AP68" s="27">
        <v>579</v>
      </c>
      <c r="AQ68" s="23"/>
      <c r="AR68" s="30">
        <v>8163.29</v>
      </c>
      <c r="AS68" s="27">
        <v>-570.29</v>
      </c>
      <c r="AT68" s="30">
        <v>325225.7</v>
      </c>
      <c r="AU68" s="27">
        <v>570.29999999999995</v>
      </c>
    </row>
    <row r="69" spans="1:47" ht="18" x14ac:dyDescent="0.2">
      <c r="A69" s="26">
        <v>46001</v>
      </c>
      <c r="B69" s="40">
        <v>10337</v>
      </c>
      <c r="C69" s="23"/>
      <c r="D69" s="30">
        <v>8197.4</v>
      </c>
      <c r="E69" s="30">
        <v>2139.6</v>
      </c>
      <c r="F69" s="30">
        <v>4577875.5999999996</v>
      </c>
      <c r="G69" s="30">
        <v>2139.6</v>
      </c>
      <c r="H69" s="23"/>
      <c r="I69" s="30">
        <v>8264.58</v>
      </c>
      <c r="J69" s="30">
        <v>2072.42</v>
      </c>
      <c r="K69" s="30">
        <v>4294914.7</v>
      </c>
      <c r="L69" s="30">
        <v>2072.4</v>
      </c>
      <c r="M69" s="23"/>
      <c r="N69" s="30">
        <v>8218.99</v>
      </c>
      <c r="O69" s="30">
        <v>2118.0100000000002</v>
      </c>
      <c r="P69" s="30">
        <v>4485967.3</v>
      </c>
      <c r="Q69" s="30">
        <v>2118</v>
      </c>
      <c r="R69" s="23"/>
      <c r="S69" s="30">
        <v>8091</v>
      </c>
      <c r="T69" s="30">
        <v>2246</v>
      </c>
      <c r="U69" s="30">
        <v>5044529.9000000004</v>
      </c>
      <c r="V69" s="30">
        <v>2246</v>
      </c>
      <c r="W69" s="23"/>
      <c r="X69" s="30">
        <v>7962.17</v>
      </c>
      <c r="Y69" s="30">
        <v>2374.83</v>
      </c>
      <c r="Z69" s="30">
        <v>5639835.2000000002</v>
      </c>
      <c r="AA69" s="30">
        <v>2374.8000000000002</v>
      </c>
      <c r="AB69" s="23"/>
      <c r="AC69" s="30">
        <v>7857.14</v>
      </c>
      <c r="AD69" s="30">
        <v>2479.86</v>
      </c>
      <c r="AE69" s="30">
        <v>6149690.2999999998</v>
      </c>
      <c r="AF69" s="30">
        <v>2479.9</v>
      </c>
      <c r="AG69" s="23"/>
      <c r="AH69" s="30">
        <v>7775.25</v>
      </c>
      <c r="AI69" s="30">
        <v>2561.75</v>
      </c>
      <c r="AJ69" s="30">
        <v>6562547.5</v>
      </c>
      <c r="AK69" s="30">
        <v>2561.6999999999998</v>
      </c>
      <c r="AL69" s="23"/>
      <c r="AM69" s="30">
        <v>7708.8</v>
      </c>
      <c r="AN69" s="30">
        <v>2628.2</v>
      </c>
      <c r="AO69" s="30">
        <v>6907439.2000000002</v>
      </c>
      <c r="AP69" s="30">
        <v>2628.2</v>
      </c>
      <c r="AQ69" s="23"/>
      <c r="AR69" s="30">
        <v>7650.03</v>
      </c>
      <c r="AS69" s="30">
        <v>2686.97</v>
      </c>
      <c r="AT69" s="30">
        <v>7219815.5</v>
      </c>
      <c r="AU69" s="30">
        <v>2687</v>
      </c>
    </row>
    <row r="70" spans="1:47" ht="18" x14ac:dyDescent="0.2">
      <c r="A70" s="26">
        <v>45668</v>
      </c>
      <c r="B70" s="40">
        <v>6703</v>
      </c>
      <c r="C70" s="23"/>
      <c r="D70" s="30">
        <v>8411.36</v>
      </c>
      <c r="E70" s="30">
        <v>-1708.36</v>
      </c>
      <c r="F70" s="30">
        <v>2918502.9</v>
      </c>
      <c r="G70" s="30">
        <v>1708.4</v>
      </c>
      <c r="H70" s="23"/>
      <c r="I70" s="30">
        <v>8679.07</v>
      </c>
      <c r="J70" s="30">
        <v>-1976.07</v>
      </c>
      <c r="K70" s="30">
        <v>3904836.5</v>
      </c>
      <c r="L70" s="30">
        <v>1976.1</v>
      </c>
      <c r="M70" s="23"/>
      <c r="N70" s="30">
        <v>8854.39</v>
      </c>
      <c r="O70" s="30">
        <v>-2151.39</v>
      </c>
      <c r="P70" s="30">
        <v>4628491.2</v>
      </c>
      <c r="Q70" s="30">
        <v>2151.4</v>
      </c>
      <c r="R70" s="23"/>
      <c r="S70" s="30">
        <v>8989.4</v>
      </c>
      <c r="T70" s="30">
        <v>-2286.4</v>
      </c>
      <c r="U70" s="30">
        <v>5227616.5</v>
      </c>
      <c r="V70" s="30">
        <v>2286.4</v>
      </c>
      <c r="W70" s="23"/>
      <c r="X70" s="30">
        <v>9149.58</v>
      </c>
      <c r="Y70" s="30">
        <v>-2446.58</v>
      </c>
      <c r="Z70" s="30">
        <v>5985769</v>
      </c>
      <c r="AA70" s="30">
        <v>2446.6</v>
      </c>
      <c r="AB70" s="23"/>
      <c r="AC70" s="30">
        <v>9345.06</v>
      </c>
      <c r="AD70" s="30">
        <v>-2642.06</v>
      </c>
      <c r="AE70" s="30">
        <v>6980466.4000000004</v>
      </c>
      <c r="AF70" s="30">
        <v>2642.1</v>
      </c>
      <c r="AG70" s="23"/>
      <c r="AH70" s="30">
        <v>9568.48</v>
      </c>
      <c r="AI70" s="30">
        <v>-2865.48</v>
      </c>
      <c r="AJ70" s="30">
        <v>8210952.2000000002</v>
      </c>
      <c r="AK70" s="30">
        <v>2865.5</v>
      </c>
      <c r="AL70" s="23"/>
      <c r="AM70" s="30">
        <v>9811.36</v>
      </c>
      <c r="AN70" s="30">
        <v>-3108.36</v>
      </c>
      <c r="AO70" s="30">
        <v>9661901</v>
      </c>
      <c r="AP70" s="30">
        <v>3108.4</v>
      </c>
      <c r="AQ70" s="23"/>
      <c r="AR70" s="30">
        <v>10068.299999999999</v>
      </c>
      <c r="AS70" s="30">
        <v>-3365.3</v>
      </c>
      <c r="AT70" s="30">
        <v>11325263.300000001</v>
      </c>
      <c r="AU70" s="30">
        <v>3365.3</v>
      </c>
    </row>
    <row r="71" spans="1:47" ht="18" x14ac:dyDescent="0.2">
      <c r="A71" s="26">
        <v>45699</v>
      </c>
      <c r="B71" s="40">
        <v>8224</v>
      </c>
      <c r="C71" s="23"/>
      <c r="D71" s="30">
        <v>8240.5300000000007</v>
      </c>
      <c r="E71" s="27">
        <v>-16.53</v>
      </c>
      <c r="F71" s="27">
        <v>273.10000000000002</v>
      </c>
      <c r="G71" s="27">
        <v>16.5</v>
      </c>
      <c r="H71" s="23"/>
      <c r="I71" s="30">
        <v>8283.85</v>
      </c>
      <c r="J71" s="27">
        <v>-59.85</v>
      </c>
      <c r="K71" s="30">
        <v>3582.4</v>
      </c>
      <c r="L71" s="27">
        <v>59.9</v>
      </c>
      <c r="M71" s="23"/>
      <c r="N71" s="30">
        <v>8208.9699999999993</v>
      </c>
      <c r="O71" s="27">
        <v>15.03</v>
      </c>
      <c r="P71" s="27">
        <v>225.8</v>
      </c>
      <c r="Q71" s="27">
        <v>15</v>
      </c>
      <c r="R71" s="23"/>
      <c r="S71" s="30">
        <v>8074.84</v>
      </c>
      <c r="T71" s="27">
        <v>149.16</v>
      </c>
      <c r="U71" s="30">
        <v>22249</v>
      </c>
      <c r="V71" s="27">
        <v>149.19999999999999</v>
      </c>
      <c r="W71" s="23"/>
      <c r="X71" s="30">
        <v>7926.29</v>
      </c>
      <c r="Y71" s="27">
        <v>297.70999999999998</v>
      </c>
      <c r="Z71" s="30">
        <v>88630.3</v>
      </c>
      <c r="AA71" s="27">
        <v>297.7</v>
      </c>
      <c r="AB71" s="23"/>
      <c r="AC71" s="30">
        <v>7759.82</v>
      </c>
      <c r="AD71" s="27">
        <v>464.18</v>
      </c>
      <c r="AE71" s="30">
        <v>215460.4</v>
      </c>
      <c r="AF71" s="27">
        <v>464.2</v>
      </c>
      <c r="AG71" s="23"/>
      <c r="AH71" s="30">
        <v>7562.64</v>
      </c>
      <c r="AI71" s="27">
        <v>661.36</v>
      </c>
      <c r="AJ71" s="30">
        <v>437393.4</v>
      </c>
      <c r="AK71" s="27">
        <v>661.4</v>
      </c>
      <c r="AL71" s="23"/>
      <c r="AM71" s="30">
        <v>7324.67</v>
      </c>
      <c r="AN71" s="27">
        <v>899.33</v>
      </c>
      <c r="AO71" s="30">
        <v>808790.9</v>
      </c>
      <c r="AP71" s="27">
        <v>899.3</v>
      </c>
      <c r="AQ71" s="23"/>
      <c r="AR71" s="30">
        <v>7039.53</v>
      </c>
      <c r="AS71" s="30">
        <v>1184.47</v>
      </c>
      <c r="AT71" s="30">
        <v>1402968.5</v>
      </c>
      <c r="AU71" s="30">
        <v>1184.5</v>
      </c>
    </row>
    <row r="72" spans="1:47" ht="18" x14ac:dyDescent="0.2">
      <c r="A72" s="26">
        <v>45727</v>
      </c>
      <c r="B72" s="40">
        <v>9608</v>
      </c>
      <c r="C72" s="23"/>
      <c r="D72" s="30">
        <v>8238.8700000000008</v>
      </c>
      <c r="E72" s="30">
        <v>1369.13</v>
      </c>
      <c r="F72" s="30">
        <v>1874506.7</v>
      </c>
      <c r="G72" s="30">
        <v>1369.1</v>
      </c>
      <c r="H72" s="23"/>
      <c r="I72" s="30">
        <v>8271.8799999999992</v>
      </c>
      <c r="J72" s="30">
        <v>1336.12</v>
      </c>
      <c r="K72" s="30">
        <v>1785210.8</v>
      </c>
      <c r="L72" s="30">
        <v>1336.1</v>
      </c>
      <c r="M72" s="23"/>
      <c r="N72" s="30">
        <v>8213.48</v>
      </c>
      <c r="O72" s="30">
        <v>1394.52</v>
      </c>
      <c r="P72" s="30">
        <v>1944679.1</v>
      </c>
      <c r="Q72" s="30">
        <v>1394.5</v>
      </c>
      <c r="R72" s="23"/>
      <c r="S72" s="30">
        <v>8134.5</v>
      </c>
      <c r="T72" s="30">
        <v>1473.5</v>
      </c>
      <c r="U72" s="30">
        <v>2171192.4</v>
      </c>
      <c r="V72" s="30">
        <v>1473.5</v>
      </c>
      <c r="W72" s="23"/>
      <c r="X72" s="30">
        <v>8075.15</v>
      </c>
      <c r="Y72" s="30">
        <v>1532.85</v>
      </c>
      <c r="Z72" s="30">
        <v>2349642</v>
      </c>
      <c r="AA72" s="30">
        <v>1532.9</v>
      </c>
      <c r="AB72" s="23"/>
      <c r="AC72" s="30">
        <v>8038.33</v>
      </c>
      <c r="AD72" s="30">
        <v>1569.67</v>
      </c>
      <c r="AE72" s="30">
        <v>2463866.6</v>
      </c>
      <c r="AF72" s="30">
        <v>1569.7</v>
      </c>
      <c r="AG72" s="23"/>
      <c r="AH72" s="30">
        <v>8025.59</v>
      </c>
      <c r="AI72" s="30">
        <v>1582.41</v>
      </c>
      <c r="AJ72" s="30">
        <v>2504012.4</v>
      </c>
      <c r="AK72" s="30">
        <v>1582.4</v>
      </c>
      <c r="AL72" s="23"/>
      <c r="AM72" s="30">
        <v>8044.13</v>
      </c>
      <c r="AN72" s="30">
        <v>1563.87</v>
      </c>
      <c r="AO72" s="30">
        <v>2445675.6</v>
      </c>
      <c r="AP72" s="30">
        <v>1563.9</v>
      </c>
      <c r="AQ72" s="23"/>
      <c r="AR72" s="30">
        <v>8105.55</v>
      </c>
      <c r="AS72" s="30">
        <v>1502.45</v>
      </c>
      <c r="AT72" s="30">
        <v>2257346.9</v>
      </c>
      <c r="AU72" s="30">
        <v>1502.4</v>
      </c>
    </row>
    <row r="73" spans="1:47" ht="18" x14ac:dyDescent="0.2">
      <c r="A73" s="26">
        <v>45758</v>
      </c>
      <c r="B73" s="40">
        <v>9488</v>
      </c>
      <c r="C73" s="23"/>
      <c r="D73" s="30">
        <v>8375.7900000000009</v>
      </c>
      <c r="E73" s="30">
        <v>1112.21</v>
      </c>
      <c r="F73" s="30">
        <v>1237019.2</v>
      </c>
      <c r="G73" s="30">
        <v>1112.2</v>
      </c>
      <c r="H73" s="23"/>
      <c r="I73" s="30">
        <v>8539.11</v>
      </c>
      <c r="J73" s="27">
        <v>948.89</v>
      </c>
      <c r="K73" s="30">
        <v>900400.3</v>
      </c>
      <c r="L73" s="27">
        <v>948.9</v>
      </c>
      <c r="M73" s="23"/>
      <c r="N73" s="30">
        <v>8631.84</v>
      </c>
      <c r="O73" s="27">
        <v>856.16</v>
      </c>
      <c r="P73" s="30">
        <v>733013.8</v>
      </c>
      <c r="Q73" s="27">
        <v>856.2</v>
      </c>
      <c r="R73" s="23"/>
      <c r="S73" s="30">
        <v>8723.9</v>
      </c>
      <c r="T73" s="27">
        <v>764.1</v>
      </c>
      <c r="U73" s="30">
        <v>583845.80000000005</v>
      </c>
      <c r="V73" s="27">
        <v>764.1</v>
      </c>
      <c r="W73" s="23"/>
      <c r="X73" s="30">
        <v>8841.57</v>
      </c>
      <c r="Y73" s="27">
        <v>646.42999999999995</v>
      </c>
      <c r="Z73" s="30">
        <v>417868</v>
      </c>
      <c r="AA73" s="27">
        <v>646.4</v>
      </c>
      <c r="AB73" s="23"/>
      <c r="AC73" s="30">
        <v>8980.1299999999992</v>
      </c>
      <c r="AD73" s="27">
        <v>507.87</v>
      </c>
      <c r="AE73" s="30">
        <v>257930.2</v>
      </c>
      <c r="AF73" s="27">
        <v>507.9</v>
      </c>
      <c r="AG73" s="23"/>
      <c r="AH73" s="30">
        <v>9133.2800000000007</v>
      </c>
      <c r="AI73" s="27">
        <v>354.72</v>
      </c>
      <c r="AJ73" s="30">
        <v>125827.8</v>
      </c>
      <c r="AK73" s="27">
        <v>354.7</v>
      </c>
      <c r="AL73" s="23"/>
      <c r="AM73" s="30">
        <v>9295.23</v>
      </c>
      <c r="AN73" s="27">
        <v>192.77</v>
      </c>
      <c r="AO73" s="30">
        <v>37161.5</v>
      </c>
      <c r="AP73" s="27">
        <v>192.8</v>
      </c>
      <c r="AQ73" s="23"/>
      <c r="AR73" s="30">
        <v>9457.76</v>
      </c>
      <c r="AS73" s="27">
        <v>30.24</v>
      </c>
      <c r="AT73" s="27">
        <v>914.7</v>
      </c>
      <c r="AU73" s="27">
        <v>30.2</v>
      </c>
    </row>
    <row r="74" spans="1:47" ht="18" x14ac:dyDescent="0.2">
      <c r="A74" s="26">
        <v>45788</v>
      </c>
      <c r="B74" s="40">
        <v>8560</v>
      </c>
      <c r="C74" s="23"/>
      <c r="D74" s="30">
        <v>8487.01</v>
      </c>
      <c r="E74" s="27">
        <v>72.989999999999995</v>
      </c>
      <c r="F74" s="30">
        <v>5327.9</v>
      </c>
      <c r="G74" s="27">
        <v>73</v>
      </c>
      <c r="H74" s="23"/>
      <c r="I74" s="30">
        <v>8728.8799999999992</v>
      </c>
      <c r="J74" s="27">
        <v>-168.88</v>
      </c>
      <c r="K74" s="30">
        <v>28522</v>
      </c>
      <c r="L74" s="27">
        <v>168.9</v>
      </c>
      <c r="M74" s="23"/>
      <c r="N74" s="30">
        <v>8888.69</v>
      </c>
      <c r="O74" s="27">
        <v>-328.69</v>
      </c>
      <c r="P74" s="30">
        <v>108034.8</v>
      </c>
      <c r="Q74" s="27">
        <v>328.7</v>
      </c>
      <c r="R74" s="23"/>
      <c r="S74" s="30">
        <v>9029.5400000000009</v>
      </c>
      <c r="T74" s="27">
        <v>-469.54</v>
      </c>
      <c r="U74" s="30">
        <v>220468.9</v>
      </c>
      <c r="V74" s="27">
        <v>469.5</v>
      </c>
      <c r="W74" s="23"/>
      <c r="X74" s="30">
        <v>9164.7900000000009</v>
      </c>
      <c r="Y74" s="27">
        <v>-604.79</v>
      </c>
      <c r="Z74" s="30">
        <v>365766.6</v>
      </c>
      <c r="AA74" s="27">
        <v>604.79999999999995</v>
      </c>
      <c r="AB74" s="23"/>
      <c r="AC74" s="30">
        <v>9284.85</v>
      </c>
      <c r="AD74" s="27">
        <v>-724.85</v>
      </c>
      <c r="AE74" s="30">
        <v>525411.4</v>
      </c>
      <c r="AF74" s="27">
        <v>724.9</v>
      </c>
      <c r="AG74" s="23"/>
      <c r="AH74" s="30">
        <v>9381.58</v>
      </c>
      <c r="AI74" s="27">
        <v>-821.58</v>
      </c>
      <c r="AJ74" s="30">
        <v>674999.2</v>
      </c>
      <c r="AK74" s="27">
        <v>821.6</v>
      </c>
      <c r="AL74" s="23"/>
      <c r="AM74" s="30">
        <v>9449.4500000000007</v>
      </c>
      <c r="AN74" s="27">
        <v>-889.45</v>
      </c>
      <c r="AO74" s="30">
        <v>791113.1</v>
      </c>
      <c r="AP74" s="27">
        <v>889.4</v>
      </c>
      <c r="AQ74" s="23"/>
      <c r="AR74" s="30">
        <v>9484.98</v>
      </c>
      <c r="AS74" s="27">
        <v>-924.98</v>
      </c>
      <c r="AT74" s="30">
        <v>855579.7</v>
      </c>
      <c r="AU74" s="27">
        <v>925</v>
      </c>
    </row>
    <row r="75" spans="1:47" ht="18" x14ac:dyDescent="0.2">
      <c r="A75" s="26">
        <v>45819</v>
      </c>
      <c r="B75" s="40">
        <v>9035</v>
      </c>
      <c r="C75" s="23"/>
      <c r="D75" s="30">
        <v>8494.31</v>
      </c>
      <c r="E75" s="27">
        <v>540.69000000000005</v>
      </c>
      <c r="F75" s="30">
        <v>292349</v>
      </c>
      <c r="G75" s="27">
        <v>540.70000000000005</v>
      </c>
      <c r="H75" s="23"/>
      <c r="I75" s="30">
        <v>8695.11</v>
      </c>
      <c r="J75" s="27">
        <v>339.89</v>
      </c>
      <c r="K75" s="30">
        <v>115526.8</v>
      </c>
      <c r="L75" s="27">
        <v>339.9</v>
      </c>
      <c r="M75" s="23"/>
      <c r="N75" s="30">
        <v>8790.08</v>
      </c>
      <c r="O75" s="27">
        <v>244.92</v>
      </c>
      <c r="P75" s="30">
        <v>59985.599999999999</v>
      </c>
      <c r="Q75" s="27">
        <v>244.9</v>
      </c>
      <c r="R75" s="23"/>
      <c r="S75" s="30">
        <v>8841.7199999999993</v>
      </c>
      <c r="T75" s="27">
        <v>193.28</v>
      </c>
      <c r="U75" s="30">
        <v>37355.300000000003</v>
      </c>
      <c r="V75" s="27">
        <v>193.3</v>
      </c>
      <c r="W75" s="23"/>
      <c r="X75" s="30">
        <v>8862.39</v>
      </c>
      <c r="Y75" s="27">
        <v>172.61</v>
      </c>
      <c r="Z75" s="30">
        <v>29793.1</v>
      </c>
      <c r="AA75" s="27">
        <v>172.6</v>
      </c>
      <c r="AB75" s="23"/>
      <c r="AC75" s="30">
        <v>8849.94</v>
      </c>
      <c r="AD75" s="27">
        <v>185.06</v>
      </c>
      <c r="AE75" s="30">
        <v>34246.800000000003</v>
      </c>
      <c r="AF75" s="27">
        <v>185.1</v>
      </c>
      <c r="AG75" s="23"/>
      <c r="AH75" s="30">
        <v>8806.48</v>
      </c>
      <c r="AI75" s="27">
        <v>228.52</v>
      </c>
      <c r="AJ75" s="30">
        <v>52223.7</v>
      </c>
      <c r="AK75" s="27">
        <v>228.5</v>
      </c>
      <c r="AL75" s="23"/>
      <c r="AM75" s="30">
        <v>8737.89</v>
      </c>
      <c r="AN75" s="27">
        <v>297.11</v>
      </c>
      <c r="AO75" s="30">
        <v>88274.9</v>
      </c>
      <c r="AP75" s="27">
        <v>297.10000000000002</v>
      </c>
      <c r="AQ75" s="23"/>
      <c r="AR75" s="30">
        <v>8652.5</v>
      </c>
      <c r="AS75" s="27">
        <v>382.5</v>
      </c>
      <c r="AT75" s="30">
        <v>146308.1</v>
      </c>
      <c r="AU75" s="27">
        <v>382.5</v>
      </c>
    </row>
    <row r="76" spans="1:47" ht="18" x14ac:dyDescent="0.2">
      <c r="A76" s="26">
        <v>45849</v>
      </c>
      <c r="B76" s="40">
        <v>9954</v>
      </c>
      <c r="C76" s="23"/>
      <c r="D76" s="30">
        <v>8548.3799999999992</v>
      </c>
      <c r="E76" s="30">
        <v>1405.62</v>
      </c>
      <c r="F76" s="30">
        <v>1975778.1</v>
      </c>
      <c r="G76" s="30">
        <v>1405.6</v>
      </c>
      <c r="H76" s="23"/>
      <c r="I76" s="30">
        <v>8763.09</v>
      </c>
      <c r="J76" s="30">
        <v>1190.9100000000001</v>
      </c>
      <c r="K76" s="30">
        <v>1418275.8</v>
      </c>
      <c r="L76" s="30">
        <v>1190.9000000000001</v>
      </c>
      <c r="M76" s="23"/>
      <c r="N76" s="30">
        <v>8863.56</v>
      </c>
      <c r="O76" s="30">
        <v>1090.44</v>
      </c>
      <c r="P76" s="30">
        <v>1189067.3999999999</v>
      </c>
      <c r="Q76" s="30">
        <v>1090.4000000000001</v>
      </c>
      <c r="R76" s="23"/>
      <c r="S76" s="30">
        <v>8919.0300000000007</v>
      </c>
      <c r="T76" s="30">
        <v>1034.97</v>
      </c>
      <c r="U76" s="30">
        <v>1071152.8999999999</v>
      </c>
      <c r="V76" s="30">
        <v>1035</v>
      </c>
      <c r="W76" s="23"/>
      <c r="X76" s="30">
        <v>8948.7000000000007</v>
      </c>
      <c r="Y76" s="30">
        <v>1005.3</v>
      </c>
      <c r="Z76" s="30">
        <v>1010634.9</v>
      </c>
      <c r="AA76" s="30">
        <v>1005.3</v>
      </c>
      <c r="AB76" s="23"/>
      <c r="AC76" s="30">
        <v>8960.98</v>
      </c>
      <c r="AD76" s="27">
        <v>993.02</v>
      </c>
      <c r="AE76" s="30">
        <v>986095.8</v>
      </c>
      <c r="AF76" s="27">
        <v>993</v>
      </c>
      <c r="AG76" s="23"/>
      <c r="AH76" s="30">
        <v>8966.44</v>
      </c>
      <c r="AI76" s="27">
        <v>987.56</v>
      </c>
      <c r="AJ76" s="30">
        <v>975269.8</v>
      </c>
      <c r="AK76" s="27">
        <v>987.6</v>
      </c>
      <c r="AL76" s="23"/>
      <c r="AM76" s="30">
        <v>8975.58</v>
      </c>
      <c r="AN76" s="27">
        <v>978.42</v>
      </c>
      <c r="AO76" s="30">
        <v>957310</v>
      </c>
      <c r="AP76" s="27">
        <v>978.4</v>
      </c>
      <c r="AQ76" s="23"/>
      <c r="AR76" s="30">
        <v>8996.75</v>
      </c>
      <c r="AS76" s="27">
        <v>957.25</v>
      </c>
      <c r="AT76" s="30">
        <v>916328</v>
      </c>
      <c r="AU76" s="27">
        <v>957.3</v>
      </c>
    </row>
    <row r="77" spans="1:47" ht="18" x14ac:dyDescent="0.2">
      <c r="A77" s="26">
        <v>45880</v>
      </c>
      <c r="B77" s="40">
        <v>9825</v>
      </c>
      <c r="C77" s="23"/>
      <c r="D77" s="30">
        <v>8688.94</v>
      </c>
      <c r="E77" s="30">
        <v>1136.06</v>
      </c>
      <c r="F77" s="30">
        <v>1290635.3999999999</v>
      </c>
      <c r="G77" s="30">
        <v>1136.0999999999999</v>
      </c>
      <c r="H77" s="23"/>
      <c r="I77" s="30">
        <v>9001.27</v>
      </c>
      <c r="J77" s="27">
        <v>823.73</v>
      </c>
      <c r="K77" s="30">
        <v>678532.9</v>
      </c>
      <c r="L77" s="27">
        <v>823.7</v>
      </c>
      <c r="M77" s="23"/>
      <c r="N77" s="30">
        <v>9190.69</v>
      </c>
      <c r="O77" s="27">
        <v>634.30999999999995</v>
      </c>
      <c r="P77" s="30">
        <v>402349.9</v>
      </c>
      <c r="Q77" s="27">
        <v>634.29999999999995</v>
      </c>
      <c r="R77" s="23"/>
      <c r="S77" s="30">
        <v>9333.02</v>
      </c>
      <c r="T77" s="27">
        <v>491.98</v>
      </c>
      <c r="U77" s="30">
        <v>242043.4</v>
      </c>
      <c r="V77" s="27">
        <v>492</v>
      </c>
      <c r="W77" s="23"/>
      <c r="X77" s="30">
        <v>9451.35</v>
      </c>
      <c r="Y77" s="27">
        <v>373.65</v>
      </c>
      <c r="Z77" s="30">
        <v>139615.6</v>
      </c>
      <c r="AA77" s="27">
        <v>373.7</v>
      </c>
      <c r="AB77" s="23"/>
      <c r="AC77" s="30">
        <v>9556.7900000000009</v>
      </c>
      <c r="AD77" s="27">
        <v>268.20999999999998</v>
      </c>
      <c r="AE77" s="30">
        <v>71936.3</v>
      </c>
      <c r="AF77" s="27">
        <v>268.2</v>
      </c>
      <c r="AG77" s="23"/>
      <c r="AH77" s="30">
        <v>9657.73</v>
      </c>
      <c r="AI77" s="27">
        <v>167.27</v>
      </c>
      <c r="AJ77" s="30">
        <v>27978.3</v>
      </c>
      <c r="AK77" s="27">
        <v>167.3</v>
      </c>
      <c r="AL77" s="23"/>
      <c r="AM77" s="30">
        <v>9758.32</v>
      </c>
      <c r="AN77" s="27">
        <v>66.680000000000007</v>
      </c>
      <c r="AO77" s="30">
        <v>4446.8</v>
      </c>
      <c r="AP77" s="27">
        <v>66.7</v>
      </c>
      <c r="AQ77" s="23"/>
      <c r="AR77" s="30">
        <v>9858.27</v>
      </c>
      <c r="AS77" s="27">
        <v>-33.270000000000003</v>
      </c>
      <c r="AT77" s="30">
        <v>1107.2</v>
      </c>
      <c r="AU77" s="27">
        <v>33.299999999999997</v>
      </c>
    </row>
    <row r="78" spans="1:47" ht="18" x14ac:dyDescent="0.2">
      <c r="A78" s="26">
        <v>45911</v>
      </c>
      <c r="B78" s="40">
        <v>10306</v>
      </c>
      <c r="C78" s="23"/>
      <c r="D78" s="30">
        <v>8802.5400000000009</v>
      </c>
      <c r="E78" s="30">
        <v>1503.46</v>
      </c>
      <c r="F78" s="30">
        <v>2260377.6000000001</v>
      </c>
      <c r="G78" s="30">
        <v>1503.5</v>
      </c>
      <c r="H78" s="23"/>
      <c r="I78" s="30">
        <v>9166.02</v>
      </c>
      <c r="J78" s="30">
        <v>1139.98</v>
      </c>
      <c r="K78" s="30">
        <v>1299565.5</v>
      </c>
      <c r="L78" s="30">
        <v>1140</v>
      </c>
      <c r="M78" s="23"/>
      <c r="N78" s="30">
        <v>9380.98</v>
      </c>
      <c r="O78" s="27">
        <v>925.02</v>
      </c>
      <c r="P78" s="30">
        <v>855657.2</v>
      </c>
      <c r="Q78" s="27">
        <v>925</v>
      </c>
      <c r="R78" s="23"/>
      <c r="S78" s="30">
        <v>9529.81</v>
      </c>
      <c r="T78" s="27">
        <v>776.19</v>
      </c>
      <c r="U78" s="30">
        <v>602467</v>
      </c>
      <c r="V78" s="27">
        <v>776.2</v>
      </c>
      <c r="W78" s="23"/>
      <c r="X78" s="30">
        <v>9638.17</v>
      </c>
      <c r="Y78" s="27">
        <v>667.83</v>
      </c>
      <c r="Z78" s="30">
        <v>445991.4</v>
      </c>
      <c r="AA78" s="27">
        <v>667.8</v>
      </c>
      <c r="AB78" s="23"/>
      <c r="AC78" s="30">
        <v>9717.7199999999993</v>
      </c>
      <c r="AD78" s="27">
        <v>588.28</v>
      </c>
      <c r="AE78" s="30">
        <v>346077.8</v>
      </c>
      <c r="AF78" s="27">
        <v>588.29999999999995</v>
      </c>
      <c r="AG78" s="23"/>
      <c r="AH78" s="30">
        <v>9774.82</v>
      </c>
      <c r="AI78" s="27">
        <v>531.17999999999995</v>
      </c>
      <c r="AJ78" s="30">
        <v>282152.40000000002</v>
      </c>
      <c r="AK78" s="27">
        <v>531.20000000000005</v>
      </c>
      <c r="AL78" s="23"/>
      <c r="AM78" s="30">
        <v>9811.66</v>
      </c>
      <c r="AN78" s="27">
        <v>494.34</v>
      </c>
      <c r="AO78" s="30">
        <v>244369</v>
      </c>
      <c r="AP78" s="27">
        <v>494.3</v>
      </c>
      <c r="AQ78" s="23"/>
      <c r="AR78" s="30">
        <v>9828.33</v>
      </c>
      <c r="AS78" s="27">
        <v>477.67</v>
      </c>
      <c r="AT78" s="30">
        <v>228171</v>
      </c>
      <c r="AU78" s="27">
        <v>477.7</v>
      </c>
    </row>
    <row r="79" spans="1:47" ht="18" x14ac:dyDescent="0.2">
      <c r="A79" s="26">
        <v>45941</v>
      </c>
      <c r="B79" s="40">
        <v>12466</v>
      </c>
      <c r="C79" s="23"/>
      <c r="D79" s="30">
        <v>8952.89</v>
      </c>
      <c r="E79" s="30">
        <v>3513.11</v>
      </c>
      <c r="F79" s="30">
        <v>12341939.800000001</v>
      </c>
      <c r="G79" s="30">
        <v>3513.1</v>
      </c>
      <c r="H79" s="23"/>
      <c r="I79" s="30">
        <v>9394.01</v>
      </c>
      <c r="J79" s="30">
        <v>3071.99</v>
      </c>
      <c r="K79" s="30">
        <v>9437109.5999999996</v>
      </c>
      <c r="L79" s="30">
        <v>3072</v>
      </c>
      <c r="M79" s="23"/>
      <c r="N79" s="30">
        <v>9658.49</v>
      </c>
      <c r="O79" s="30">
        <v>2807.51</v>
      </c>
      <c r="P79" s="30">
        <v>7882124.5999999996</v>
      </c>
      <c r="Q79" s="30">
        <v>2807.5</v>
      </c>
      <c r="R79" s="23"/>
      <c r="S79" s="30">
        <v>9840.2900000000009</v>
      </c>
      <c r="T79" s="30">
        <v>2625.71</v>
      </c>
      <c r="U79" s="30">
        <v>6894366</v>
      </c>
      <c r="V79" s="30">
        <v>2625.7</v>
      </c>
      <c r="W79" s="23"/>
      <c r="X79" s="30">
        <v>9972.09</v>
      </c>
      <c r="Y79" s="30">
        <v>2493.91</v>
      </c>
      <c r="Z79" s="30">
        <v>6219601.7000000002</v>
      </c>
      <c r="AA79" s="30">
        <v>2493.9</v>
      </c>
      <c r="AB79" s="23"/>
      <c r="AC79" s="30">
        <v>10070.69</v>
      </c>
      <c r="AD79" s="30">
        <v>2395.31</v>
      </c>
      <c r="AE79" s="30">
        <v>5737526.7999999998</v>
      </c>
      <c r="AF79" s="30">
        <v>2395.3000000000002</v>
      </c>
      <c r="AG79" s="23"/>
      <c r="AH79" s="30">
        <v>10146.65</v>
      </c>
      <c r="AI79" s="30">
        <v>2319.35</v>
      </c>
      <c r="AJ79" s="30">
        <v>5379403.2000000002</v>
      </c>
      <c r="AK79" s="30">
        <v>2319.4</v>
      </c>
      <c r="AL79" s="23"/>
      <c r="AM79" s="30">
        <v>10207.129999999999</v>
      </c>
      <c r="AN79" s="30">
        <v>2258.87</v>
      </c>
      <c r="AO79" s="30">
        <v>5102481.8</v>
      </c>
      <c r="AP79" s="30">
        <v>2258.9</v>
      </c>
      <c r="AQ79" s="23"/>
      <c r="AR79" s="30">
        <v>10258.23</v>
      </c>
      <c r="AS79" s="30">
        <v>2207.77</v>
      </c>
      <c r="AT79" s="30">
        <v>4874236.2</v>
      </c>
      <c r="AU79" s="30">
        <v>2207.8000000000002</v>
      </c>
    </row>
    <row r="80" spans="1:47" ht="18" x14ac:dyDescent="0.2">
      <c r="A80" s="26">
        <v>45972</v>
      </c>
      <c r="B80" s="40">
        <v>10487</v>
      </c>
      <c r="C80" s="23"/>
      <c r="D80" s="30">
        <v>9304.2000000000007</v>
      </c>
      <c r="E80" s="30">
        <v>1182.8</v>
      </c>
      <c r="F80" s="30">
        <v>1399012.9</v>
      </c>
      <c r="G80" s="30">
        <v>1182.8</v>
      </c>
      <c r="H80" s="23"/>
      <c r="I80" s="30">
        <v>10008.41</v>
      </c>
      <c r="J80" s="27">
        <v>478.59</v>
      </c>
      <c r="K80" s="30">
        <v>229048.7</v>
      </c>
      <c r="L80" s="27">
        <v>478.6</v>
      </c>
      <c r="M80" s="23"/>
      <c r="N80" s="30">
        <v>10500.74</v>
      </c>
      <c r="O80" s="27">
        <v>-13.74</v>
      </c>
      <c r="P80" s="27">
        <v>188.8</v>
      </c>
      <c r="Q80" s="27">
        <v>13.7</v>
      </c>
      <c r="R80" s="23"/>
      <c r="S80" s="30">
        <v>10890.57</v>
      </c>
      <c r="T80" s="27">
        <v>-403.57</v>
      </c>
      <c r="U80" s="30">
        <v>162870.79999999999</v>
      </c>
      <c r="V80" s="27">
        <v>403.6</v>
      </c>
      <c r="W80" s="23"/>
      <c r="X80" s="30">
        <v>11219.04</v>
      </c>
      <c r="Y80" s="27">
        <v>-732.04</v>
      </c>
      <c r="Z80" s="30">
        <v>535887.69999999995</v>
      </c>
      <c r="AA80" s="27">
        <v>732</v>
      </c>
      <c r="AB80" s="23"/>
      <c r="AC80" s="30">
        <v>11507.87</v>
      </c>
      <c r="AD80" s="30">
        <v>-1020.87</v>
      </c>
      <c r="AE80" s="30">
        <v>1042184.9</v>
      </c>
      <c r="AF80" s="30">
        <v>1020.9</v>
      </c>
      <c r="AG80" s="23"/>
      <c r="AH80" s="30">
        <v>11770.19</v>
      </c>
      <c r="AI80" s="30">
        <v>-1283.19</v>
      </c>
      <c r="AJ80" s="30">
        <v>1646586.3</v>
      </c>
      <c r="AK80" s="30">
        <v>1283.2</v>
      </c>
      <c r="AL80" s="23"/>
      <c r="AM80" s="30">
        <v>12014.23</v>
      </c>
      <c r="AN80" s="30">
        <v>-1527.23</v>
      </c>
      <c r="AO80" s="30">
        <v>2332420.9</v>
      </c>
      <c r="AP80" s="30">
        <v>1527.2</v>
      </c>
      <c r="AQ80" s="23"/>
      <c r="AR80" s="30">
        <v>12245.22</v>
      </c>
      <c r="AS80" s="30">
        <v>-1758.22</v>
      </c>
      <c r="AT80" s="30">
        <v>3091349.1</v>
      </c>
      <c r="AU80" s="30">
        <v>1758.2</v>
      </c>
    </row>
    <row r="81" spans="1:47" ht="18" x14ac:dyDescent="0.2">
      <c r="A81" s="26">
        <v>46002</v>
      </c>
      <c r="B81" s="40">
        <v>11641</v>
      </c>
      <c r="C81" s="23"/>
      <c r="D81" s="30">
        <v>9422.48</v>
      </c>
      <c r="E81" s="30">
        <v>2218.52</v>
      </c>
      <c r="F81" s="30">
        <v>4921826</v>
      </c>
      <c r="G81" s="30">
        <v>2218.5</v>
      </c>
      <c r="H81" s="23"/>
      <c r="I81" s="30">
        <v>10104.129999999999</v>
      </c>
      <c r="J81" s="30">
        <v>1536.87</v>
      </c>
      <c r="K81" s="30">
        <v>2361976.2999999998</v>
      </c>
      <c r="L81" s="30">
        <v>1536.9</v>
      </c>
      <c r="M81" s="23"/>
      <c r="N81" s="30">
        <v>10496.62</v>
      </c>
      <c r="O81" s="30">
        <v>1144.3800000000001</v>
      </c>
      <c r="P81" s="30">
        <v>1309607.8</v>
      </c>
      <c r="Q81" s="30">
        <v>1144.4000000000001</v>
      </c>
      <c r="R81" s="23"/>
      <c r="S81" s="30">
        <v>10729.14</v>
      </c>
      <c r="T81" s="27">
        <v>911.86</v>
      </c>
      <c r="U81" s="30">
        <v>831482.3</v>
      </c>
      <c r="V81" s="27">
        <v>911.9</v>
      </c>
      <c r="W81" s="23"/>
      <c r="X81" s="30">
        <v>10853.02</v>
      </c>
      <c r="Y81" s="27">
        <v>787.98</v>
      </c>
      <c r="Z81" s="30">
        <v>620909.69999999995</v>
      </c>
      <c r="AA81" s="27">
        <v>788</v>
      </c>
      <c r="AB81" s="23"/>
      <c r="AC81" s="30">
        <v>10895.35</v>
      </c>
      <c r="AD81" s="27">
        <v>745.65</v>
      </c>
      <c r="AE81" s="30">
        <v>555994.19999999995</v>
      </c>
      <c r="AF81" s="27">
        <v>745.7</v>
      </c>
      <c r="AG81" s="23"/>
      <c r="AH81" s="30">
        <v>10871.96</v>
      </c>
      <c r="AI81" s="27">
        <v>769.04</v>
      </c>
      <c r="AJ81" s="30">
        <v>591425.4</v>
      </c>
      <c r="AK81" s="27">
        <v>769</v>
      </c>
      <c r="AL81" s="23"/>
      <c r="AM81" s="30">
        <v>10792.45</v>
      </c>
      <c r="AN81" s="27">
        <v>848.55</v>
      </c>
      <c r="AO81" s="30">
        <v>720045.1</v>
      </c>
      <c r="AP81" s="27">
        <v>848.6</v>
      </c>
      <c r="AQ81" s="23"/>
      <c r="AR81" s="30">
        <v>10662.82</v>
      </c>
      <c r="AS81" s="27">
        <v>978.18</v>
      </c>
      <c r="AT81" s="30">
        <v>956831.6</v>
      </c>
      <c r="AU81" s="27">
        <v>978.2</v>
      </c>
    </row>
    <row r="82" spans="1:47" ht="18" x14ac:dyDescent="0.2">
      <c r="A82" s="26">
        <v>45669</v>
      </c>
      <c r="B82" s="40">
        <v>6365</v>
      </c>
      <c r="C82" s="23"/>
      <c r="D82" s="30">
        <v>9644.33</v>
      </c>
      <c r="E82" s="30">
        <v>-3279.33</v>
      </c>
      <c r="F82" s="30">
        <v>10754025.1</v>
      </c>
      <c r="G82" s="30">
        <v>3279.3</v>
      </c>
      <c r="H82" s="23"/>
      <c r="I82" s="30">
        <v>10411.5</v>
      </c>
      <c r="J82" s="30">
        <v>-4046.5</v>
      </c>
      <c r="K82" s="30">
        <v>16374180</v>
      </c>
      <c r="L82" s="30">
        <v>4046.5</v>
      </c>
      <c r="M82" s="23"/>
      <c r="N82" s="30">
        <v>10839.93</v>
      </c>
      <c r="O82" s="30">
        <v>-4474.93</v>
      </c>
      <c r="P82" s="30">
        <v>20025028.300000001</v>
      </c>
      <c r="Q82" s="30">
        <v>4474.8999999999996</v>
      </c>
      <c r="R82" s="23"/>
      <c r="S82" s="30">
        <v>11093.89</v>
      </c>
      <c r="T82" s="30">
        <v>-4728.8900000000003</v>
      </c>
      <c r="U82" s="30">
        <v>22362363.800000001</v>
      </c>
      <c r="V82" s="30">
        <v>4728.8999999999996</v>
      </c>
      <c r="W82" s="23"/>
      <c r="X82" s="30">
        <v>11247.01</v>
      </c>
      <c r="Y82" s="30">
        <v>-4882.01</v>
      </c>
      <c r="Z82" s="30">
        <v>23834030.300000001</v>
      </c>
      <c r="AA82" s="30">
        <v>4882</v>
      </c>
      <c r="AB82" s="23"/>
      <c r="AC82" s="30">
        <v>11342.74</v>
      </c>
      <c r="AD82" s="30">
        <v>-4977.74</v>
      </c>
      <c r="AE82" s="30">
        <v>24777894.899999999</v>
      </c>
      <c r="AF82" s="30">
        <v>4977.7</v>
      </c>
      <c r="AG82" s="23"/>
      <c r="AH82" s="30">
        <v>11410.29</v>
      </c>
      <c r="AI82" s="30">
        <v>-5045.29</v>
      </c>
      <c r="AJ82" s="30">
        <v>25454925.399999999</v>
      </c>
      <c r="AK82" s="30">
        <v>5045.3</v>
      </c>
      <c r="AL82" s="23"/>
      <c r="AM82" s="30">
        <v>11471.29</v>
      </c>
      <c r="AN82" s="30">
        <v>-5106.29</v>
      </c>
      <c r="AO82" s="30">
        <v>26074188</v>
      </c>
      <c r="AP82" s="30">
        <v>5106.3</v>
      </c>
      <c r="AQ82" s="23"/>
      <c r="AR82" s="30">
        <v>11543.18</v>
      </c>
      <c r="AS82" s="30">
        <v>-5178.18</v>
      </c>
      <c r="AT82" s="30">
        <v>26813571.199999999</v>
      </c>
      <c r="AU82" s="30">
        <v>5178.2</v>
      </c>
    </row>
    <row r="83" spans="1:47" ht="18" x14ac:dyDescent="0.2">
      <c r="A83" s="26">
        <v>45700</v>
      </c>
      <c r="B83" s="40">
        <v>17758</v>
      </c>
      <c r="C83" s="23"/>
      <c r="D83" s="30">
        <v>9316.4</v>
      </c>
      <c r="E83" s="30">
        <v>8441.6</v>
      </c>
      <c r="F83" s="30">
        <v>71260615.299999997</v>
      </c>
      <c r="G83" s="30">
        <v>8441.6</v>
      </c>
      <c r="H83" s="23"/>
      <c r="I83" s="30">
        <v>9602.2000000000007</v>
      </c>
      <c r="J83" s="30">
        <v>8155.8</v>
      </c>
      <c r="K83" s="30">
        <v>66517044.899999999</v>
      </c>
      <c r="L83" s="30">
        <v>8155.8</v>
      </c>
      <c r="M83" s="23"/>
      <c r="N83" s="30">
        <v>9497.4500000000007</v>
      </c>
      <c r="O83" s="30">
        <v>8260.5499999999993</v>
      </c>
      <c r="P83" s="30">
        <v>68236631.299999997</v>
      </c>
      <c r="Q83" s="30">
        <v>8260.5</v>
      </c>
      <c r="R83" s="23"/>
      <c r="S83" s="30">
        <v>9202.33</v>
      </c>
      <c r="T83" s="30">
        <v>8555.67</v>
      </c>
      <c r="U83" s="30">
        <v>73199460.700000003</v>
      </c>
      <c r="V83" s="30">
        <v>8555.7000000000007</v>
      </c>
      <c r="W83" s="23"/>
      <c r="X83" s="30">
        <v>8806.01</v>
      </c>
      <c r="Y83" s="30">
        <v>8951.99</v>
      </c>
      <c r="Z83" s="30">
        <v>80138206.599999994</v>
      </c>
      <c r="AA83" s="30">
        <v>8952</v>
      </c>
      <c r="AB83" s="23"/>
      <c r="AC83" s="30">
        <v>8356.1</v>
      </c>
      <c r="AD83" s="30">
        <v>9401.9</v>
      </c>
      <c r="AE83" s="30">
        <v>88395799.299999997</v>
      </c>
      <c r="AF83" s="30">
        <v>9401.9</v>
      </c>
      <c r="AG83" s="23"/>
      <c r="AH83" s="30">
        <v>7878.59</v>
      </c>
      <c r="AI83" s="30">
        <v>9879.41</v>
      </c>
      <c r="AJ83" s="30">
        <v>97602816.400000006</v>
      </c>
      <c r="AK83" s="30">
        <v>9879.4</v>
      </c>
      <c r="AL83" s="23"/>
      <c r="AM83" s="30">
        <v>7386.26</v>
      </c>
      <c r="AN83" s="30">
        <v>10371.74</v>
      </c>
      <c r="AO83" s="30">
        <v>107573036</v>
      </c>
      <c r="AP83" s="30">
        <v>10371.700000000001</v>
      </c>
      <c r="AQ83" s="23"/>
      <c r="AR83" s="30">
        <v>6882.82</v>
      </c>
      <c r="AS83" s="30">
        <v>10875.18</v>
      </c>
      <c r="AT83" s="30">
        <v>118269578.7</v>
      </c>
      <c r="AU83" s="30">
        <v>10875.2</v>
      </c>
    </row>
    <row r="84" spans="1:47" ht="18" x14ac:dyDescent="0.2">
      <c r="A84" s="26">
        <v>45728</v>
      </c>
      <c r="B84" s="40">
        <v>10097</v>
      </c>
      <c r="C84" s="23"/>
      <c r="D84" s="30">
        <v>10160.56</v>
      </c>
      <c r="E84" s="27">
        <v>-63.56</v>
      </c>
      <c r="F84" s="30">
        <v>4039.8</v>
      </c>
      <c r="G84" s="27">
        <v>63.6</v>
      </c>
      <c r="H84" s="23"/>
      <c r="I84" s="30">
        <v>11233.36</v>
      </c>
      <c r="J84" s="30">
        <v>-1136.3599999999999</v>
      </c>
      <c r="K84" s="30">
        <v>1291317.2</v>
      </c>
      <c r="L84" s="30">
        <v>1136.4000000000001</v>
      </c>
      <c r="M84" s="23"/>
      <c r="N84" s="30">
        <v>11975.62</v>
      </c>
      <c r="O84" s="30">
        <v>-1878.62</v>
      </c>
      <c r="P84" s="30">
        <v>3529203.1</v>
      </c>
      <c r="Q84" s="30">
        <v>1878.6</v>
      </c>
      <c r="R84" s="23"/>
      <c r="S84" s="30">
        <v>12624.6</v>
      </c>
      <c r="T84" s="30">
        <v>-2527.6</v>
      </c>
      <c r="U84" s="30">
        <v>6388756.7000000002</v>
      </c>
      <c r="V84" s="30">
        <v>2527.6</v>
      </c>
      <c r="W84" s="23"/>
      <c r="X84" s="30">
        <v>13282</v>
      </c>
      <c r="Y84" s="30">
        <v>-3185</v>
      </c>
      <c r="Z84" s="30">
        <v>10144242.300000001</v>
      </c>
      <c r="AA84" s="30">
        <v>3185</v>
      </c>
      <c r="AB84" s="23"/>
      <c r="AC84" s="30">
        <v>13997.24</v>
      </c>
      <c r="AD84" s="30">
        <v>-3900.24</v>
      </c>
      <c r="AE84" s="30">
        <v>15211859.5</v>
      </c>
      <c r="AF84" s="30">
        <v>3900.2</v>
      </c>
      <c r="AG84" s="23"/>
      <c r="AH84" s="30">
        <v>14794.18</v>
      </c>
      <c r="AI84" s="30">
        <v>-4697.18</v>
      </c>
      <c r="AJ84" s="30">
        <v>22063461.199999999</v>
      </c>
      <c r="AK84" s="30">
        <v>4697.2</v>
      </c>
      <c r="AL84" s="23"/>
      <c r="AM84" s="30">
        <v>15683.65</v>
      </c>
      <c r="AN84" s="30">
        <v>-5586.65</v>
      </c>
      <c r="AO84" s="30">
        <v>31210675.699999999</v>
      </c>
      <c r="AP84" s="30">
        <v>5586.7</v>
      </c>
      <c r="AQ84" s="23"/>
      <c r="AR84" s="30">
        <v>16670.48</v>
      </c>
      <c r="AS84" s="30">
        <v>-6573.48</v>
      </c>
      <c r="AT84" s="30">
        <v>43210663.299999997</v>
      </c>
      <c r="AU84" s="30">
        <v>6573.5</v>
      </c>
    </row>
    <row r="85" spans="1:47" ht="18" x14ac:dyDescent="0.2">
      <c r="A85" s="26">
        <v>45759</v>
      </c>
      <c r="B85" s="40">
        <v>8827</v>
      </c>
      <c r="C85" s="23"/>
      <c r="D85" s="30">
        <v>10154.200000000001</v>
      </c>
      <c r="E85" s="30">
        <v>-1327.2</v>
      </c>
      <c r="F85" s="30">
        <v>1761469.9</v>
      </c>
      <c r="G85" s="30">
        <v>1327.2</v>
      </c>
      <c r="H85" s="23"/>
      <c r="I85" s="30">
        <v>11006.09</v>
      </c>
      <c r="J85" s="30">
        <v>-2179.09</v>
      </c>
      <c r="K85" s="30">
        <v>4748429.4000000004</v>
      </c>
      <c r="L85" s="30">
        <v>2179.1</v>
      </c>
      <c r="M85" s="23"/>
      <c r="N85" s="30">
        <v>11412.03</v>
      </c>
      <c r="O85" s="30">
        <v>-2585.0300000000002</v>
      </c>
      <c r="P85" s="30">
        <v>6682391.0999999996</v>
      </c>
      <c r="Q85" s="30">
        <v>2585</v>
      </c>
      <c r="R85" s="23"/>
      <c r="S85" s="30">
        <v>11613.56</v>
      </c>
      <c r="T85" s="30">
        <v>-2786.56</v>
      </c>
      <c r="U85" s="30">
        <v>7764913.2999999998</v>
      </c>
      <c r="V85" s="30">
        <v>2786.6</v>
      </c>
      <c r="W85" s="23"/>
      <c r="X85" s="30">
        <v>11689.5</v>
      </c>
      <c r="Y85" s="30">
        <v>-2862.5</v>
      </c>
      <c r="Z85" s="30">
        <v>8193914</v>
      </c>
      <c r="AA85" s="30">
        <v>2862.5</v>
      </c>
      <c r="AB85" s="23"/>
      <c r="AC85" s="30">
        <v>11657.1</v>
      </c>
      <c r="AD85" s="30">
        <v>-2830.1</v>
      </c>
      <c r="AE85" s="30">
        <v>8009439.7000000002</v>
      </c>
      <c r="AF85" s="30">
        <v>2830.1</v>
      </c>
      <c r="AG85" s="23"/>
      <c r="AH85" s="30">
        <v>11506.15</v>
      </c>
      <c r="AI85" s="30">
        <v>-2679.15</v>
      </c>
      <c r="AJ85" s="30">
        <v>7177859.5</v>
      </c>
      <c r="AK85" s="30">
        <v>2679.2</v>
      </c>
      <c r="AL85" s="23"/>
      <c r="AM85" s="30">
        <v>11214.33</v>
      </c>
      <c r="AN85" s="30">
        <v>-2387.33</v>
      </c>
      <c r="AO85" s="30">
        <v>5699346</v>
      </c>
      <c r="AP85" s="30">
        <v>2387.3000000000002</v>
      </c>
      <c r="AQ85" s="23"/>
      <c r="AR85" s="30">
        <v>10754.35</v>
      </c>
      <c r="AS85" s="30">
        <v>-1927.35</v>
      </c>
      <c r="AT85" s="30">
        <v>3714671</v>
      </c>
      <c r="AU85" s="30">
        <v>1927.3</v>
      </c>
    </row>
    <row r="86" spans="1:47" ht="18" x14ac:dyDescent="0.2">
      <c r="A86" s="26">
        <v>45789</v>
      </c>
      <c r="B86" s="40">
        <v>10749</v>
      </c>
      <c r="C86" s="23"/>
      <c r="D86" s="30">
        <v>10021.48</v>
      </c>
      <c r="E86" s="27">
        <v>727.52</v>
      </c>
      <c r="F86" s="30">
        <v>529280.4</v>
      </c>
      <c r="G86" s="27">
        <v>727.5</v>
      </c>
      <c r="H86" s="23"/>
      <c r="I86" s="30">
        <v>10570.27</v>
      </c>
      <c r="J86" s="27">
        <v>178.73</v>
      </c>
      <c r="K86" s="30">
        <v>31943.9</v>
      </c>
      <c r="L86" s="27">
        <v>178.7</v>
      </c>
      <c r="M86" s="23"/>
      <c r="N86" s="30">
        <v>10636.52</v>
      </c>
      <c r="O86" s="27">
        <v>112.48</v>
      </c>
      <c r="P86" s="30">
        <v>12651.2</v>
      </c>
      <c r="Q86" s="27">
        <v>112.5</v>
      </c>
      <c r="R86" s="23"/>
      <c r="S86" s="30">
        <v>10498.94</v>
      </c>
      <c r="T86" s="27">
        <v>250.06</v>
      </c>
      <c r="U86" s="30">
        <v>62532.2</v>
      </c>
      <c r="V86" s="27">
        <v>250.1</v>
      </c>
      <c r="W86" s="23"/>
      <c r="X86" s="30">
        <v>10258.25</v>
      </c>
      <c r="Y86" s="27">
        <v>490.75</v>
      </c>
      <c r="Z86" s="30">
        <v>240834.9</v>
      </c>
      <c r="AA86" s="27">
        <v>490.7</v>
      </c>
      <c r="AB86" s="23"/>
      <c r="AC86" s="30">
        <v>9959.0400000000009</v>
      </c>
      <c r="AD86" s="27">
        <v>789.96</v>
      </c>
      <c r="AE86" s="30">
        <v>624039.69999999995</v>
      </c>
      <c r="AF86" s="27">
        <v>790</v>
      </c>
      <c r="AG86" s="23"/>
      <c r="AH86" s="30">
        <v>9630.75</v>
      </c>
      <c r="AI86" s="30">
        <v>1118.25</v>
      </c>
      <c r="AJ86" s="30">
        <v>1250492.3999999999</v>
      </c>
      <c r="AK86" s="30">
        <v>1118.3</v>
      </c>
      <c r="AL86" s="23"/>
      <c r="AM86" s="30">
        <v>9304.4699999999993</v>
      </c>
      <c r="AN86" s="30">
        <v>1444.53</v>
      </c>
      <c r="AO86" s="30">
        <v>2086678.3</v>
      </c>
      <c r="AP86" s="30">
        <v>1444.5</v>
      </c>
      <c r="AQ86" s="23"/>
      <c r="AR86" s="30">
        <v>9019.73</v>
      </c>
      <c r="AS86" s="30">
        <v>1729.27</v>
      </c>
      <c r="AT86" s="30">
        <v>2990358.1</v>
      </c>
      <c r="AU86" s="30">
        <v>1729.3</v>
      </c>
    </row>
    <row r="87" spans="1:47" ht="18" x14ac:dyDescent="0.2">
      <c r="A87" s="26">
        <v>45820</v>
      </c>
      <c r="B87" s="40">
        <v>9959</v>
      </c>
      <c r="C87" s="23"/>
      <c r="D87" s="30">
        <v>10094.24</v>
      </c>
      <c r="E87" s="27">
        <v>-135.24</v>
      </c>
      <c r="F87" s="30">
        <v>18288.5</v>
      </c>
      <c r="G87" s="27">
        <v>135.19999999999999</v>
      </c>
      <c r="H87" s="23"/>
      <c r="I87" s="30">
        <v>10606.02</v>
      </c>
      <c r="J87" s="27">
        <v>-647.02</v>
      </c>
      <c r="K87" s="30">
        <v>418631.1</v>
      </c>
      <c r="L87" s="27">
        <v>647</v>
      </c>
      <c r="M87" s="23"/>
      <c r="N87" s="30">
        <v>10670.27</v>
      </c>
      <c r="O87" s="27">
        <v>-711.27</v>
      </c>
      <c r="P87" s="30">
        <v>505899</v>
      </c>
      <c r="Q87" s="27">
        <v>711.3</v>
      </c>
      <c r="R87" s="23"/>
      <c r="S87" s="30">
        <v>10598.96</v>
      </c>
      <c r="T87" s="27">
        <v>-639.96</v>
      </c>
      <c r="U87" s="30">
        <v>409550.6</v>
      </c>
      <c r="V87" s="27">
        <v>640</v>
      </c>
      <c r="W87" s="23"/>
      <c r="X87" s="30">
        <v>10503.63</v>
      </c>
      <c r="Y87" s="27">
        <v>-544.63</v>
      </c>
      <c r="Z87" s="30">
        <v>296616.8</v>
      </c>
      <c r="AA87" s="27">
        <v>544.6</v>
      </c>
      <c r="AB87" s="23"/>
      <c r="AC87" s="30">
        <v>10433.02</v>
      </c>
      <c r="AD87" s="27">
        <v>-474.02</v>
      </c>
      <c r="AE87" s="30">
        <v>224690.5</v>
      </c>
      <c r="AF87" s="27">
        <v>474</v>
      </c>
      <c r="AG87" s="23"/>
      <c r="AH87" s="30">
        <v>10413.52</v>
      </c>
      <c r="AI87" s="27">
        <v>-454.52</v>
      </c>
      <c r="AJ87" s="30">
        <v>206591.8</v>
      </c>
      <c r="AK87" s="27">
        <v>454.5</v>
      </c>
      <c r="AL87" s="23"/>
      <c r="AM87" s="30">
        <v>10460.09</v>
      </c>
      <c r="AN87" s="27">
        <v>-501.09</v>
      </c>
      <c r="AO87" s="30">
        <v>251094.39999999999</v>
      </c>
      <c r="AP87" s="27">
        <v>501.1</v>
      </c>
      <c r="AQ87" s="23"/>
      <c r="AR87" s="30">
        <v>10576.07</v>
      </c>
      <c r="AS87" s="27">
        <v>-617.07000000000005</v>
      </c>
      <c r="AT87" s="30">
        <v>380779.7</v>
      </c>
      <c r="AU87" s="27">
        <v>617.1</v>
      </c>
    </row>
    <row r="88" spans="1:47" ht="18" x14ac:dyDescent="0.2">
      <c r="A88" s="26">
        <v>45850</v>
      </c>
      <c r="B88" s="40">
        <v>9757</v>
      </c>
      <c r="C88" s="23"/>
      <c r="D88" s="30">
        <v>10080.709999999999</v>
      </c>
      <c r="E88" s="27">
        <v>-323.70999999999998</v>
      </c>
      <c r="F88" s="30">
        <v>104789.2</v>
      </c>
      <c r="G88" s="27">
        <v>323.7</v>
      </c>
      <c r="H88" s="23"/>
      <c r="I88" s="30">
        <v>10476.61</v>
      </c>
      <c r="J88" s="27">
        <v>-719.61</v>
      </c>
      <c r="K88" s="30">
        <v>517843.8</v>
      </c>
      <c r="L88" s="27">
        <v>719.6</v>
      </c>
      <c r="M88" s="23"/>
      <c r="N88" s="30">
        <v>10456.89</v>
      </c>
      <c r="O88" s="27">
        <v>-699.89</v>
      </c>
      <c r="P88" s="30">
        <v>489840.4</v>
      </c>
      <c r="Q88" s="27">
        <v>699.9</v>
      </c>
      <c r="R88" s="23"/>
      <c r="S88" s="30">
        <v>10342.98</v>
      </c>
      <c r="T88" s="27">
        <v>-585.98</v>
      </c>
      <c r="U88" s="30">
        <v>343368.8</v>
      </c>
      <c r="V88" s="27">
        <v>586</v>
      </c>
      <c r="W88" s="23"/>
      <c r="X88" s="30">
        <v>10231.31</v>
      </c>
      <c r="Y88" s="27">
        <v>-474.31</v>
      </c>
      <c r="Z88" s="30">
        <v>224972.5</v>
      </c>
      <c r="AA88" s="27">
        <v>474.3</v>
      </c>
      <c r="AB88" s="23"/>
      <c r="AC88" s="30">
        <v>10148.61</v>
      </c>
      <c r="AD88" s="27">
        <v>-391.61</v>
      </c>
      <c r="AE88" s="30">
        <v>153355.29999999999</v>
      </c>
      <c r="AF88" s="27">
        <v>391.6</v>
      </c>
      <c r="AG88" s="23"/>
      <c r="AH88" s="30">
        <v>10095.36</v>
      </c>
      <c r="AI88" s="27">
        <v>-338.36</v>
      </c>
      <c r="AJ88" s="30">
        <v>114485.5</v>
      </c>
      <c r="AK88" s="27">
        <v>338.4</v>
      </c>
      <c r="AL88" s="23"/>
      <c r="AM88" s="30">
        <v>10059.219999999999</v>
      </c>
      <c r="AN88" s="27">
        <v>-302.22000000000003</v>
      </c>
      <c r="AO88" s="30">
        <v>91336.1</v>
      </c>
      <c r="AP88" s="27">
        <v>302.2</v>
      </c>
      <c r="AQ88" s="23"/>
      <c r="AR88" s="30">
        <v>10020.709999999999</v>
      </c>
      <c r="AS88" s="27">
        <v>-263.70999999999998</v>
      </c>
      <c r="AT88" s="30">
        <v>69541.600000000006</v>
      </c>
      <c r="AU88" s="27">
        <v>263.7</v>
      </c>
    </row>
    <row r="89" spans="1:47" ht="18" x14ac:dyDescent="0.2">
      <c r="A89" s="26">
        <v>45881</v>
      </c>
      <c r="B89" s="40">
        <v>10610</v>
      </c>
      <c r="C89" s="23"/>
      <c r="D89" s="30">
        <v>10048.34</v>
      </c>
      <c r="E89" s="27">
        <v>561.66</v>
      </c>
      <c r="F89" s="30">
        <v>315461.5</v>
      </c>
      <c r="G89" s="27">
        <v>561.70000000000005</v>
      </c>
      <c r="H89" s="23"/>
      <c r="I89" s="30">
        <v>10332.69</v>
      </c>
      <c r="J89" s="27">
        <v>277.31</v>
      </c>
      <c r="K89" s="30">
        <v>76900.3</v>
      </c>
      <c r="L89" s="27">
        <v>277.3</v>
      </c>
      <c r="M89" s="23"/>
      <c r="N89" s="30">
        <v>10246.92</v>
      </c>
      <c r="O89" s="27">
        <v>363.08</v>
      </c>
      <c r="P89" s="30">
        <v>131826.9</v>
      </c>
      <c r="Q89" s="27">
        <v>363.1</v>
      </c>
      <c r="R89" s="23"/>
      <c r="S89" s="30">
        <v>10108.59</v>
      </c>
      <c r="T89" s="27">
        <v>501.41</v>
      </c>
      <c r="U89" s="30">
        <v>251415.9</v>
      </c>
      <c r="V89" s="27">
        <v>501.4</v>
      </c>
      <c r="W89" s="23"/>
      <c r="X89" s="30">
        <v>9994.16</v>
      </c>
      <c r="Y89" s="27">
        <v>615.84</v>
      </c>
      <c r="Z89" s="30">
        <v>379263.4</v>
      </c>
      <c r="AA89" s="27">
        <v>615.79999999999995</v>
      </c>
      <c r="AB89" s="23"/>
      <c r="AC89" s="30">
        <v>9913.64</v>
      </c>
      <c r="AD89" s="27">
        <v>696.36</v>
      </c>
      <c r="AE89" s="30">
        <v>484913.8</v>
      </c>
      <c r="AF89" s="27">
        <v>696.4</v>
      </c>
      <c r="AG89" s="23"/>
      <c r="AH89" s="30">
        <v>9858.51</v>
      </c>
      <c r="AI89" s="27">
        <v>751.49</v>
      </c>
      <c r="AJ89" s="30">
        <v>564741.5</v>
      </c>
      <c r="AK89" s="27">
        <v>751.5</v>
      </c>
      <c r="AL89" s="23"/>
      <c r="AM89" s="30">
        <v>9817.44</v>
      </c>
      <c r="AN89" s="27">
        <v>792.56</v>
      </c>
      <c r="AO89" s="30">
        <v>628145.4</v>
      </c>
      <c r="AP89" s="27">
        <v>792.6</v>
      </c>
      <c r="AQ89" s="23"/>
      <c r="AR89" s="30">
        <v>9783.3700000000008</v>
      </c>
      <c r="AS89" s="27">
        <v>826.63</v>
      </c>
      <c r="AT89" s="30">
        <v>683315.9</v>
      </c>
      <c r="AU89" s="27">
        <v>826.6</v>
      </c>
    </row>
    <row r="90" spans="1:47" ht="18" x14ac:dyDescent="0.2">
      <c r="A90" s="26">
        <v>45912</v>
      </c>
      <c r="B90" s="40">
        <v>10045</v>
      </c>
      <c r="C90" s="23"/>
      <c r="D90" s="30">
        <v>10104.51</v>
      </c>
      <c r="E90" s="27">
        <v>-59.51</v>
      </c>
      <c r="F90" s="30">
        <v>3541</v>
      </c>
      <c r="G90" s="27">
        <v>59.5</v>
      </c>
      <c r="H90" s="23"/>
      <c r="I90" s="30">
        <v>10388.15</v>
      </c>
      <c r="J90" s="27">
        <v>-343.15</v>
      </c>
      <c r="K90" s="30">
        <v>117753.8</v>
      </c>
      <c r="L90" s="27">
        <v>343.2</v>
      </c>
      <c r="M90" s="23"/>
      <c r="N90" s="30">
        <v>10355.84</v>
      </c>
      <c r="O90" s="27">
        <v>-310.83999999999997</v>
      </c>
      <c r="P90" s="30">
        <v>96624.1</v>
      </c>
      <c r="Q90" s="27">
        <v>310.8</v>
      </c>
      <c r="R90" s="23"/>
      <c r="S90" s="30">
        <v>10309.15</v>
      </c>
      <c r="T90" s="27">
        <v>-264.14999999999998</v>
      </c>
      <c r="U90" s="30">
        <v>69776.100000000006</v>
      </c>
      <c r="V90" s="27">
        <v>264.2</v>
      </c>
      <c r="W90" s="23"/>
      <c r="X90" s="30">
        <v>10302.08</v>
      </c>
      <c r="Y90" s="27">
        <v>-257.08</v>
      </c>
      <c r="Z90" s="30">
        <v>66089.2</v>
      </c>
      <c r="AA90" s="27">
        <v>257.10000000000002</v>
      </c>
      <c r="AB90" s="23"/>
      <c r="AC90" s="30">
        <v>10331.459999999999</v>
      </c>
      <c r="AD90" s="27">
        <v>-286.45999999999998</v>
      </c>
      <c r="AE90" s="30">
        <v>82057.600000000006</v>
      </c>
      <c r="AF90" s="27">
        <v>286.5</v>
      </c>
      <c r="AG90" s="23"/>
      <c r="AH90" s="30">
        <v>10384.549999999999</v>
      </c>
      <c r="AI90" s="27">
        <v>-339.55</v>
      </c>
      <c r="AJ90" s="30">
        <v>115295.7</v>
      </c>
      <c r="AK90" s="27">
        <v>339.6</v>
      </c>
      <c r="AL90" s="23"/>
      <c r="AM90" s="30">
        <v>10451.49</v>
      </c>
      <c r="AN90" s="27">
        <v>-406.49</v>
      </c>
      <c r="AO90" s="30">
        <v>165233.1</v>
      </c>
      <c r="AP90" s="27">
        <v>406.5</v>
      </c>
      <c r="AQ90" s="23"/>
      <c r="AR90" s="30">
        <v>10527.34</v>
      </c>
      <c r="AS90" s="27">
        <v>-482.34</v>
      </c>
      <c r="AT90" s="30">
        <v>232649.1</v>
      </c>
      <c r="AU90" s="27">
        <v>482.3</v>
      </c>
    </row>
    <row r="91" spans="1:47" ht="18" x14ac:dyDescent="0.2">
      <c r="A91" s="26">
        <v>45942</v>
      </c>
      <c r="B91" s="40">
        <v>8828</v>
      </c>
      <c r="C91" s="23"/>
      <c r="D91" s="30">
        <v>10098.56</v>
      </c>
      <c r="E91" s="30">
        <v>-1270.56</v>
      </c>
      <c r="F91" s="30">
        <v>1614311.8</v>
      </c>
      <c r="G91" s="30">
        <v>1270.5999999999999</v>
      </c>
      <c r="H91" s="23"/>
      <c r="I91" s="30">
        <v>10319.52</v>
      </c>
      <c r="J91" s="30">
        <v>-1491.52</v>
      </c>
      <c r="K91" s="30">
        <v>2224638.4</v>
      </c>
      <c r="L91" s="30">
        <v>1491.5</v>
      </c>
      <c r="M91" s="23"/>
      <c r="N91" s="30">
        <v>10262.59</v>
      </c>
      <c r="O91" s="30">
        <v>-1434.59</v>
      </c>
      <c r="P91" s="30">
        <v>2058051.1</v>
      </c>
      <c r="Q91" s="30">
        <v>1434.6</v>
      </c>
      <c r="R91" s="23"/>
      <c r="S91" s="30">
        <v>10203.49</v>
      </c>
      <c r="T91" s="30">
        <v>-1375.49</v>
      </c>
      <c r="U91" s="30">
        <v>1891975.5</v>
      </c>
      <c r="V91" s="30">
        <v>1375.5</v>
      </c>
      <c r="W91" s="23"/>
      <c r="X91" s="30">
        <v>10173.540000000001</v>
      </c>
      <c r="Y91" s="30">
        <v>-1345.54</v>
      </c>
      <c r="Z91" s="30">
        <v>1810475.4</v>
      </c>
      <c r="AA91" s="30">
        <v>1345.5</v>
      </c>
      <c r="AB91" s="23"/>
      <c r="AC91" s="30">
        <v>10159.58</v>
      </c>
      <c r="AD91" s="30">
        <v>-1331.58</v>
      </c>
      <c r="AE91" s="30">
        <v>1773112.7</v>
      </c>
      <c r="AF91" s="30">
        <v>1331.6</v>
      </c>
      <c r="AG91" s="23"/>
      <c r="AH91" s="30">
        <v>10146.870000000001</v>
      </c>
      <c r="AI91" s="30">
        <v>-1318.87</v>
      </c>
      <c r="AJ91" s="30">
        <v>1739406.6</v>
      </c>
      <c r="AK91" s="30">
        <v>1318.9</v>
      </c>
      <c r="AL91" s="23"/>
      <c r="AM91" s="30">
        <v>10126.299999999999</v>
      </c>
      <c r="AN91" s="30">
        <v>-1298.3</v>
      </c>
      <c r="AO91" s="30">
        <v>1685577</v>
      </c>
      <c r="AP91" s="30">
        <v>1298.3</v>
      </c>
      <c r="AQ91" s="23"/>
      <c r="AR91" s="30">
        <v>10093.23</v>
      </c>
      <c r="AS91" s="30">
        <v>-1265.23</v>
      </c>
      <c r="AT91" s="30">
        <v>1600816.3</v>
      </c>
      <c r="AU91" s="30">
        <v>1265.2</v>
      </c>
    </row>
    <row r="92" spans="1:47" ht="18" x14ac:dyDescent="0.2">
      <c r="A92" s="26">
        <v>45973</v>
      </c>
      <c r="B92" s="40">
        <v>9366</v>
      </c>
      <c r="C92" s="23"/>
      <c r="D92" s="30">
        <v>9971.5</v>
      </c>
      <c r="E92" s="27">
        <v>-605.5</v>
      </c>
      <c r="F92" s="30">
        <v>366630.40000000002</v>
      </c>
      <c r="G92" s="27">
        <v>605.5</v>
      </c>
      <c r="H92" s="23"/>
      <c r="I92" s="30">
        <v>10021.219999999999</v>
      </c>
      <c r="J92" s="27">
        <v>-655.22</v>
      </c>
      <c r="K92" s="30">
        <v>429310.3</v>
      </c>
      <c r="L92" s="27">
        <v>655.20000000000005</v>
      </c>
      <c r="M92" s="23"/>
      <c r="N92" s="30">
        <v>9832.2099999999991</v>
      </c>
      <c r="O92" s="27">
        <v>-466.21</v>
      </c>
      <c r="P92" s="30">
        <v>217355.2</v>
      </c>
      <c r="Q92" s="27">
        <v>466.2</v>
      </c>
      <c r="R92" s="23"/>
      <c r="S92" s="30">
        <v>9653.2900000000009</v>
      </c>
      <c r="T92" s="27">
        <v>-287.29000000000002</v>
      </c>
      <c r="U92" s="30">
        <v>82538.2</v>
      </c>
      <c r="V92" s="27">
        <v>287.3</v>
      </c>
      <c r="W92" s="23"/>
      <c r="X92" s="30">
        <v>9500.77</v>
      </c>
      <c r="Y92" s="27">
        <v>-134.77000000000001</v>
      </c>
      <c r="Z92" s="30">
        <v>18162.8</v>
      </c>
      <c r="AA92" s="27">
        <v>134.80000000000001</v>
      </c>
      <c r="AB92" s="23"/>
      <c r="AC92" s="30">
        <v>9360.6299999999992</v>
      </c>
      <c r="AD92" s="27">
        <v>5.37</v>
      </c>
      <c r="AE92" s="27">
        <v>28.8</v>
      </c>
      <c r="AF92" s="27">
        <v>5.4</v>
      </c>
      <c r="AG92" s="23"/>
      <c r="AH92" s="30">
        <v>9223.66</v>
      </c>
      <c r="AI92" s="27">
        <v>142.34</v>
      </c>
      <c r="AJ92" s="30">
        <v>20260.8</v>
      </c>
      <c r="AK92" s="27">
        <v>142.30000000000001</v>
      </c>
      <c r="AL92" s="23"/>
      <c r="AM92" s="30">
        <v>9087.66</v>
      </c>
      <c r="AN92" s="27">
        <v>278.33999999999997</v>
      </c>
      <c r="AO92" s="30">
        <v>77473.399999999994</v>
      </c>
      <c r="AP92" s="27">
        <v>278.3</v>
      </c>
      <c r="AQ92" s="23"/>
      <c r="AR92" s="30">
        <v>8954.52</v>
      </c>
      <c r="AS92" s="27">
        <v>411.48</v>
      </c>
      <c r="AT92" s="30">
        <v>169313</v>
      </c>
      <c r="AU92" s="27">
        <v>411.5</v>
      </c>
    </row>
    <row r="93" spans="1:47" ht="18" x14ac:dyDescent="0.2">
      <c r="A93" s="26">
        <v>46003</v>
      </c>
      <c r="B93" s="40">
        <v>11366</v>
      </c>
      <c r="C93" s="23"/>
      <c r="D93" s="30">
        <v>9910.9500000000007</v>
      </c>
      <c r="E93" s="30">
        <v>1455.05</v>
      </c>
      <c r="F93" s="30">
        <v>2117170.1</v>
      </c>
      <c r="G93" s="30">
        <v>1455</v>
      </c>
      <c r="H93" s="23"/>
      <c r="I93" s="30">
        <v>9890.17</v>
      </c>
      <c r="J93" s="30">
        <v>1475.83</v>
      </c>
      <c r="K93" s="30">
        <v>2178061.7999999998</v>
      </c>
      <c r="L93" s="30">
        <v>1475.8</v>
      </c>
      <c r="M93" s="23"/>
      <c r="N93" s="30">
        <v>9692.35</v>
      </c>
      <c r="O93" s="30">
        <v>1673.65</v>
      </c>
      <c r="P93" s="30">
        <v>2801105.9</v>
      </c>
      <c r="Q93" s="30">
        <v>1673.7</v>
      </c>
      <c r="R93" s="23"/>
      <c r="S93" s="30">
        <v>9538.3799999999992</v>
      </c>
      <c r="T93" s="30">
        <v>1827.62</v>
      </c>
      <c r="U93" s="30">
        <v>3340206.7</v>
      </c>
      <c r="V93" s="30">
        <v>1827.6</v>
      </c>
      <c r="W93" s="23"/>
      <c r="X93" s="30">
        <v>9433.3799999999992</v>
      </c>
      <c r="Y93" s="30">
        <v>1932.62</v>
      </c>
      <c r="Z93" s="30">
        <v>3735001.6</v>
      </c>
      <c r="AA93" s="30">
        <v>1932.6</v>
      </c>
      <c r="AB93" s="23"/>
      <c r="AC93" s="30">
        <v>9363.85</v>
      </c>
      <c r="AD93" s="30">
        <v>2002.15</v>
      </c>
      <c r="AE93" s="30">
        <v>4008591.6</v>
      </c>
      <c r="AF93" s="30">
        <v>2002.1</v>
      </c>
      <c r="AG93" s="23"/>
      <c r="AH93" s="30">
        <v>9323.2999999999993</v>
      </c>
      <c r="AI93" s="30">
        <v>2042.7</v>
      </c>
      <c r="AJ93" s="30">
        <v>4172631.8</v>
      </c>
      <c r="AK93" s="30">
        <v>2042.7</v>
      </c>
      <c r="AL93" s="23"/>
      <c r="AM93" s="30">
        <v>9310.33</v>
      </c>
      <c r="AN93" s="30">
        <v>2055.67</v>
      </c>
      <c r="AO93" s="30">
        <v>4225771.3</v>
      </c>
      <c r="AP93" s="30">
        <v>2055.6999999999998</v>
      </c>
      <c r="AQ93" s="23"/>
      <c r="AR93" s="30">
        <v>9324.85</v>
      </c>
      <c r="AS93" s="30">
        <v>2041.15</v>
      </c>
      <c r="AT93" s="30">
        <v>4166283.8</v>
      </c>
      <c r="AU93" s="30">
        <v>2041.1</v>
      </c>
    </row>
    <row r="94" spans="1:47" ht="18" x14ac:dyDescent="0.2">
      <c r="A94" s="26">
        <v>45670</v>
      </c>
      <c r="B94" s="40">
        <v>7405</v>
      </c>
      <c r="C94" s="23"/>
      <c r="D94" s="30">
        <v>10056.459999999999</v>
      </c>
      <c r="E94" s="30">
        <v>-2651.46</v>
      </c>
      <c r="F94" s="30">
        <v>7030214.2999999998</v>
      </c>
      <c r="G94" s="30">
        <v>2651.5</v>
      </c>
      <c r="H94" s="23"/>
      <c r="I94" s="30">
        <v>10185.34</v>
      </c>
      <c r="J94" s="30">
        <v>-2780.34</v>
      </c>
      <c r="K94" s="30">
        <v>7730286.9000000004</v>
      </c>
      <c r="L94" s="30">
        <v>2780.3</v>
      </c>
      <c r="M94" s="23"/>
      <c r="N94" s="30">
        <v>10194.44</v>
      </c>
      <c r="O94" s="30">
        <v>-2789.44</v>
      </c>
      <c r="P94" s="30">
        <v>7781001.5999999996</v>
      </c>
      <c r="Q94" s="30">
        <v>2789.4</v>
      </c>
      <c r="R94" s="23"/>
      <c r="S94" s="30">
        <v>10269.43</v>
      </c>
      <c r="T94" s="30">
        <v>-2864.43</v>
      </c>
      <c r="U94" s="30">
        <v>8204936.5999999996</v>
      </c>
      <c r="V94" s="30">
        <v>2864.4</v>
      </c>
      <c r="W94" s="23"/>
      <c r="X94" s="30">
        <v>10399.69</v>
      </c>
      <c r="Y94" s="30">
        <v>-2994.69</v>
      </c>
      <c r="Z94" s="30">
        <v>8968182.5</v>
      </c>
      <c r="AA94" s="30">
        <v>2994.7</v>
      </c>
      <c r="AB94" s="23"/>
      <c r="AC94" s="30">
        <v>10565.14</v>
      </c>
      <c r="AD94" s="30">
        <v>-3160.14</v>
      </c>
      <c r="AE94" s="30">
        <v>9986493</v>
      </c>
      <c r="AF94" s="30">
        <v>3160.1</v>
      </c>
      <c r="AG94" s="23"/>
      <c r="AH94" s="30">
        <v>10753.19</v>
      </c>
      <c r="AI94" s="30">
        <v>-3348.19</v>
      </c>
      <c r="AJ94" s="30">
        <v>11210372.1</v>
      </c>
      <c r="AK94" s="30">
        <v>3348.2</v>
      </c>
      <c r="AL94" s="23"/>
      <c r="AM94" s="30">
        <v>10954.87</v>
      </c>
      <c r="AN94" s="30">
        <v>-3549.87</v>
      </c>
      <c r="AO94" s="30">
        <v>12601551.300000001</v>
      </c>
      <c r="AP94" s="30">
        <v>3549.9</v>
      </c>
      <c r="AQ94" s="23"/>
      <c r="AR94" s="30">
        <v>11161.89</v>
      </c>
      <c r="AS94" s="30">
        <v>-3756.89</v>
      </c>
      <c r="AT94" s="30">
        <v>14114186.699999999</v>
      </c>
      <c r="AU94" s="30">
        <v>3756.9</v>
      </c>
    </row>
    <row r="95" spans="1:47" ht="18" x14ac:dyDescent="0.2">
      <c r="A95" s="26">
        <v>45701</v>
      </c>
      <c r="B95" s="40">
        <v>9614</v>
      </c>
      <c r="C95" s="23"/>
      <c r="D95" s="30">
        <v>9791.31</v>
      </c>
      <c r="E95" s="27">
        <v>-177.31</v>
      </c>
      <c r="F95" s="30">
        <v>31438.7</v>
      </c>
      <c r="G95" s="27">
        <v>177.3</v>
      </c>
      <c r="H95" s="23"/>
      <c r="I95" s="30">
        <v>9629.27</v>
      </c>
      <c r="J95" s="27">
        <v>-15.27</v>
      </c>
      <c r="K95" s="27">
        <v>233.2</v>
      </c>
      <c r="L95" s="27">
        <v>15.3</v>
      </c>
      <c r="M95" s="23"/>
      <c r="N95" s="30">
        <v>9357.61</v>
      </c>
      <c r="O95" s="27">
        <v>256.39</v>
      </c>
      <c r="P95" s="30">
        <v>65735.199999999997</v>
      </c>
      <c r="Q95" s="27">
        <v>256.39999999999998</v>
      </c>
      <c r="R95" s="23"/>
      <c r="S95" s="30">
        <v>9123.66</v>
      </c>
      <c r="T95" s="27">
        <v>490.34</v>
      </c>
      <c r="U95" s="30">
        <v>240437.6</v>
      </c>
      <c r="V95" s="27">
        <v>490.3</v>
      </c>
      <c r="W95" s="23"/>
      <c r="X95" s="30">
        <v>8902.35</v>
      </c>
      <c r="Y95" s="27">
        <v>711.65</v>
      </c>
      <c r="Z95" s="30">
        <v>506451.1</v>
      </c>
      <c r="AA95" s="27">
        <v>711.7</v>
      </c>
      <c r="AB95" s="23"/>
      <c r="AC95" s="30">
        <v>8669.06</v>
      </c>
      <c r="AD95" s="27">
        <v>944.94</v>
      </c>
      <c r="AE95" s="30">
        <v>892918.2</v>
      </c>
      <c r="AF95" s="27">
        <v>944.9</v>
      </c>
      <c r="AG95" s="23"/>
      <c r="AH95" s="30">
        <v>8409.4599999999991</v>
      </c>
      <c r="AI95" s="30">
        <v>1204.54</v>
      </c>
      <c r="AJ95" s="30">
        <v>1450924.3</v>
      </c>
      <c r="AK95" s="30">
        <v>1204.5</v>
      </c>
      <c r="AL95" s="23"/>
      <c r="AM95" s="30">
        <v>8114.97</v>
      </c>
      <c r="AN95" s="30">
        <v>1499.03</v>
      </c>
      <c r="AO95" s="30">
        <v>2247081.1</v>
      </c>
      <c r="AP95" s="30">
        <v>1499</v>
      </c>
      <c r="AQ95" s="23"/>
      <c r="AR95" s="30">
        <v>7780.69</v>
      </c>
      <c r="AS95" s="30">
        <v>1833.31</v>
      </c>
      <c r="AT95" s="30">
        <v>3361031</v>
      </c>
      <c r="AU95" s="30">
        <v>1833.3</v>
      </c>
    </row>
    <row r="96" spans="1:47" ht="18" x14ac:dyDescent="0.2">
      <c r="A96" s="26">
        <v>45729</v>
      </c>
      <c r="B96" s="40">
        <v>11207</v>
      </c>
      <c r="C96" s="23"/>
      <c r="D96" s="30">
        <v>9773.58</v>
      </c>
      <c r="E96" s="30">
        <v>1433.42</v>
      </c>
      <c r="F96" s="30">
        <v>2054696.8</v>
      </c>
      <c r="G96" s="30">
        <v>1433.4</v>
      </c>
      <c r="H96" s="23"/>
      <c r="I96" s="30">
        <v>9626.2199999999993</v>
      </c>
      <c r="J96" s="30">
        <v>1580.78</v>
      </c>
      <c r="K96" s="30">
        <v>2498874.2999999998</v>
      </c>
      <c r="L96" s="30">
        <v>1580.8</v>
      </c>
      <c r="M96" s="23"/>
      <c r="N96" s="30">
        <v>9434.5300000000007</v>
      </c>
      <c r="O96" s="30">
        <v>1772.47</v>
      </c>
      <c r="P96" s="30">
        <v>3141657.4</v>
      </c>
      <c r="Q96" s="30">
        <v>1772.5</v>
      </c>
      <c r="R96" s="23"/>
      <c r="S96" s="30">
        <v>9319.7900000000009</v>
      </c>
      <c r="T96" s="30">
        <v>1887.21</v>
      </c>
      <c r="U96" s="30">
        <v>3561548.8</v>
      </c>
      <c r="V96" s="30">
        <v>1887.2</v>
      </c>
      <c r="W96" s="23"/>
      <c r="X96" s="30">
        <v>9258.17</v>
      </c>
      <c r="Y96" s="30">
        <v>1948.83</v>
      </c>
      <c r="Z96" s="30">
        <v>3797926.3</v>
      </c>
      <c r="AA96" s="30">
        <v>1948.8</v>
      </c>
      <c r="AB96" s="23"/>
      <c r="AC96" s="30">
        <v>9236.02</v>
      </c>
      <c r="AD96" s="30">
        <v>1970.98</v>
      </c>
      <c r="AE96" s="30">
        <v>3884751.9</v>
      </c>
      <c r="AF96" s="30">
        <v>1971</v>
      </c>
      <c r="AG96" s="23"/>
      <c r="AH96" s="30">
        <v>9252.64</v>
      </c>
      <c r="AI96" s="30">
        <v>1954.36</v>
      </c>
      <c r="AJ96" s="30">
        <v>3819534.6</v>
      </c>
      <c r="AK96" s="30">
        <v>1954.4</v>
      </c>
      <c r="AL96" s="23"/>
      <c r="AM96" s="30">
        <v>9314.19</v>
      </c>
      <c r="AN96" s="30">
        <v>1892.81</v>
      </c>
      <c r="AO96" s="30">
        <v>3582712.1</v>
      </c>
      <c r="AP96" s="30">
        <v>1892.8</v>
      </c>
      <c r="AQ96" s="23"/>
      <c r="AR96" s="30">
        <v>9430.67</v>
      </c>
      <c r="AS96" s="30">
        <v>1776.33</v>
      </c>
      <c r="AT96" s="30">
        <v>3155352.3</v>
      </c>
      <c r="AU96" s="30">
        <v>1776.3</v>
      </c>
    </row>
    <row r="97" spans="1:47" ht="18" x14ac:dyDescent="0.2">
      <c r="A97" s="26">
        <v>45760</v>
      </c>
      <c r="B97" s="40">
        <v>10613</v>
      </c>
      <c r="C97" s="23"/>
      <c r="D97" s="30">
        <v>9916.92</v>
      </c>
      <c r="E97" s="27">
        <v>696.08</v>
      </c>
      <c r="F97" s="30">
        <v>484526.3</v>
      </c>
      <c r="G97" s="27">
        <v>696.1</v>
      </c>
      <c r="H97" s="23"/>
      <c r="I97" s="30">
        <v>9942.3700000000008</v>
      </c>
      <c r="J97" s="27">
        <v>670.63</v>
      </c>
      <c r="K97" s="30">
        <v>449739.6</v>
      </c>
      <c r="L97" s="27">
        <v>670.6</v>
      </c>
      <c r="M97" s="23"/>
      <c r="N97" s="30">
        <v>9966.27</v>
      </c>
      <c r="O97" s="27">
        <v>646.73</v>
      </c>
      <c r="P97" s="30">
        <v>418260.3</v>
      </c>
      <c r="Q97" s="27">
        <v>646.70000000000005</v>
      </c>
      <c r="R97" s="23"/>
      <c r="S97" s="30">
        <v>10074.68</v>
      </c>
      <c r="T97" s="27">
        <v>538.32000000000005</v>
      </c>
      <c r="U97" s="30">
        <v>289792.7</v>
      </c>
      <c r="V97" s="27">
        <v>538.29999999999995</v>
      </c>
      <c r="W97" s="23"/>
      <c r="X97" s="30">
        <v>10232.59</v>
      </c>
      <c r="Y97" s="27">
        <v>380.41</v>
      </c>
      <c r="Z97" s="30">
        <v>144714.4</v>
      </c>
      <c r="AA97" s="27">
        <v>380.4</v>
      </c>
      <c r="AB97" s="23"/>
      <c r="AC97" s="30">
        <v>10418.61</v>
      </c>
      <c r="AD97" s="27">
        <v>194.39</v>
      </c>
      <c r="AE97" s="30">
        <v>37787.800000000003</v>
      </c>
      <c r="AF97" s="27">
        <v>194.4</v>
      </c>
      <c r="AG97" s="23"/>
      <c r="AH97" s="30">
        <v>10620.69</v>
      </c>
      <c r="AI97" s="27">
        <v>-7.69</v>
      </c>
      <c r="AJ97" s="27">
        <v>59.2</v>
      </c>
      <c r="AK97" s="27">
        <v>7.7</v>
      </c>
      <c r="AL97" s="23"/>
      <c r="AM97" s="30">
        <v>10828.44</v>
      </c>
      <c r="AN97" s="27">
        <v>-215.44</v>
      </c>
      <c r="AO97" s="30">
        <v>46413.9</v>
      </c>
      <c r="AP97" s="27">
        <v>215.4</v>
      </c>
      <c r="AQ97" s="23"/>
      <c r="AR97" s="30">
        <v>11029.37</v>
      </c>
      <c r="AS97" s="27">
        <v>-416.37</v>
      </c>
      <c r="AT97" s="30">
        <v>173361.4</v>
      </c>
      <c r="AU97" s="27">
        <v>416.4</v>
      </c>
    </row>
    <row r="98" spans="1:47" ht="18" x14ac:dyDescent="0.2">
      <c r="A98" s="26">
        <v>45790</v>
      </c>
      <c r="B98" s="40">
        <v>11963</v>
      </c>
      <c r="C98" s="23"/>
      <c r="D98" s="30">
        <v>9986.5300000000007</v>
      </c>
      <c r="E98" s="30">
        <v>1976.47</v>
      </c>
      <c r="F98" s="30">
        <v>3906438.8</v>
      </c>
      <c r="G98" s="30">
        <v>1976.5</v>
      </c>
      <c r="H98" s="23"/>
      <c r="I98" s="30">
        <v>10076.5</v>
      </c>
      <c r="J98" s="30">
        <v>1886.5</v>
      </c>
      <c r="K98" s="30">
        <v>3558886</v>
      </c>
      <c r="L98" s="30">
        <v>1886.5</v>
      </c>
      <c r="M98" s="23"/>
      <c r="N98" s="30">
        <v>10160.290000000001</v>
      </c>
      <c r="O98" s="30">
        <v>1802.71</v>
      </c>
      <c r="P98" s="30">
        <v>3249768.1</v>
      </c>
      <c r="Q98" s="30">
        <v>1802.7</v>
      </c>
      <c r="R98" s="23"/>
      <c r="S98" s="30">
        <v>10290.01</v>
      </c>
      <c r="T98" s="30">
        <v>1672.99</v>
      </c>
      <c r="U98" s="30">
        <v>2798910.2</v>
      </c>
      <c r="V98" s="30">
        <v>1673</v>
      </c>
      <c r="W98" s="23"/>
      <c r="X98" s="30">
        <v>10422.790000000001</v>
      </c>
      <c r="Y98" s="30">
        <v>1540.21</v>
      </c>
      <c r="Z98" s="30">
        <v>2372236.7999999998</v>
      </c>
      <c r="AA98" s="30">
        <v>1540.2</v>
      </c>
      <c r="AB98" s="23"/>
      <c r="AC98" s="30">
        <v>10535.24</v>
      </c>
      <c r="AD98" s="30">
        <v>1427.76</v>
      </c>
      <c r="AE98" s="30">
        <v>2038488.3</v>
      </c>
      <c r="AF98" s="30">
        <v>1427.8</v>
      </c>
      <c r="AG98" s="23"/>
      <c r="AH98" s="30">
        <v>10615.31</v>
      </c>
      <c r="AI98" s="30">
        <v>1347.69</v>
      </c>
      <c r="AJ98" s="30">
        <v>1816275.5</v>
      </c>
      <c r="AK98" s="30">
        <v>1347.7</v>
      </c>
      <c r="AL98" s="23"/>
      <c r="AM98" s="30">
        <v>10656.09</v>
      </c>
      <c r="AN98" s="30">
        <v>1306.9100000000001</v>
      </c>
      <c r="AO98" s="30">
        <v>1708019.5</v>
      </c>
      <c r="AP98" s="30">
        <v>1306.9000000000001</v>
      </c>
      <c r="AQ98" s="23"/>
      <c r="AR98" s="30">
        <v>10654.64</v>
      </c>
      <c r="AS98" s="30">
        <v>1308.3599999999999</v>
      </c>
      <c r="AT98" s="30">
        <v>1711814.6</v>
      </c>
      <c r="AU98" s="30">
        <v>1308.4000000000001</v>
      </c>
    </row>
    <row r="99" spans="1:47" ht="18" x14ac:dyDescent="0.2">
      <c r="A99" s="26">
        <v>45821</v>
      </c>
      <c r="B99" s="40">
        <v>12085</v>
      </c>
      <c r="C99" s="23"/>
      <c r="D99" s="30">
        <v>10184.18</v>
      </c>
      <c r="E99" s="30">
        <v>1900.82</v>
      </c>
      <c r="F99" s="30">
        <v>3613132.5</v>
      </c>
      <c r="G99" s="30">
        <v>1900.8</v>
      </c>
      <c r="H99" s="23"/>
      <c r="I99" s="30">
        <v>10453.799999999999</v>
      </c>
      <c r="J99" s="30">
        <v>1631.2</v>
      </c>
      <c r="K99" s="30">
        <v>2660816</v>
      </c>
      <c r="L99" s="30">
        <v>1631.2</v>
      </c>
      <c r="M99" s="23"/>
      <c r="N99" s="30">
        <v>10701.1</v>
      </c>
      <c r="O99" s="30">
        <v>1383.9</v>
      </c>
      <c r="P99" s="30">
        <v>1915173.5</v>
      </c>
      <c r="Q99" s="30">
        <v>1383.9</v>
      </c>
      <c r="R99" s="23"/>
      <c r="S99" s="30">
        <v>10959.2</v>
      </c>
      <c r="T99" s="30">
        <v>1125.8</v>
      </c>
      <c r="U99" s="30">
        <v>1267418.1000000001</v>
      </c>
      <c r="V99" s="30">
        <v>1125.8</v>
      </c>
      <c r="W99" s="23"/>
      <c r="X99" s="30">
        <v>11192.9</v>
      </c>
      <c r="Y99" s="27">
        <v>892.1</v>
      </c>
      <c r="Z99" s="30">
        <v>795848.4</v>
      </c>
      <c r="AA99" s="27">
        <v>892.1</v>
      </c>
      <c r="AB99" s="23"/>
      <c r="AC99" s="30">
        <v>11391.9</v>
      </c>
      <c r="AD99" s="27">
        <v>693.1</v>
      </c>
      <c r="AE99" s="30">
        <v>480391.1</v>
      </c>
      <c r="AF99" s="27">
        <v>693.1</v>
      </c>
      <c r="AG99" s="23"/>
      <c r="AH99" s="30">
        <v>11558.69</v>
      </c>
      <c r="AI99" s="27">
        <v>526.30999999999995</v>
      </c>
      <c r="AJ99" s="30">
        <v>276999.90000000002</v>
      </c>
      <c r="AK99" s="27">
        <v>526.29999999999995</v>
      </c>
      <c r="AL99" s="23"/>
      <c r="AM99" s="30">
        <v>11701.62</v>
      </c>
      <c r="AN99" s="27">
        <v>383.38</v>
      </c>
      <c r="AO99" s="30">
        <v>146982.1</v>
      </c>
      <c r="AP99" s="27">
        <v>383.4</v>
      </c>
      <c r="AQ99" s="23"/>
      <c r="AR99" s="30">
        <v>11832.16</v>
      </c>
      <c r="AS99" s="27">
        <v>252.84</v>
      </c>
      <c r="AT99" s="30">
        <v>63926.2</v>
      </c>
      <c r="AU99" s="27">
        <v>252.8</v>
      </c>
    </row>
    <row r="100" spans="1:47" ht="18" x14ac:dyDescent="0.2">
      <c r="A100" s="26">
        <v>45851</v>
      </c>
      <c r="B100" s="40">
        <v>12932</v>
      </c>
      <c r="C100" s="23"/>
      <c r="D100" s="30">
        <v>10374.26</v>
      </c>
      <c r="E100" s="30">
        <v>2557.7399999999998</v>
      </c>
      <c r="F100" s="30">
        <v>6542042.9000000004</v>
      </c>
      <c r="G100" s="30">
        <v>2557.6999999999998</v>
      </c>
      <c r="H100" s="23"/>
      <c r="I100" s="30">
        <v>10780.04</v>
      </c>
      <c r="J100" s="30">
        <v>2151.96</v>
      </c>
      <c r="K100" s="30">
        <v>4630934.5999999996</v>
      </c>
      <c r="L100" s="30">
        <v>2152</v>
      </c>
      <c r="M100" s="23"/>
      <c r="N100" s="30">
        <v>11116.27</v>
      </c>
      <c r="O100" s="30">
        <v>1815.73</v>
      </c>
      <c r="P100" s="30">
        <v>3296870.2</v>
      </c>
      <c r="Q100" s="30">
        <v>1815.7</v>
      </c>
      <c r="R100" s="23"/>
      <c r="S100" s="30">
        <v>11409.52</v>
      </c>
      <c r="T100" s="30">
        <v>1522.48</v>
      </c>
      <c r="U100" s="30">
        <v>2317939.2000000002</v>
      </c>
      <c r="V100" s="30">
        <v>1522.5</v>
      </c>
      <c r="W100" s="23"/>
      <c r="X100" s="30">
        <v>11638.95</v>
      </c>
      <c r="Y100" s="30">
        <v>1293.05</v>
      </c>
      <c r="Z100" s="30">
        <v>1671982.7</v>
      </c>
      <c r="AA100" s="30">
        <v>1293.0999999999999</v>
      </c>
      <c r="AB100" s="23"/>
      <c r="AC100" s="30">
        <v>11807.76</v>
      </c>
      <c r="AD100" s="30">
        <v>1124.24</v>
      </c>
      <c r="AE100" s="30">
        <v>1263917.8999999999</v>
      </c>
      <c r="AF100" s="30">
        <v>1124.2</v>
      </c>
      <c r="AG100" s="23"/>
      <c r="AH100" s="30">
        <v>11927.11</v>
      </c>
      <c r="AI100" s="30">
        <v>1004.89</v>
      </c>
      <c r="AJ100" s="30">
        <v>1009808.6</v>
      </c>
      <c r="AK100" s="30">
        <v>1004.9</v>
      </c>
      <c r="AL100" s="23"/>
      <c r="AM100" s="30">
        <v>12008.32</v>
      </c>
      <c r="AN100" s="27">
        <v>923.68</v>
      </c>
      <c r="AO100" s="30">
        <v>853178.3</v>
      </c>
      <c r="AP100" s="27">
        <v>923.7</v>
      </c>
      <c r="AQ100" s="23"/>
      <c r="AR100" s="30">
        <v>12059.72</v>
      </c>
      <c r="AS100" s="27">
        <v>872.28</v>
      </c>
      <c r="AT100" s="30">
        <v>760878.7</v>
      </c>
      <c r="AU100" s="27">
        <v>872.3</v>
      </c>
    </row>
    <row r="101" spans="1:47" ht="18" x14ac:dyDescent="0.2">
      <c r="A101" s="26">
        <v>45882</v>
      </c>
      <c r="B101" s="40">
        <v>14877</v>
      </c>
      <c r="C101" s="23"/>
      <c r="D101" s="30">
        <v>10630.03</v>
      </c>
      <c r="E101" s="30">
        <v>4246.97</v>
      </c>
      <c r="F101" s="30">
        <v>18036733.600000001</v>
      </c>
      <c r="G101" s="30">
        <v>4247</v>
      </c>
      <c r="H101" s="23"/>
      <c r="I101" s="30">
        <v>11210.43</v>
      </c>
      <c r="J101" s="30">
        <v>3666.57</v>
      </c>
      <c r="K101" s="30">
        <v>13443724.699999999</v>
      </c>
      <c r="L101" s="30">
        <v>3666.6</v>
      </c>
      <c r="M101" s="23"/>
      <c r="N101" s="30">
        <v>11660.99</v>
      </c>
      <c r="O101" s="30">
        <v>3216.01</v>
      </c>
      <c r="P101" s="30">
        <v>10342720.199999999</v>
      </c>
      <c r="Q101" s="30">
        <v>3216</v>
      </c>
      <c r="R101" s="23"/>
      <c r="S101" s="30">
        <v>12018.51</v>
      </c>
      <c r="T101" s="30">
        <v>2858.49</v>
      </c>
      <c r="U101" s="30">
        <v>8170946.7000000002</v>
      </c>
      <c r="V101" s="30">
        <v>2858.5</v>
      </c>
      <c r="W101" s="23"/>
      <c r="X101" s="30">
        <v>12285.47</v>
      </c>
      <c r="Y101" s="30">
        <v>2591.5300000000002</v>
      </c>
      <c r="Z101" s="30">
        <v>6716006.2000000002</v>
      </c>
      <c r="AA101" s="30">
        <v>2591.5</v>
      </c>
      <c r="AB101" s="23"/>
      <c r="AC101" s="30">
        <v>12482.3</v>
      </c>
      <c r="AD101" s="30">
        <v>2394.6999999999998</v>
      </c>
      <c r="AE101" s="30">
        <v>5734570.9000000004</v>
      </c>
      <c r="AF101" s="30">
        <v>2394.6999999999998</v>
      </c>
      <c r="AG101" s="23"/>
      <c r="AH101" s="30">
        <v>12630.53</v>
      </c>
      <c r="AI101" s="30">
        <v>2246.4699999999998</v>
      </c>
      <c r="AJ101" s="30">
        <v>5046617.0999999996</v>
      </c>
      <c r="AK101" s="30">
        <v>2246.5</v>
      </c>
      <c r="AL101" s="23"/>
      <c r="AM101" s="30">
        <v>12747.26</v>
      </c>
      <c r="AN101" s="30">
        <v>2129.7399999999998</v>
      </c>
      <c r="AO101" s="30">
        <v>4535772.4000000004</v>
      </c>
      <c r="AP101" s="30">
        <v>2129.6999999999998</v>
      </c>
      <c r="AQ101" s="23"/>
      <c r="AR101" s="30">
        <v>12844.77</v>
      </c>
      <c r="AS101" s="30">
        <v>2032.23</v>
      </c>
      <c r="AT101" s="30">
        <v>4129952.1</v>
      </c>
      <c r="AU101" s="30">
        <v>2032.2</v>
      </c>
    </row>
    <row r="102" spans="1:47" ht="18" x14ac:dyDescent="0.2">
      <c r="A102" s="26">
        <v>45913</v>
      </c>
      <c r="B102" s="40">
        <v>9659</v>
      </c>
      <c r="C102" s="23"/>
      <c r="D102" s="30">
        <v>11054.73</v>
      </c>
      <c r="E102" s="30">
        <v>-1395.73</v>
      </c>
      <c r="F102" s="30">
        <v>1948060</v>
      </c>
      <c r="G102" s="30">
        <v>1395.7</v>
      </c>
      <c r="H102" s="23"/>
      <c r="I102" s="30">
        <v>11943.75</v>
      </c>
      <c r="J102" s="30">
        <v>-2284.75</v>
      </c>
      <c r="K102" s="30">
        <v>5220060.5999999996</v>
      </c>
      <c r="L102" s="30">
        <v>2284.6999999999998</v>
      </c>
      <c r="M102" s="23"/>
      <c r="N102" s="30">
        <v>12625.79</v>
      </c>
      <c r="O102" s="30">
        <v>-2966.79</v>
      </c>
      <c r="P102" s="30">
        <v>8801860.8000000007</v>
      </c>
      <c r="Q102" s="30">
        <v>2966.8</v>
      </c>
      <c r="R102" s="23"/>
      <c r="S102" s="30">
        <v>13161.91</v>
      </c>
      <c r="T102" s="30">
        <v>-3502.91</v>
      </c>
      <c r="U102" s="30">
        <v>12270364</v>
      </c>
      <c r="V102" s="30">
        <v>3502.9</v>
      </c>
      <c r="W102" s="23"/>
      <c r="X102" s="30">
        <v>13581.24</v>
      </c>
      <c r="Y102" s="30">
        <v>-3922.24</v>
      </c>
      <c r="Z102" s="30">
        <v>15383943.699999999</v>
      </c>
      <c r="AA102" s="30">
        <v>3922.2</v>
      </c>
      <c r="AB102" s="23"/>
      <c r="AC102" s="30">
        <v>13919.12</v>
      </c>
      <c r="AD102" s="30">
        <v>-4260.12</v>
      </c>
      <c r="AE102" s="30">
        <v>18148634.699999999</v>
      </c>
      <c r="AF102" s="30">
        <v>4260.1000000000004</v>
      </c>
      <c r="AG102" s="23"/>
      <c r="AH102" s="30">
        <v>14203.06</v>
      </c>
      <c r="AI102" s="30">
        <v>-4544.0600000000004</v>
      </c>
      <c r="AJ102" s="30">
        <v>20648478.5</v>
      </c>
      <c r="AK102" s="30">
        <v>4544.1000000000004</v>
      </c>
      <c r="AL102" s="23"/>
      <c r="AM102" s="30">
        <v>14451.05</v>
      </c>
      <c r="AN102" s="30">
        <v>-4792.05</v>
      </c>
      <c r="AO102" s="30">
        <v>22963771.399999999</v>
      </c>
      <c r="AP102" s="30">
        <v>4792.1000000000004</v>
      </c>
      <c r="AQ102" s="23"/>
      <c r="AR102" s="30">
        <v>14673.78</v>
      </c>
      <c r="AS102" s="30">
        <v>-5014.78</v>
      </c>
      <c r="AT102" s="30">
        <v>25147990</v>
      </c>
      <c r="AU102" s="30">
        <v>5014.8</v>
      </c>
    </row>
    <row r="103" spans="1:47" ht="18" x14ac:dyDescent="0.2">
      <c r="A103" s="26">
        <v>45943</v>
      </c>
      <c r="B103" s="40">
        <v>9202</v>
      </c>
      <c r="C103" s="23"/>
      <c r="D103" s="30">
        <v>10915.16</v>
      </c>
      <c r="E103" s="30">
        <v>-1713.16</v>
      </c>
      <c r="F103" s="30">
        <v>2934904.4</v>
      </c>
      <c r="G103" s="30">
        <v>1713.2</v>
      </c>
      <c r="H103" s="23"/>
      <c r="I103" s="30">
        <v>11486.8</v>
      </c>
      <c r="J103" s="30">
        <v>-2284.8000000000002</v>
      </c>
      <c r="K103" s="30">
        <v>5220293.5</v>
      </c>
      <c r="L103" s="30">
        <v>2284.8000000000002</v>
      </c>
      <c r="M103" s="23"/>
      <c r="N103" s="30">
        <v>11735.76</v>
      </c>
      <c r="O103" s="30">
        <v>-2533.7600000000002</v>
      </c>
      <c r="P103" s="30">
        <v>6419914.9000000004</v>
      </c>
      <c r="Q103" s="30">
        <v>2533.8000000000002</v>
      </c>
      <c r="R103" s="23"/>
      <c r="S103" s="30">
        <v>11760.74</v>
      </c>
      <c r="T103" s="30">
        <v>-2558.7399999999998</v>
      </c>
      <c r="U103" s="30">
        <v>6547174.7000000002</v>
      </c>
      <c r="V103" s="30">
        <v>2558.6999999999998</v>
      </c>
      <c r="W103" s="23"/>
      <c r="X103" s="30">
        <v>11620.12</v>
      </c>
      <c r="Y103" s="30">
        <v>-2418.12</v>
      </c>
      <c r="Z103" s="30">
        <v>5847297.2999999998</v>
      </c>
      <c r="AA103" s="30">
        <v>2418.1</v>
      </c>
      <c r="AB103" s="23"/>
      <c r="AC103" s="30">
        <v>11363.05</v>
      </c>
      <c r="AD103" s="30">
        <v>-2161.0500000000002</v>
      </c>
      <c r="AE103" s="30">
        <v>4670130.9000000004</v>
      </c>
      <c r="AF103" s="30">
        <v>2161</v>
      </c>
      <c r="AG103" s="23"/>
      <c r="AH103" s="30">
        <v>11022.22</v>
      </c>
      <c r="AI103" s="30">
        <v>-1820.22</v>
      </c>
      <c r="AJ103" s="30">
        <v>3313193.2</v>
      </c>
      <c r="AK103" s="30">
        <v>1820.2</v>
      </c>
      <c r="AL103" s="23"/>
      <c r="AM103" s="30">
        <v>10617.41</v>
      </c>
      <c r="AN103" s="30">
        <v>-1415.41</v>
      </c>
      <c r="AO103" s="30">
        <v>2003387.1</v>
      </c>
      <c r="AP103" s="30">
        <v>1415.4</v>
      </c>
      <c r="AQ103" s="23"/>
      <c r="AR103" s="30">
        <v>10160.48</v>
      </c>
      <c r="AS103" s="27">
        <v>-958.48</v>
      </c>
      <c r="AT103" s="30">
        <v>918679.5</v>
      </c>
      <c r="AU103" s="27">
        <v>958.5</v>
      </c>
    </row>
    <row r="104" spans="1:47" ht="18" x14ac:dyDescent="0.2">
      <c r="A104" s="26">
        <v>45974</v>
      </c>
      <c r="B104" s="40">
        <v>8150</v>
      </c>
      <c r="C104" s="23"/>
      <c r="D104" s="30">
        <v>10743.84</v>
      </c>
      <c r="E104" s="30">
        <v>-2593.84</v>
      </c>
      <c r="F104" s="30">
        <v>6728009.2999999998</v>
      </c>
      <c r="G104" s="30">
        <v>2593.8000000000002</v>
      </c>
      <c r="H104" s="23"/>
      <c r="I104" s="30">
        <v>11029.84</v>
      </c>
      <c r="J104" s="30">
        <v>-2879.84</v>
      </c>
      <c r="K104" s="30">
        <v>8293460.7000000002</v>
      </c>
      <c r="L104" s="30">
        <v>2879.8</v>
      </c>
      <c r="M104" s="23"/>
      <c r="N104" s="30">
        <v>10975.63</v>
      </c>
      <c r="O104" s="30">
        <v>-2825.63</v>
      </c>
      <c r="P104" s="30">
        <v>7984176.7999999998</v>
      </c>
      <c r="Q104" s="30">
        <v>2825.6</v>
      </c>
      <c r="R104" s="23"/>
      <c r="S104" s="30">
        <v>10737.25</v>
      </c>
      <c r="T104" s="30">
        <v>-2587.25</v>
      </c>
      <c r="U104" s="30">
        <v>6693846.2999999998</v>
      </c>
      <c r="V104" s="30">
        <v>2587.1999999999998</v>
      </c>
      <c r="W104" s="23"/>
      <c r="X104" s="30">
        <v>10411.06</v>
      </c>
      <c r="Y104" s="30">
        <v>-2261.06</v>
      </c>
      <c r="Z104" s="30">
        <v>5112389</v>
      </c>
      <c r="AA104" s="30">
        <v>2261.1</v>
      </c>
      <c r="AB104" s="23"/>
      <c r="AC104" s="30">
        <v>10066.42</v>
      </c>
      <c r="AD104" s="30">
        <v>-1916.42</v>
      </c>
      <c r="AE104" s="30">
        <v>3672663.4</v>
      </c>
      <c r="AF104" s="30">
        <v>1916.4</v>
      </c>
      <c r="AG104" s="23"/>
      <c r="AH104" s="30">
        <v>9748.07</v>
      </c>
      <c r="AI104" s="30">
        <v>-1598.07</v>
      </c>
      <c r="AJ104" s="30">
        <v>2553812.9</v>
      </c>
      <c r="AK104" s="30">
        <v>1598.1</v>
      </c>
      <c r="AL104" s="23"/>
      <c r="AM104" s="30">
        <v>9485.08</v>
      </c>
      <c r="AN104" s="30">
        <v>-1335.08</v>
      </c>
      <c r="AO104" s="30">
        <v>1782444.3</v>
      </c>
      <c r="AP104" s="30">
        <v>1335.1</v>
      </c>
      <c r="AQ104" s="23"/>
      <c r="AR104" s="30">
        <v>9297.85</v>
      </c>
      <c r="AS104" s="30">
        <v>-1147.8499999999999</v>
      </c>
      <c r="AT104" s="30">
        <v>1317554.5</v>
      </c>
      <c r="AU104" s="30">
        <v>1147.8</v>
      </c>
    </row>
    <row r="105" spans="1:47" ht="18" x14ac:dyDescent="0.2">
      <c r="A105" s="26">
        <v>46004</v>
      </c>
      <c r="B105" s="40">
        <v>8971</v>
      </c>
      <c r="C105" s="23"/>
      <c r="D105" s="30">
        <v>10484.459999999999</v>
      </c>
      <c r="E105" s="30">
        <v>-1513.46</v>
      </c>
      <c r="F105" s="30">
        <v>2290550.7999999998</v>
      </c>
      <c r="G105" s="30">
        <v>1513.5</v>
      </c>
      <c r="H105" s="23"/>
      <c r="I105" s="30">
        <v>10453.870000000001</v>
      </c>
      <c r="J105" s="30">
        <v>-1482.87</v>
      </c>
      <c r="K105" s="30">
        <v>2198902.1</v>
      </c>
      <c r="L105" s="30">
        <v>1482.9</v>
      </c>
      <c r="M105" s="23"/>
      <c r="N105" s="30">
        <v>10127.94</v>
      </c>
      <c r="O105" s="30">
        <v>-1156.94</v>
      </c>
      <c r="P105" s="30">
        <v>1338510.2</v>
      </c>
      <c r="Q105" s="30">
        <v>1156.9000000000001</v>
      </c>
      <c r="R105" s="23"/>
      <c r="S105" s="30">
        <v>9702.35</v>
      </c>
      <c r="T105" s="27">
        <v>-731.35</v>
      </c>
      <c r="U105" s="30">
        <v>534870.1</v>
      </c>
      <c r="V105" s="27">
        <v>731.3</v>
      </c>
      <c r="W105" s="23"/>
      <c r="X105" s="30">
        <v>9280.5300000000007</v>
      </c>
      <c r="Y105" s="27">
        <v>-309.52999999999997</v>
      </c>
      <c r="Z105" s="30">
        <v>95808.6</v>
      </c>
      <c r="AA105" s="27">
        <v>309.5</v>
      </c>
      <c r="AB105" s="23"/>
      <c r="AC105" s="30">
        <v>8916.57</v>
      </c>
      <c r="AD105" s="27">
        <v>54.43</v>
      </c>
      <c r="AE105" s="30">
        <v>2962.9</v>
      </c>
      <c r="AF105" s="27">
        <v>54.4</v>
      </c>
      <c r="AG105" s="23"/>
      <c r="AH105" s="30">
        <v>8629.42</v>
      </c>
      <c r="AI105" s="27">
        <v>341.58</v>
      </c>
      <c r="AJ105" s="30">
        <v>116677.2</v>
      </c>
      <c r="AK105" s="27">
        <v>341.6</v>
      </c>
      <c r="AL105" s="23"/>
      <c r="AM105" s="30">
        <v>8417.02</v>
      </c>
      <c r="AN105" s="27">
        <v>553.98</v>
      </c>
      <c r="AO105" s="30">
        <v>306897.8</v>
      </c>
      <c r="AP105" s="27">
        <v>554</v>
      </c>
      <c r="AQ105" s="23"/>
      <c r="AR105" s="30">
        <v>8264.7800000000007</v>
      </c>
      <c r="AS105" s="27">
        <v>706.22</v>
      </c>
      <c r="AT105" s="30">
        <v>498739.9</v>
      </c>
      <c r="AU105" s="27">
        <v>706.2</v>
      </c>
    </row>
    <row r="106" spans="1:47" ht="18" x14ac:dyDescent="0.2">
      <c r="A106" s="26">
        <v>45671</v>
      </c>
      <c r="B106" s="40">
        <v>6224</v>
      </c>
      <c r="C106" s="23"/>
      <c r="D106" s="30">
        <v>10333.11</v>
      </c>
      <c r="E106" s="30">
        <v>-4109.1099999999997</v>
      </c>
      <c r="F106" s="30">
        <v>16884792.5</v>
      </c>
      <c r="G106" s="30">
        <v>4109.1000000000004</v>
      </c>
      <c r="H106" s="23"/>
      <c r="I106" s="30">
        <v>10157.299999999999</v>
      </c>
      <c r="J106" s="30">
        <v>-3933.3</v>
      </c>
      <c r="K106" s="30">
        <v>15470814.5</v>
      </c>
      <c r="L106" s="30">
        <v>3933.3</v>
      </c>
      <c r="M106" s="23"/>
      <c r="N106" s="30">
        <v>9780.86</v>
      </c>
      <c r="O106" s="30">
        <v>-3556.86</v>
      </c>
      <c r="P106" s="30">
        <v>12651238.800000001</v>
      </c>
      <c r="Q106" s="30">
        <v>3556.9</v>
      </c>
      <c r="R106" s="23"/>
      <c r="S106" s="30">
        <v>9409.81</v>
      </c>
      <c r="T106" s="30">
        <v>-3185.81</v>
      </c>
      <c r="U106" s="30">
        <v>10149378.1</v>
      </c>
      <c r="V106" s="30">
        <v>3185.8</v>
      </c>
      <c r="W106" s="23"/>
      <c r="X106" s="30">
        <v>9125.76</v>
      </c>
      <c r="Y106" s="30">
        <v>-2901.76</v>
      </c>
      <c r="Z106" s="30">
        <v>8420239.0999999996</v>
      </c>
      <c r="AA106" s="30">
        <v>2901.8</v>
      </c>
      <c r="AB106" s="23"/>
      <c r="AC106" s="30">
        <v>8949.23</v>
      </c>
      <c r="AD106" s="30">
        <v>-2725.23</v>
      </c>
      <c r="AE106" s="30">
        <v>7426862.7999999998</v>
      </c>
      <c r="AF106" s="30">
        <v>2725.2</v>
      </c>
      <c r="AG106" s="23"/>
      <c r="AH106" s="30">
        <v>8868.5300000000007</v>
      </c>
      <c r="AI106" s="30">
        <v>-2644.53</v>
      </c>
      <c r="AJ106" s="30">
        <v>6993517.0999999996</v>
      </c>
      <c r="AK106" s="30">
        <v>2644.5</v>
      </c>
      <c r="AL106" s="23"/>
      <c r="AM106" s="30">
        <v>8860.2000000000007</v>
      </c>
      <c r="AN106" s="30">
        <v>-2636.2</v>
      </c>
      <c r="AO106" s="30">
        <v>6949567.7999999998</v>
      </c>
      <c r="AP106" s="30">
        <v>2636.2</v>
      </c>
      <c r="AQ106" s="23"/>
      <c r="AR106" s="30">
        <v>8900.3799999999992</v>
      </c>
      <c r="AS106" s="30">
        <v>-2676.38</v>
      </c>
      <c r="AT106" s="30">
        <v>7163001.7999999998</v>
      </c>
      <c r="AU106" s="30">
        <v>2676.4</v>
      </c>
    </row>
    <row r="107" spans="1:47" ht="18" x14ac:dyDescent="0.2">
      <c r="A107" s="26">
        <v>45702</v>
      </c>
      <c r="B107" s="40">
        <v>6913</v>
      </c>
      <c r="C107" s="23"/>
      <c r="D107" s="30">
        <v>9922.2000000000007</v>
      </c>
      <c r="E107" s="30">
        <v>-3009.2</v>
      </c>
      <c r="F107" s="30">
        <v>9055283.5999999996</v>
      </c>
      <c r="G107" s="30">
        <v>3009.2</v>
      </c>
      <c r="H107" s="23"/>
      <c r="I107" s="30">
        <v>9370.64</v>
      </c>
      <c r="J107" s="30">
        <v>-2457.64</v>
      </c>
      <c r="K107" s="30">
        <v>6039977.2000000002</v>
      </c>
      <c r="L107" s="30">
        <v>2457.6</v>
      </c>
      <c r="M107" s="23"/>
      <c r="N107" s="30">
        <v>8713.7999999999993</v>
      </c>
      <c r="O107" s="30">
        <v>-1800.8</v>
      </c>
      <c r="P107" s="30">
        <v>3242882.8</v>
      </c>
      <c r="Q107" s="30">
        <v>1800.8</v>
      </c>
      <c r="R107" s="23"/>
      <c r="S107" s="30">
        <v>8135.49</v>
      </c>
      <c r="T107" s="30">
        <v>-1222.49</v>
      </c>
      <c r="U107" s="30">
        <v>1494470.4</v>
      </c>
      <c r="V107" s="30">
        <v>1222.5</v>
      </c>
      <c r="W107" s="23"/>
      <c r="X107" s="30">
        <v>7674.88</v>
      </c>
      <c r="Y107" s="27">
        <v>-761.88</v>
      </c>
      <c r="Z107" s="30">
        <v>580464.80000000005</v>
      </c>
      <c r="AA107" s="27">
        <v>761.9</v>
      </c>
      <c r="AB107" s="23"/>
      <c r="AC107" s="30">
        <v>7314.09</v>
      </c>
      <c r="AD107" s="27">
        <v>-401.09</v>
      </c>
      <c r="AE107" s="30">
        <v>160873.9</v>
      </c>
      <c r="AF107" s="27">
        <v>401.1</v>
      </c>
      <c r="AG107" s="23"/>
      <c r="AH107" s="30">
        <v>7017.36</v>
      </c>
      <c r="AI107" s="27">
        <v>-104.36</v>
      </c>
      <c r="AJ107" s="30">
        <v>10890.5</v>
      </c>
      <c r="AK107" s="27">
        <v>104.4</v>
      </c>
      <c r="AL107" s="23"/>
      <c r="AM107" s="30">
        <v>6751.24</v>
      </c>
      <c r="AN107" s="27">
        <v>161.76</v>
      </c>
      <c r="AO107" s="30">
        <v>26166.1</v>
      </c>
      <c r="AP107" s="27">
        <v>161.80000000000001</v>
      </c>
      <c r="AQ107" s="23"/>
      <c r="AR107" s="30">
        <v>6491.64</v>
      </c>
      <c r="AS107" s="27">
        <v>421.36</v>
      </c>
      <c r="AT107" s="30">
        <v>177546.1</v>
      </c>
      <c r="AU107" s="27">
        <v>421.4</v>
      </c>
    </row>
    <row r="108" spans="1:47" ht="18" x14ac:dyDescent="0.2">
      <c r="A108" s="26">
        <v>45730</v>
      </c>
      <c r="B108" s="40">
        <v>8894</v>
      </c>
      <c r="C108" s="23"/>
      <c r="D108" s="30">
        <v>9621.2800000000007</v>
      </c>
      <c r="E108" s="27">
        <v>-727.28</v>
      </c>
      <c r="F108" s="30">
        <v>528936</v>
      </c>
      <c r="G108" s="27">
        <v>727.3</v>
      </c>
      <c r="H108" s="23"/>
      <c r="I108" s="30">
        <v>8879.11</v>
      </c>
      <c r="J108" s="27">
        <v>14.89</v>
      </c>
      <c r="K108" s="27">
        <v>221.7</v>
      </c>
      <c r="L108" s="27">
        <v>14.9</v>
      </c>
      <c r="M108" s="23"/>
      <c r="N108" s="30">
        <v>8173.56</v>
      </c>
      <c r="O108" s="27">
        <v>720.44</v>
      </c>
      <c r="P108" s="30">
        <v>519033.2</v>
      </c>
      <c r="Q108" s="27">
        <v>720.4</v>
      </c>
      <c r="R108" s="23"/>
      <c r="S108" s="30">
        <v>7646.49</v>
      </c>
      <c r="T108" s="30">
        <v>1247.51</v>
      </c>
      <c r="U108" s="30">
        <v>1556278.2</v>
      </c>
      <c r="V108" s="30">
        <v>1247.5</v>
      </c>
      <c r="W108" s="23"/>
      <c r="X108" s="30">
        <v>7293.94</v>
      </c>
      <c r="Y108" s="30">
        <v>1600.06</v>
      </c>
      <c r="Z108" s="30">
        <v>2560188.1</v>
      </c>
      <c r="AA108" s="30">
        <v>1600.1</v>
      </c>
      <c r="AB108" s="23"/>
      <c r="AC108" s="30">
        <v>7073.44</v>
      </c>
      <c r="AD108" s="30">
        <v>1820.56</v>
      </c>
      <c r="AE108" s="30">
        <v>3314452</v>
      </c>
      <c r="AF108" s="30">
        <v>1820.6</v>
      </c>
      <c r="AG108" s="23"/>
      <c r="AH108" s="30">
        <v>6944.31</v>
      </c>
      <c r="AI108" s="30">
        <v>1949.69</v>
      </c>
      <c r="AJ108" s="30">
        <v>3801301.5</v>
      </c>
      <c r="AK108" s="30">
        <v>1949.7</v>
      </c>
      <c r="AL108" s="23"/>
      <c r="AM108" s="30">
        <v>6880.65</v>
      </c>
      <c r="AN108" s="30">
        <v>2013.35</v>
      </c>
      <c r="AO108" s="30">
        <v>4053585.7</v>
      </c>
      <c r="AP108" s="30">
        <v>2013.4</v>
      </c>
      <c r="AQ108" s="23"/>
      <c r="AR108" s="30">
        <v>6870.86</v>
      </c>
      <c r="AS108" s="30">
        <v>2023.14</v>
      </c>
      <c r="AT108" s="30">
        <v>4093080.1</v>
      </c>
      <c r="AU108" s="30">
        <v>2023.1</v>
      </c>
    </row>
    <row r="109" spans="1:47" ht="18" x14ac:dyDescent="0.2">
      <c r="A109" s="26">
        <v>45761</v>
      </c>
      <c r="B109" s="40">
        <v>8765</v>
      </c>
      <c r="C109" s="23"/>
      <c r="D109" s="30">
        <v>9548.5499999999993</v>
      </c>
      <c r="E109" s="27">
        <v>-783.55</v>
      </c>
      <c r="F109" s="30">
        <v>613953.5</v>
      </c>
      <c r="G109" s="27">
        <v>783.6</v>
      </c>
      <c r="H109" s="23"/>
      <c r="I109" s="30">
        <v>8882.09</v>
      </c>
      <c r="J109" s="27">
        <v>-117.09</v>
      </c>
      <c r="K109" s="30">
        <v>13709.5</v>
      </c>
      <c r="L109" s="27">
        <v>117.1</v>
      </c>
      <c r="M109" s="23"/>
      <c r="N109" s="30">
        <v>8389.69</v>
      </c>
      <c r="O109" s="27">
        <v>375.31</v>
      </c>
      <c r="P109" s="30">
        <v>140855.9</v>
      </c>
      <c r="Q109" s="27">
        <v>375.3</v>
      </c>
      <c r="R109" s="23"/>
      <c r="S109" s="30">
        <v>8145.49</v>
      </c>
      <c r="T109" s="27">
        <v>619.51</v>
      </c>
      <c r="U109" s="30">
        <v>383786.8</v>
      </c>
      <c r="V109" s="27">
        <v>619.5</v>
      </c>
      <c r="W109" s="23"/>
      <c r="X109" s="30">
        <v>8093.97</v>
      </c>
      <c r="Y109" s="27">
        <v>671.03</v>
      </c>
      <c r="Z109" s="30">
        <v>450280.5</v>
      </c>
      <c r="AA109" s="27">
        <v>671</v>
      </c>
      <c r="AB109" s="23"/>
      <c r="AC109" s="30">
        <v>8165.77</v>
      </c>
      <c r="AD109" s="27">
        <v>599.23</v>
      </c>
      <c r="AE109" s="30">
        <v>359071.2</v>
      </c>
      <c r="AF109" s="27">
        <v>599.20000000000005</v>
      </c>
      <c r="AG109" s="23"/>
      <c r="AH109" s="30">
        <v>8309.09</v>
      </c>
      <c r="AI109" s="27">
        <v>455.91</v>
      </c>
      <c r="AJ109" s="30">
        <v>207851.9</v>
      </c>
      <c r="AK109" s="27">
        <v>455.9</v>
      </c>
      <c r="AL109" s="23"/>
      <c r="AM109" s="30">
        <v>8491.33</v>
      </c>
      <c r="AN109" s="27">
        <v>273.67</v>
      </c>
      <c r="AO109" s="30">
        <v>74895.5</v>
      </c>
      <c r="AP109" s="27">
        <v>273.7</v>
      </c>
      <c r="AQ109" s="23"/>
      <c r="AR109" s="30">
        <v>8691.69</v>
      </c>
      <c r="AS109" s="27">
        <v>73.31</v>
      </c>
      <c r="AT109" s="30">
        <v>5374.9</v>
      </c>
      <c r="AU109" s="27">
        <v>73.3</v>
      </c>
    </row>
    <row r="110" spans="1:47" ht="18" x14ac:dyDescent="0.2">
      <c r="A110" s="26">
        <v>45791</v>
      </c>
      <c r="B110" s="40">
        <v>10054</v>
      </c>
      <c r="C110" s="23"/>
      <c r="D110" s="30">
        <v>9470.2000000000007</v>
      </c>
      <c r="E110" s="27">
        <v>583.79999999999995</v>
      </c>
      <c r="F110" s="30">
        <v>340826.3</v>
      </c>
      <c r="G110" s="27">
        <v>583.79999999999995</v>
      </c>
      <c r="H110" s="23"/>
      <c r="I110" s="30">
        <v>8858.67</v>
      </c>
      <c r="J110" s="30">
        <v>1195.33</v>
      </c>
      <c r="K110" s="30">
        <v>1428814.1</v>
      </c>
      <c r="L110" s="30">
        <v>1195.3</v>
      </c>
      <c r="M110" s="23"/>
      <c r="N110" s="30">
        <v>8502.2800000000007</v>
      </c>
      <c r="O110" s="30">
        <v>1551.72</v>
      </c>
      <c r="P110" s="30">
        <v>2407820.7000000002</v>
      </c>
      <c r="Q110" s="30">
        <v>1551.7</v>
      </c>
      <c r="R110" s="23"/>
      <c r="S110" s="30">
        <v>8393.2999999999993</v>
      </c>
      <c r="T110" s="30">
        <v>1660.7</v>
      </c>
      <c r="U110" s="30">
        <v>2757935</v>
      </c>
      <c r="V110" s="30">
        <v>1660.7</v>
      </c>
      <c r="W110" s="23"/>
      <c r="X110" s="30">
        <v>8429.49</v>
      </c>
      <c r="Y110" s="30">
        <v>1624.51</v>
      </c>
      <c r="Z110" s="30">
        <v>2639048</v>
      </c>
      <c r="AA110" s="30">
        <v>1624.5</v>
      </c>
      <c r="AB110" s="23"/>
      <c r="AC110" s="30">
        <v>8525.31</v>
      </c>
      <c r="AD110" s="30">
        <v>1528.69</v>
      </c>
      <c r="AE110" s="30">
        <v>2336893.7000000002</v>
      </c>
      <c r="AF110" s="30">
        <v>1528.7</v>
      </c>
      <c r="AG110" s="23"/>
      <c r="AH110" s="30">
        <v>8628.23</v>
      </c>
      <c r="AI110" s="30">
        <v>1425.77</v>
      </c>
      <c r="AJ110" s="30">
        <v>2032826.8</v>
      </c>
      <c r="AK110" s="30">
        <v>1425.8</v>
      </c>
      <c r="AL110" s="23"/>
      <c r="AM110" s="30">
        <v>8710.27</v>
      </c>
      <c r="AN110" s="30">
        <v>1343.73</v>
      </c>
      <c r="AO110" s="30">
        <v>1805621.3</v>
      </c>
      <c r="AP110" s="30">
        <v>1343.7</v>
      </c>
      <c r="AQ110" s="23"/>
      <c r="AR110" s="30">
        <v>8757.67</v>
      </c>
      <c r="AS110" s="30">
        <v>1296.33</v>
      </c>
      <c r="AT110" s="30">
        <v>1680475</v>
      </c>
      <c r="AU110" s="30">
        <v>1296.3</v>
      </c>
    </row>
    <row r="111" spans="1:47" ht="18" x14ac:dyDescent="0.2">
      <c r="A111" s="26">
        <v>45822</v>
      </c>
      <c r="B111" s="40">
        <v>9830</v>
      </c>
      <c r="C111" s="23"/>
      <c r="D111" s="30">
        <v>9528.58</v>
      </c>
      <c r="E111" s="27">
        <v>301.42</v>
      </c>
      <c r="F111" s="30">
        <v>90855.8</v>
      </c>
      <c r="G111" s="27">
        <v>301.39999999999998</v>
      </c>
      <c r="H111" s="23"/>
      <c r="I111" s="30">
        <v>9097.74</v>
      </c>
      <c r="J111" s="27">
        <v>732.26</v>
      </c>
      <c r="K111" s="30">
        <v>536210.69999999995</v>
      </c>
      <c r="L111" s="27">
        <v>732.3</v>
      </c>
      <c r="M111" s="23"/>
      <c r="N111" s="30">
        <v>8967.7999999999993</v>
      </c>
      <c r="O111" s="27">
        <v>862.2</v>
      </c>
      <c r="P111" s="30">
        <v>743390.2</v>
      </c>
      <c r="Q111" s="27">
        <v>862.2</v>
      </c>
      <c r="R111" s="23"/>
      <c r="S111" s="30">
        <v>9057.58</v>
      </c>
      <c r="T111" s="27">
        <v>772.42</v>
      </c>
      <c r="U111" s="30">
        <v>596635.6</v>
      </c>
      <c r="V111" s="27">
        <v>772.4</v>
      </c>
      <c r="W111" s="23"/>
      <c r="X111" s="30">
        <v>9241.74</v>
      </c>
      <c r="Y111" s="27">
        <v>588.26</v>
      </c>
      <c r="Z111" s="30">
        <v>346046.7</v>
      </c>
      <c r="AA111" s="27">
        <v>588.29999999999995</v>
      </c>
      <c r="AB111" s="23"/>
      <c r="AC111" s="30">
        <v>9442.52</v>
      </c>
      <c r="AD111" s="27">
        <v>387.48</v>
      </c>
      <c r="AE111" s="30">
        <v>150137.70000000001</v>
      </c>
      <c r="AF111" s="27">
        <v>387.5</v>
      </c>
      <c r="AG111" s="23"/>
      <c r="AH111" s="30">
        <v>9626.27</v>
      </c>
      <c r="AI111" s="27">
        <v>203.73</v>
      </c>
      <c r="AJ111" s="30">
        <v>41506.6</v>
      </c>
      <c r="AK111" s="27">
        <v>203.7</v>
      </c>
      <c r="AL111" s="23"/>
      <c r="AM111" s="30">
        <v>9785.25</v>
      </c>
      <c r="AN111" s="27">
        <v>44.75</v>
      </c>
      <c r="AO111" s="30">
        <v>2002.3</v>
      </c>
      <c r="AP111" s="27">
        <v>44.7</v>
      </c>
      <c r="AQ111" s="23"/>
      <c r="AR111" s="30">
        <v>9924.3700000000008</v>
      </c>
      <c r="AS111" s="27">
        <v>-94.37</v>
      </c>
      <c r="AT111" s="30">
        <v>8905.1</v>
      </c>
      <c r="AU111" s="27">
        <v>94.4</v>
      </c>
    </row>
    <row r="112" spans="1:47" ht="18" x14ac:dyDescent="0.2">
      <c r="A112" s="26">
        <v>45852</v>
      </c>
      <c r="B112" s="40">
        <v>10933</v>
      </c>
      <c r="C112" s="23"/>
      <c r="D112" s="30">
        <v>9558.7199999999993</v>
      </c>
      <c r="E112" s="30">
        <v>1374.28</v>
      </c>
      <c r="F112" s="30">
        <v>1888647.4</v>
      </c>
      <c r="G112" s="30">
        <v>1374.3</v>
      </c>
      <c r="H112" s="23"/>
      <c r="I112" s="30">
        <v>9244.19</v>
      </c>
      <c r="J112" s="30">
        <v>1688.81</v>
      </c>
      <c r="K112" s="30">
        <v>2852083.5</v>
      </c>
      <c r="L112" s="30">
        <v>1688.8</v>
      </c>
      <c r="M112" s="23"/>
      <c r="N112" s="30">
        <v>9226.4599999999991</v>
      </c>
      <c r="O112" s="30">
        <v>1706.54</v>
      </c>
      <c r="P112" s="30">
        <v>2912280.6</v>
      </c>
      <c r="Q112" s="30">
        <v>1706.5</v>
      </c>
      <c r="R112" s="23"/>
      <c r="S112" s="30">
        <v>9366.5499999999993</v>
      </c>
      <c r="T112" s="30">
        <v>1566.45</v>
      </c>
      <c r="U112" s="30">
        <v>2453775.4</v>
      </c>
      <c r="V112" s="30">
        <v>1566.5</v>
      </c>
      <c r="W112" s="23"/>
      <c r="X112" s="30">
        <v>9535.8700000000008</v>
      </c>
      <c r="Y112" s="30">
        <v>1397.13</v>
      </c>
      <c r="Z112" s="30">
        <v>1951968.5</v>
      </c>
      <c r="AA112" s="30">
        <v>1397.1</v>
      </c>
      <c r="AB112" s="23"/>
      <c r="AC112" s="30">
        <v>9675.01</v>
      </c>
      <c r="AD112" s="30">
        <v>1257.99</v>
      </c>
      <c r="AE112" s="30">
        <v>1582539.9</v>
      </c>
      <c r="AF112" s="30">
        <v>1258</v>
      </c>
      <c r="AG112" s="23"/>
      <c r="AH112" s="30">
        <v>9768.8799999999992</v>
      </c>
      <c r="AI112" s="30">
        <v>1164.1199999999999</v>
      </c>
      <c r="AJ112" s="30">
        <v>1355174.2</v>
      </c>
      <c r="AK112" s="30">
        <v>1164.0999999999999</v>
      </c>
      <c r="AL112" s="23"/>
      <c r="AM112" s="30">
        <v>9821.0499999999993</v>
      </c>
      <c r="AN112" s="30">
        <v>1111.95</v>
      </c>
      <c r="AO112" s="30">
        <v>1236431.3999999999</v>
      </c>
      <c r="AP112" s="30">
        <v>1111.9000000000001</v>
      </c>
      <c r="AQ112" s="23"/>
      <c r="AR112" s="30">
        <v>9839.44</v>
      </c>
      <c r="AS112" s="30">
        <v>1093.56</v>
      </c>
      <c r="AT112" s="30">
        <v>1195880.7</v>
      </c>
      <c r="AU112" s="30">
        <v>1093.5999999999999</v>
      </c>
    </row>
    <row r="113" spans="1:47" ht="18" x14ac:dyDescent="0.2">
      <c r="A113" s="26">
        <v>45883</v>
      </c>
      <c r="B113" s="40">
        <v>10810</v>
      </c>
      <c r="C113" s="23"/>
      <c r="D113" s="30">
        <v>9696.15</v>
      </c>
      <c r="E113" s="30">
        <v>1113.8499999999999</v>
      </c>
      <c r="F113" s="30">
        <v>1240667.7</v>
      </c>
      <c r="G113" s="30">
        <v>1113.9000000000001</v>
      </c>
      <c r="H113" s="23"/>
      <c r="I113" s="30">
        <v>9581.9500000000007</v>
      </c>
      <c r="J113" s="30">
        <v>1228.05</v>
      </c>
      <c r="K113" s="30">
        <v>1508104.4</v>
      </c>
      <c r="L113" s="30">
        <v>1228</v>
      </c>
      <c r="M113" s="23"/>
      <c r="N113" s="30">
        <v>9738.42</v>
      </c>
      <c r="O113" s="30">
        <v>1071.58</v>
      </c>
      <c r="P113" s="30">
        <v>1148280.2</v>
      </c>
      <c r="Q113" s="30">
        <v>1071.5999999999999</v>
      </c>
      <c r="R113" s="23"/>
      <c r="S113" s="30">
        <v>9993.1299999999992</v>
      </c>
      <c r="T113" s="27">
        <v>816.87</v>
      </c>
      <c r="U113" s="30">
        <v>667279.69999999995</v>
      </c>
      <c r="V113" s="27">
        <v>816.9</v>
      </c>
      <c r="W113" s="23"/>
      <c r="X113" s="30">
        <v>10234.44</v>
      </c>
      <c r="Y113" s="27">
        <v>575.55999999999995</v>
      </c>
      <c r="Z113" s="30">
        <v>331274.3</v>
      </c>
      <c r="AA113" s="27">
        <v>575.6</v>
      </c>
      <c r="AB113" s="23"/>
      <c r="AC113" s="30">
        <v>10429.799999999999</v>
      </c>
      <c r="AD113" s="27">
        <v>380.2</v>
      </c>
      <c r="AE113" s="30">
        <v>144549.1</v>
      </c>
      <c r="AF113" s="27">
        <v>380.2</v>
      </c>
      <c r="AG113" s="23"/>
      <c r="AH113" s="30">
        <v>10583.76</v>
      </c>
      <c r="AI113" s="27">
        <v>226.24</v>
      </c>
      <c r="AJ113" s="30">
        <v>51182.7</v>
      </c>
      <c r="AK113" s="27">
        <v>226.2</v>
      </c>
      <c r="AL113" s="23"/>
      <c r="AM113" s="30">
        <v>10710.61</v>
      </c>
      <c r="AN113" s="27">
        <v>99.39</v>
      </c>
      <c r="AO113" s="30">
        <v>9878.2999999999993</v>
      </c>
      <c r="AP113" s="27">
        <v>99.4</v>
      </c>
      <c r="AQ113" s="23"/>
      <c r="AR113" s="30">
        <v>10823.64</v>
      </c>
      <c r="AS113" s="27">
        <v>-13.64</v>
      </c>
      <c r="AT113" s="27">
        <v>186.1</v>
      </c>
      <c r="AU113" s="27">
        <v>13.6</v>
      </c>
    </row>
    <row r="114" spans="1:47" ht="18" x14ac:dyDescent="0.2">
      <c r="A114" s="26">
        <v>45914</v>
      </c>
      <c r="B114" s="40">
        <v>7824</v>
      </c>
      <c r="C114" s="23"/>
      <c r="D114" s="30">
        <v>9807.5300000000007</v>
      </c>
      <c r="E114" s="30">
        <v>-1983.53</v>
      </c>
      <c r="F114" s="30">
        <v>3934401.7</v>
      </c>
      <c r="G114" s="30">
        <v>1983.5</v>
      </c>
      <c r="H114" s="23"/>
      <c r="I114" s="30">
        <v>9827.56</v>
      </c>
      <c r="J114" s="30">
        <v>-2003.56</v>
      </c>
      <c r="K114" s="30">
        <v>4014255.8</v>
      </c>
      <c r="L114" s="30">
        <v>2003.6</v>
      </c>
      <c r="M114" s="23"/>
      <c r="N114" s="30">
        <v>10059.9</v>
      </c>
      <c r="O114" s="30">
        <v>-2235.9</v>
      </c>
      <c r="P114" s="30">
        <v>4999227</v>
      </c>
      <c r="Q114" s="30">
        <v>2235.9</v>
      </c>
      <c r="R114" s="23"/>
      <c r="S114" s="30">
        <v>10319.879999999999</v>
      </c>
      <c r="T114" s="30">
        <v>-2495.88</v>
      </c>
      <c r="U114" s="30">
        <v>6229401.2999999998</v>
      </c>
      <c r="V114" s="30">
        <v>2495.9</v>
      </c>
      <c r="W114" s="23"/>
      <c r="X114" s="30">
        <v>10522.22</v>
      </c>
      <c r="Y114" s="30">
        <v>-2698.22</v>
      </c>
      <c r="Z114" s="30">
        <v>7280379.5</v>
      </c>
      <c r="AA114" s="30">
        <v>2698.2</v>
      </c>
      <c r="AB114" s="23"/>
      <c r="AC114" s="30">
        <v>10657.92</v>
      </c>
      <c r="AD114" s="30">
        <v>-2833.92</v>
      </c>
      <c r="AE114" s="30">
        <v>8031111.2000000002</v>
      </c>
      <c r="AF114" s="30">
        <v>2833.9</v>
      </c>
      <c r="AG114" s="23"/>
      <c r="AH114" s="30">
        <v>10742.13</v>
      </c>
      <c r="AI114" s="30">
        <v>-2918.13</v>
      </c>
      <c r="AJ114" s="30">
        <v>8515478.3000000007</v>
      </c>
      <c r="AK114" s="30">
        <v>2918.1</v>
      </c>
      <c r="AL114" s="23"/>
      <c r="AM114" s="30">
        <v>10790.12</v>
      </c>
      <c r="AN114" s="30">
        <v>-2966.12</v>
      </c>
      <c r="AO114" s="30">
        <v>8797879.9000000004</v>
      </c>
      <c r="AP114" s="30">
        <v>2966.1</v>
      </c>
      <c r="AQ114" s="23"/>
      <c r="AR114" s="30">
        <v>10811.36</v>
      </c>
      <c r="AS114" s="30">
        <v>-2987.36</v>
      </c>
      <c r="AT114" s="30">
        <v>8924345.9000000004</v>
      </c>
      <c r="AU114" s="30">
        <v>2987.4</v>
      </c>
    </row>
    <row r="115" spans="1:47" ht="18" x14ac:dyDescent="0.2">
      <c r="A115" s="26">
        <v>45944</v>
      </c>
      <c r="B115" s="40">
        <v>7903</v>
      </c>
      <c r="C115" s="23"/>
      <c r="D115" s="30">
        <v>9609.18</v>
      </c>
      <c r="E115" s="30">
        <v>-1706.18</v>
      </c>
      <c r="F115" s="30">
        <v>2911048.1</v>
      </c>
      <c r="G115" s="30">
        <v>1706.2</v>
      </c>
      <c r="H115" s="23"/>
      <c r="I115" s="30">
        <v>9426.85</v>
      </c>
      <c r="J115" s="30">
        <v>-1523.85</v>
      </c>
      <c r="K115" s="30">
        <v>2322114.6</v>
      </c>
      <c r="L115" s="30">
        <v>1523.8</v>
      </c>
      <c r="M115" s="23"/>
      <c r="N115" s="30">
        <v>9389.1299999999992</v>
      </c>
      <c r="O115" s="30">
        <v>-1486.13</v>
      </c>
      <c r="P115" s="30">
        <v>2208572.2999999998</v>
      </c>
      <c r="Q115" s="30">
        <v>1486.1</v>
      </c>
      <c r="R115" s="23"/>
      <c r="S115" s="30">
        <v>9321.5300000000007</v>
      </c>
      <c r="T115" s="30">
        <v>-1418.53</v>
      </c>
      <c r="U115" s="30">
        <v>2012216.4</v>
      </c>
      <c r="V115" s="30">
        <v>1418.5</v>
      </c>
      <c r="W115" s="23"/>
      <c r="X115" s="30">
        <v>9173.11</v>
      </c>
      <c r="Y115" s="30">
        <v>-1270.1099999999999</v>
      </c>
      <c r="Z115" s="30">
        <v>1613176.7</v>
      </c>
      <c r="AA115" s="30">
        <v>1270.0999999999999</v>
      </c>
      <c r="AB115" s="23"/>
      <c r="AC115" s="30">
        <v>8957.57</v>
      </c>
      <c r="AD115" s="30">
        <v>-1054.57</v>
      </c>
      <c r="AE115" s="30">
        <v>1112115</v>
      </c>
      <c r="AF115" s="30">
        <v>1054.5999999999999</v>
      </c>
      <c r="AG115" s="23"/>
      <c r="AH115" s="30">
        <v>8699.44</v>
      </c>
      <c r="AI115" s="27">
        <v>-796.44</v>
      </c>
      <c r="AJ115" s="30">
        <v>634314.69999999995</v>
      </c>
      <c r="AK115" s="27">
        <v>796.4</v>
      </c>
      <c r="AL115" s="23"/>
      <c r="AM115" s="30">
        <v>8417.2199999999993</v>
      </c>
      <c r="AN115" s="27">
        <v>-514.22</v>
      </c>
      <c r="AO115" s="30">
        <v>264426.7</v>
      </c>
      <c r="AP115" s="27">
        <v>514.20000000000005</v>
      </c>
      <c r="AQ115" s="23"/>
      <c r="AR115" s="30">
        <v>8122.74</v>
      </c>
      <c r="AS115" s="27">
        <v>-219.74</v>
      </c>
      <c r="AT115" s="30">
        <v>48284.1</v>
      </c>
      <c r="AU115" s="27">
        <v>219.7</v>
      </c>
    </row>
    <row r="116" spans="1:47" ht="18" x14ac:dyDescent="0.2">
      <c r="A116" s="26">
        <v>45975</v>
      </c>
      <c r="B116" s="40">
        <v>9228</v>
      </c>
      <c r="C116" s="23"/>
      <c r="D116" s="30">
        <v>9438.56</v>
      </c>
      <c r="E116" s="27">
        <v>-210.56</v>
      </c>
      <c r="F116" s="30">
        <v>44336.1</v>
      </c>
      <c r="G116" s="27">
        <v>210.6</v>
      </c>
      <c r="H116" s="23"/>
      <c r="I116" s="30">
        <v>9122.08</v>
      </c>
      <c r="J116" s="27">
        <v>105.92</v>
      </c>
      <c r="K116" s="30">
        <v>11219.3</v>
      </c>
      <c r="L116" s="27">
        <v>105.9</v>
      </c>
      <c r="M116" s="23"/>
      <c r="N116" s="30">
        <v>8943.2900000000009</v>
      </c>
      <c r="O116" s="27">
        <v>284.70999999999998</v>
      </c>
      <c r="P116" s="30">
        <v>81060.600000000006</v>
      </c>
      <c r="Q116" s="27">
        <v>284.7</v>
      </c>
      <c r="R116" s="23"/>
      <c r="S116" s="30">
        <v>8754.1200000000008</v>
      </c>
      <c r="T116" s="27">
        <v>473.88</v>
      </c>
      <c r="U116" s="30">
        <v>224566.39999999999</v>
      </c>
      <c r="V116" s="27">
        <v>473.9</v>
      </c>
      <c r="W116" s="23"/>
      <c r="X116" s="30">
        <v>8538.0499999999993</v>
      </c>
      <c r="Y116" s="27">
        <v>689.95</v>
      </c>
      <c r="Z116" s="30">
        <v>476024.9</v>
      </c>
      <c r="AA116" s="27">
        <v>689.9</v>
      </c>
      <c r="AB116" s="23"/>
      <c r="AC116" s="30">
        <v>8324.83</v>
      </c>
      <c r="AD116" s="27">
        <v>903.17</v>
      </c>
      <c r="AE116" s="30">
        <v>815720.7</v>
      </c>
      <c r="AF116" s="27">
        <v>903.2</v>
      </c>
      <c r="AG116" s="23"/>
      <c r="AH116" s="30">
        <v>8141.93</v>
      </c>
      <c r="AI116" s="30">
        <v>1086.07</v>
      </c>
      <c r="AJ116" s="30">
        <v>1179544.5</v>
      </c>
      <c r="AK116" s="30">
        <v>1086.0999999999999</v>
      </c>
      <c r="AL116" s="23"/>
      <c r="AM116" s="30">
        <v>8005.84</v>
      </c>
      <c r="AN116" s="30">
        <v>1222.1600000000001</v>
      </c>
      <c r="AO116" s="30">
        <v>1493663.1</v>
      </c>
      <c r="AP116" s="30">
        <v>1222.2</v>
      </c>
      <c r="AQ116" s="23"/>
      <c r="AR116" s="30">
        <v>7924.97</v>
      </c>
      <c r="AS116" s="30">
        <v>1303.03</v>
      </c>
      <c r="AT116" s="30">
        <v>1697877.7</v>
      </c>
      <c r="AU116" s="30">
        <v>1303</v>
      </c>
    </row>
    <row r="117" spans="1:47" ht="18" x14ac:dyDescent="0.2">
      <c r="A117" s="26">
        <v>46005</v>
      </c>
      <c r="B117" s="40">
        <v>11479</v>
      </c>
      <c r="C117" s="23"/>
      <c r="D117" s="30">
        <v>9417.51</v>
      </c>
      <c r="E117" s="30">
        <v>2061.4899999999998</v>
      </c>
      <c r="F117" s="30">
        <v>4249760.4000000004</v>
      </c>
      <c r="G117" s="30">
        <v>2061.5</v>
      </c>
      <c r="H117" s="23"/>
      <c r="I117" s="30">
        <v>9143.26</v>
      </c>
      <c r="J117" s="30">
        <v>2335.7399999999998</v>
      </c>
      <c r="K117" s="30">
        <v>5455666.7999999998</v>
      </c>
      <c r="L117" s="30">
        <v>2335.6999999999998</v>
      </c>
      <c r="M117" s="23"/>
      <c r="N117" s="30">
        <v>9028.7000000000007</v>
      </c>
      <c r="O117" s="30">
        <v>2450.3000000000002</v>
      </c>
      <c r="P117" s="30">
        <v>6003960.0999999996</v>
      </c>
      <c r="Q117" s="30">
        <v>2450.3000000000002</v>
      </c>
      <c r="R117" s="23"/>
      <c r="S117" s="30">
        <v>8943.67</v>
      </c>
      <c r="T117" s="30">
        <v>2535.33</v>
      </c>
      <c r="U117" s="30">
        <v>6427901.2000000002</v>
      </c>
      <c r="V117" s="30">
        <v>2535.3000000000002</v>
      </c>
      <c r="W117" s="23"/>
      <c r="X117" s="30">
        <v>8883.0300000000007</v>
      </c>
      <c r="Y117" s="30">
        <v>2595.9699999999998</v>
      </c>
      <c r="Z117" s="30">
        <v>6739074.5999999996</v>
      </c>
      <c r="AA117" s="30">
        <v>2596</v>
      </c>
      <c r="AB117" s="23"/>
      <c r="AC117" s="30">
        <v>8866.73</v>
      </c>
      <c r="AD117" s="30">
        <v>2612.27</v>
      </c>
      <c r="AE117" s="30">
        <v>6823949.4000000004</v>
      </c>
      <c r="AF117" s="30">
        <v>2612.3000000000002</v>
      </c>
      <c r="AG117" s="23"/>
      <c r="AH117" s="30">
        <v>8902.18</v>
      </c>
      <c r="AI117" s="30">
        <v>2576.8200000000002</v>
      </c>
      <c r="AJ117" s="30">
        <v>6640003.9000000004</v>
      </c>
      <c r="AK117" s="30">
        <v>2576.8000000000002</v>
      </c>
      <c r="AL117" s="23"/>
      <c r="AM117" s="30">
        <v>8983.57</v>
      </c>
      <c r="AN117" s="30">
        <v>2495.4299999999998</v>
      </c>
      <c r="AO117" s="30">
        <v>6227176</v>
      </c>
      <c r="AP117" s="30">
        <v>2495.4</v>
      </c>
      <c r="AQ117" s="23"/>
      <c r="AR117" s="30">
        <v>9097.7000000000007</v>
      </c>
      <c r="AS117" s="30">
        <v>2381.3000000000002</v>
      </c>
      <c r="AT117" s="30">
        <v>5670602.2000000002</v>
      </c>
      <c r="AU117" s="30">
        <v>2381.3000000000002</v>
      </c>
    </row>
    <row r="118" spans="1:47" ht="18" x14ac:dyDescent="0.2">
      <c r="A118" s="26">
        <v>45672</v>
      </c>
      <c r="B118" s="40">
        <v>12315</v>
      </c>
      <c r="C118" s="23"/>
      <c r="D118" s="30">
        <v>9623.65</v>
      </c>
      <c r="E118" s="30">
        <v>2691.35</v>
      </c>
      <c r="F118" s="30">
        <v>7243339.2000000002</v>
      </c>
      <c r="G118" s="30">
        <v>2691.3</v>
      </c>
      <c r="H118" s="23"/>
      <c r="I118" s="30">
        <v>9610.41</v>
      </c>
      <c r="J118" s="30">
        <v>2704.59</v>
      </c>
      <c r="K118" s="30">
        <v>7314804.4000000004</v>
      </c>
      <c r="L118" s="30">
        <v>2704.6</v>
      </c>
      <c r="M118" s="23"/>
      <c r="N118" s="30">
        <v>9763.7900000000009</v>
      </c>
      <c r="O118" s="30">
        <v>2551.21</v>
      </c>
      <c r="P118" s="30">
        <v>6508665.2000000002</v>
      </c>
      <c r="Q118" s="30">
        <v>2551.1999999999998</v>
      </c>
      <c r="R118" s="23"/>
      <c r="S118" s="30">
        <v>9957.7999999999993</v>
      </c>
      <c r="T118" s="30">
        <v>2357.1999999999998</v>
      </c>
      <c r="U118" s="30">
        <v>5556384.0999999996</v>
      </c>
      <c r="V118" s="30">
        <v>2357.1999999999998</v>
      </c>
      <c r="W118" s="23"/>
      <c r="X118" s="30">
        <v>10181.01</v>
      </c>
      <c r="Y118" s="30">
        <v>2133.9899999999998</v>
      </c>
      <c r="Z118" s="30">
        <v>4553897.9000000004</v>
      </c>
      <c r="AA118" s="30">
        <v>2134</v>
      </c>
      <c r="AB118" s="23"/>
      <c r="AC118" s="30">
        <v>10434.09</v>
      </c>
      <c r="AD118" s="30">
        <v>1880.91</v>
      </c>
      <c r="AE118" s="30">
        <v>3537813.4</v>
      </c>
      <c r="AF118" s="30">
        <v>1880.9</v>
      </c>
      <c r="AG118" s="23"/>
      <c r="AH118" s="30">
        <v>10705.95</v>
      </c>
      <c r="AI118" s="30">
        <v>1609.05</v>
      </c>
      <c r="AJ118" s="30">
        <v>2589029.5</v>
      </c>
      <c r="AK118" s="30">
        <v>1609</v>
      </c>
      <c r="AL118" s="23"/>
      <c r="AM118" s="30">
        <v>10979.91</v>
      </c>
      <c r="AN118" s="30">
        <v>1335.09</v>
      </c>
      <c r="AO118" s="30">
        <v>1782455.2</v>
      </c>
      <c r="AP118" s="30">
        <v>1335.1</v>
      </c>
      <c r="AQ118" s="23"/>
      <c r="AR118" s="30">
        <v>11240.87</v>
      </c>
      <c r="AS118" s="30">
        <v>1074.1300000000001</v>
      </c>
      <c r="AT118" s="30">
        <v>1153755.8</v>
      </c>
      <c r="AU118" s="30">
        <v>1074.0999999999999</v>
      </c>
    </row>
    <row r="119" spans="1:47" ht="18" x14ac:dyDescent="0.2">
      <c r="A119" s="26">
        <v>45703</v>
      </c>
      <c r="B119" s="40">
        <v>12629</v>
      </c>
      <c r="C119" s="23"/>
      <c r="D119" s="30">
        <v>9892.7900000000009</v>
      </c>
      <c r="E119" s="30">
        <v>2736.21</v>
      </c>
      <c r="F119" s="30">
        <v>7486849.0999999996</v>
      </c>
      <c r="G119" s="30">
        <v>2736.2</v>
      </c>
      <c r="H119" s="23"/>
      <c r="I119" s="30">
        <v>10151.33</v>
      </c>
      <c r="J119" s="30">
        <v>2477.67</v>
      </c>
      <c r="K119" s="30">
        <v>6138856.5999999996</v>
      </c>
      <c r="L119" s="30">
        <v>2477.6999999999998</v>
      </c>
      <c r="M119" s="23"/>
      <c r="N119" s="30">
        <v>10529.15</v>
      </c>
      <c r="O119" s="30">
        <v>2099.85</v>
      </c>
      <c r="P119" s="30">
        <v>4409353.2</v>
      </c>
      <c r="Q119" s="30">
        <v>2099.8000000000002</v>
      </c>
      <c r="R119" s="23"/>
      <c r="S119" s="30">
        <v>10900.68</v>
      </c>
      <c r="T119" s="30">
        <v>1728.32</v>
      </c>
      <c r="U119" s="30">
        <v>2987086.6</v>
      </c>
      <c r="V119" s="30">
        <v>1728.3</v>
      </c>
      <c r="W119" s="23"/>
      <c r="X119" s="30">
        <v>11248.01</v>
      </c>
      <c r="Y119" s="30">
        <v>1380.99</v>
      </c>
      <c r="Z119" s="30">
        <v>1907142.2</v>
      </c>
      <c r="AA119" s="30">
        <v>1381</v>
      </c>
      <c r="AB119" s="23"/>
      <c r="AC119" s="30">
        <v>11562.64</v>
      </c>
      <c r="AD119" s="30">
        <v>1066.3599999999999</v>
      </c>
      <c r="AE119" s="30">
        <v>1137130.1000000001</v>
      </c>
      <c r="AF119" s="30">
        <v>1066.4000000000001</v>
      </c>
      <c r="AG119" s="23"/>
      <c r="AH119" s="30">
        <v>11832.29</v>
      </c>
      <c r="AI119" s="27">
        <v>796.71</v>
      </c>
      <c r="AJ119" s="30">
        <v>634753</v>
      </c>
      <c r="AK119" s="27">
        <v>796.7</v>
      </c>
      <c r="AL119" s="23"/>
      <c r="AM119" s="30">
        <v>12047.98</v>
      </c>
      <c r="AN119" s="27">
        <v>581.02</v>
      </c>
      <c r="AO119" s="30">
        <v>337581</v>
      </c>
      <c r="AP119" s="27">
        <v>581</v>
      </c>
      <c r="AQ119" s="23"/>
      <c r="AR119" s="30">
        <v>12207.59</v>
      </c>
      <c r="AS119" s="27">
        <v>421.41</v>
      </c>
      <c r="AT119" s="30">
        <v>177588.9</v>
      </c>
      <c r="AU119" s="27">
        <v>421.4</v>
      </c>
    </row>
    <row r="120" spans="1:47" ht="18" x14ac:dyDescent="0.2">
      <c r="A120" s="26">
        <v>45731</v>
      </c>
      <c r="B120" s="40">
        <v>11937</v>
      </c>
      <c r="C120" s="23"/>
      <c r="D120" s="30">
        <v>10166.41</v>
      </c>
      <c r="E120" s="30">
        <v>1770.59</v>
      </c>
      <c r="F120" s="30">
        <v>3134987.7</v>
      </c>
      <c r="G120" s="30">
        <v>1770.6</v>
      </c>
      <c r="H120" s="23"/>
      <c r="I120" s="30">
        <v>10646.86</v>
      </c>
      <c r="J120" s="30">
        <v>1290.1400000000001</v>
      </c>
      <c r="K120" s="30">
        <v>1664454.2</v>
      </c>
      <c r="L120" s="30">
        <v>1290.0999999999999</v>
      </c>
      <c r="M120" s="23"/>
      <c r="N120" s="30">
        <v>11159.11</v>
      </c>
      <c r="O120" s="27">
        <v>777.89</v>
      </c>
      <c r="P120" s="30">
        <v>605116.30000000005</v>
      </c>
      <c r="Q120" s="27">
        <v>777.9</v>
      </c>
      <c r="R120" s="23"/>
      <c r="S120" s="30">
        <v>11592.01</v>
      </c>
      <c r="T120" s="27">
        <v>344.99</v>
      </c>
      <c r="U120" s="30">
        <v>119019.1</v>
      </c>
      <c r="V120" s="27">
        <v>345</v>
      </c>
      <c r="W120" s="23"/>
      <c r="X120" s="30">
        <v>11938.5</v>
      </c>
      <c r="Y120" s="27">
        <v>-1.5</v>
      </c>
      <c r="Z120" s="27">
        <v>2.2999999999999998</v>
      </c>
      <c r="AA120" s="27">
        <v>1.5</v>
      </c>
      <c r="AB120" s="23"/>
      <c r="AC120" s="30">
        <v>12202.45</v>
      </c>
      <c r="AD120" s="27">
        <v>-265.45</v>
      </c>
      <c r="AE120" s="30">
        <v>70466.2</v>
      </c>
      <c r="AF120" s="27">
        <v>265.5</v>
      </c>
      <c r="AG120" s="23"/>
      <c r="AH120" s="30">
        <v>12389.99</v>
      </c>
      <c r="AI120" s="27">
        <v>-452.99</v>
      </c>
      <c r="AJ120" s="30">
        <v>205196.2</v>
      </c>
      <c r="AK120" s="27">
        <v>453</v>
      </c>
      <c r="AL120" s="23"/>
      <c r="AM120" s="30">
        <v>12512.8</v>
      </c>
      <c r="AN120" s="27">
        <v>-575.79999999999995</v>
      </c>
      <c r="AO120" s="30">
        <v>331541.7</v>
      </c>
      <c r="AP120" s="27">
        <v>575.79999999999995</v>
      </c>
      <c r="AQ120" s="23"/>
      <c r="AR120" s="30">
        <v>12586.86</v>
      </c>
      <c r="AS120" s="27">
        <v>-649.86</v>
      </c>
      <c r="AT120" s="30">
        <v>422316.3</v>
      </c>
      <c r="AU120" s="27">
        <v>649.9</v>
      </c>
    </row>
    <row r="121" spans="1:47" ht="18" x14ac:dyDescent="0.2">
      <c r="A121" s="26">
        <v>45762</v>
      </c>
      <c r="B121" s="40">
        <v>11222</v>
      </c>
      <c r="C121" s="23"/>
      <c r="D121" s="30">
        <v>10343.469999999999</v>
      </c>
      <c r="E121" s="27">
        <v>878.53</v>
      </c>
      <c r="F121" s="30">
        <v>771816.2</v>
      </c>
      <c r="G121" s="27">
        <v>878.5</v>
      </c>
      <c r="H121" s="23"/>
      <c r="I121" s="30">
        <v>10904.89</v>
      </c>
      <c r="J121" s="27">
        <v>317.11</v>
      </c>
      <c r="K121" s="30">
        <v>100558.6</v>
      </c>
      <c r="L121" s="27">
        <v>317.10000000000002</v>
      </c>
      <c r="M121" s="23"/>
      <c r="N121" s="30">
        <v>11392.48</v>
      </c>
      <c r="O121" s="27">
        <v>-170.48</v>
      </c>
      <c r="P121" s="30">
        <v>29061.9</v>
      </c>
      <c r="Q121" s="27">
        <v>170.5</v>
      </c>
      <c r="R121" s="23"/>
      <c r="S121" s="30">
        <v>11730.01</v>
      </c>
      <c r="T121" s="27">
        <v>-508.01</v>
      </c>
      <c r="U121" s="30">
        <v>258069.2</v>
      </c>
      <c r="V121" s="27">
        <v>508</v>
      </c>
      <c r="W121" s="23"/>
      <c r="X121" s="30">
        <v>11937.75</v>
      </c>
      <c r="Y121" s="27">
        <v>-715.75</v>
      </c>
      <c r="Z121" s="30">
        <v>512300.5</v>
      </c>
      <c r="AA121" s="27">
        <v>715.8</v>
      </c>
      <c r="AB121" s="23"/>
      <c r="AC121" s="30">
        <v>12043.18</v>
      </c>
      <c r="AD121" s="27">
        <v>-821.18</v>
      </c>
      <c r="AE121" s="30">
        <v>674339.7</v>
      </c>
      <c r="AF121" s="27">
        <v>821.2</v>
      </c>
      <c r="AG121" s="23"/>
      <c r="AH121" s="30">
        <v>12072.9</v>
      </c>
      <c r="AI121" s="27">
        <v>-850.9</v>
      </c>
      <c r="AJ121" s="30">
        <v>724023.6</v>
      </c>
      <c r="AK121" s="27">
        <v>850.9</v>
      </c>
      <c r="AL121" s="23"/>
      <c r="AM121" s="30">
        <v>12052.16</v>
      </c>
      <c r="AN121" s="27">
        <v>-830.16</v>
      </c>
      <c r="AO121" s="30">
        <v>689164.5</v>
      </c>
      <c r="AP121" s="27">
        <v>830.2</v>
      </c>
      <c r="AQ121" s="23"/>
      <c r="AR121" s="30">
        <v>12001.99</v>
      </c>
      <c r="AS121" s="27">
        <v>-779.99</v>
      </c>
      <c r="AT121" s="30">
        <v>608378</v>
      </c>
      <c r="AU121" s="27">
        <v>780</v>
      </c>
    </row>
    <row r="122" spans="1:47" ht="18" x14ac:dyDescent="0.2">
      <c r="A122" s="26">
        <v>45792</v>
      </c>
      <c r="B122" s="40">
        <v>11760</v>
      </c>
      <c r="C122" s="23"/>
      <c r="D122" s="30">
        <v>10431.32</v>
      </c>
      <c r="E122" s="30">
        <v>1328.68</v>
      </c>
      <c r="F122" s="30">
        <v>1765384.2</v>
      </c>
      <c r="G122" s="30">
        <v>1328.7</v>
      </c>
      <c r="H122" s="23"/>
      <c r="I122" s="30">
        <v>10968.31</v>
      </c>
      <c r="J122" s="27">
        <v>791.69</v>
      </c>
      <c r="K122" s="30">
        <v>626769.69999999995</v>
      </c>
      <c r="L122" s="27">
        <v>791.7</v>
      </c>
      <c r="M122" s="23"/>
      <c r="N122" s="30">
        <v>11341.33</v>
      </c>
      <c r="O122" s="27">
        <v>418.67</v>
      </c>
      <c r="P122" s="30">
        <v>175282.2</v>
      </c>
      <c r="Q122" s="27">
        <v>418.7</v>
      </c>
      <c r="R122" s="23"/>
      <c r="S122" s="30">
        <v>11526.8</v>
      </c>
      <c r="T122" s="27">
        <v>233.2</v>
      </c>
      <c r="U122" s="30">
        <v>54380.800000000003</v>
      </c>
      <c r="V122" s="27">
        <v>233.2</v>
      </c>
      <c r="W122" s="23"/>
      <c r="X122" s="30">
        <v>11579.88</v>
      </c>
      <c r="Y122" s="27">
        <v>180.12</v>
      </c>
      <c r="Z122" s="30">
        <v>32444.7</v>
      </c>
      <c r="AA122" s="27">
        <v>180.1</v>
      </c>
      <c r="AB122" s="23"/>
      <c r="AC122" s="30">
        <v>11550.47</v>
      </c>
      <c r="AD122" s="27">
        <v>209.53</v>
      </c>
      <c r="AE122" s="30">
        <v>43901.7</v>
      </c>
      <c r="AF122" s="27">
        <v>209.5</v>
      </c>
      <c r="AG122" s="23"/>
      <c r="AH122" s="30">
        <v>11477.27</v>
      </c>
      <c r="AI122" s="27">
        <v>282.73</v>
      </c>
      <c r="AJ122" s="30">
        <v>79937</v>
      </c>
      <c r="AK122" s="27">
        <v>282.7</v>
      </c>
      <c r="AL122" s="23"/>
      <c r="AM122" s="30">
        <v>11388.03</v>
      </c>
      <c r="AN122" s="27">
        <v>371.97</v>
      </c>
      <c r="AO122" s="30">
        <v>138360.29999999999</v>
      </c>
      <c r="AP122" s="27">
        <v>372</v>
      </c>
      <c r="AQ122" s="23"/>
      <c r="AR122" s="30">
        <v>11300</v>
      </c>
      <c r="AS122" s="27">
        <v>460</v>
      </c>
      <c r="AT122" s="30">
        <v>211601.3</v>
      </c>
      <c r="AU122" s="27">
        <v>460</v>
      </c>
    </row>
    <row r="123" spans="1:47" ht="18" x14ac:dyDescent="0.2">
      <c r="A123" s="26">
        <v>45823</v>
      </c>
      <c r="B123" s="40">
        <v>9093</v>
      </c>
      <c r="C123" s="23"/>
      <c r="D123" s="30">
        <v>10564.19</v>
      </c>
      <c r="E123" s="30">
        <v>-1471.19</v>
      </c>
      <c r="F123" s="30">
        <v>2164400.5</v>
      </c>
      <c r="G123" s="30">
        <v>1471.2</v>
      </c>
      <c r="H123" s="23"/>
      <c r="I123" s="30">
        <v>11126.65</v>
      </c>
      <c r="J123" s="30">
        <v>-2033.65</v>
      </c>
      <c r="K123" s="30">
        <v>4135731.2000000002</v>
      </c>
      <c r="L123" s="30">
        <v>2033.6</v>
      </c>
      <c r="M123" s="23"/>
      <c r="N123" s="30">
        <v>11466.93</v>
      </c>
      <c r="O123" s="30">
        <v>-2373.9299999999998</v>
      </c>
      <c r="P123" s="30">
        <v>5635557.7999999998</v>
      </c>
      <c r="Q123" s="30">
        <v>2373.9</v>
      </c>
      <c r="R123" s="23"/>
      <c r="S123" s="30">
        <v>11620.08</v>
      </c>
      <c r="T123" s="30">
        <v>-2527.08</v>
      </c>
      <c r="U123" s="30">
        <v>6386142.7000000002</v>
      </c>
      <c r="V123" s="30">
        <v>2527.1</v>
      </c>
      <c r="W123" s="23"/>
      <c r="X123" s="30">
        <v>11669.94</v>
      </c>
      <c r="Y123" s="30">
        <v>-2576.94</v>
      </c>
      <c r="Z123" s="30">
        <v>6640609.0999999996</v>
      </c>
      <c r="AA123" s="30">
        <v>2576.9</v>
      </c>
      <c r="AB123" s="23"/>
      <c r="AC123" s="30">
        <v>11676.19</v>
      </c>
      <c r="AD123" s="30">
        <v>-2583.19</v>
      </c>
      <c r="AE123" s="30">
        <v>6672866</v>
      </c>
      <c r="AF123" s="30">
        <v>2583.1999999999998</v>
      </c>
      <c r="AG123" s="23"/>
      <c r="AH123" s="30">
        <v>11675.18</v>
      </c>
      <c r="AI123" s="30">
        <v>-2582.1799999999998</v>
      </c>
      <c r="AJ123" s="30">
        <v>6667656.7000000002</v>
      </c>
      <c r="AK123" s="30">
        <v>2582.1999999999998</v>
      </c>
      <c r="AL123" s="23"/>
      <c r="AM123" s="30">
        <v>11685.61</v>
      </c>
      <c r="AN123" s="30">
        <v>-2592.61</v>
      </c>
      <c r="AO123" s="30">
        <v>6721607.7999999998</v>
      </c>
      <c r="AP123" s="30">
        <v>2592.6</v>
      </c>
      <c r="AQ123" s="23"/>
      <c r="AR123" s="30">
        <v>11714</v>
      </c>
      <c r="AS123" s="30">
        <v>-2621</v>
      </c>
      <c r="AT123" s="30">
        <v>6869640.2999999998</v>
      </c>
      <c r="AU123" s="30">
        <v>2621</v>
      </c>
    </row>
    <row r="124" spans="1:47" ht="18" x14ac:dyDescent="0.2">
      <c r="A124" s="26">
        <v>45853</v>
      </c>
      <c r="B124" s="40">
        <v>9584</v>
      </c>
      <c r="C124" s="23"/>
      <c r="D124" s="30">
        <v>10417.07</v>
      </c>
      <c r="E124" s="27">
        <v>-833.07</v>
      </c>
      <c r="F124" s="30">
        <v>694007.5</v>
      </c>
      <c r="G124" s="27">
        <v>833.1</v>
      </c>
      <c r="H124" s="23"/>
      <c r="I124" s="30">
        <v>10719.92</v>
      </c>
      <c r="J124" s="30">
        <v>-1135.92</v>
      </c>
      <c r="K124" s="30">
        <v>1290313.7</v>
      </c>
      <c r="L124" s="30">
        <v>1135.9000000000001</v>
      </c>
      <c r="M124" s="23"/>
      <c r="N124" s="30">
        <v>10754.75</v>
      </c>
      <c r="O124" s="30">
        <v>-1170.75</v>
      </c>
      <c r="P124" s="30">
        <v>1370662.8</v>
      </c>
      <c r="Q124" s="30">
        <v>1170.8</v>
      </c>
      <c r="R124" s="23"/>
      <c r="S124" s="30">
        <v>10609.25</v>
      </c>
      <c r="T124" s="30">
        <v>-1025.25</v>
      </c>
      <c r="U124" s="30">
        <v>1051135.7</v>
      </c>
      <c r="V124" s="30">
        <v>1025.2</v>
      </c>
      <c r="W124" s="23"/>
      <c r="X124" s="30">
        <v>10381.469999999999</v>
      </c>
      <c r="Y124" s="27">
        <v>-797.47</v>
      </c>
      <c r="Z124" s="30">
        <v>635956.69999999995</v>
      </c>
      <c r="AA124" s="27">
        <v>797.5</v>
      </c>
      <c r="AB124" s="23"/>
      <c r="AC124" s="30">
        <v>10126.280000000001</v>
      </c>
      <c r="AD124" s="27">
        <v>-542.28</v>
      </c>
      <c r="AE124" s="30">
        <v>294062.90000000002</v>
      </c>
      <c r="AF124" s="27">
        <v>542.29999999999995</v>
      </c>
      <c r="AG124" s="23"/>
      <c r="AH124" s="30">
        <v>9867.65</v>
      </c>
      <c r="AI124" s="27">
        <v>-283.64999999999998</v>
      </c>
      <c r="AJ124" s="30">
        <v>80459.7</v>
      </c>
      <c r="AK124" s="27">
        <v>283.7</v>
      </c>
      <c r="AL124" s="23"/>
      <c r="AM124" s="30">
        <v>9611.52</v>
      </c>
      <c r="AN124" s="27">
        <v>-27.52</v>
      </c>
      <c r="AO124" s="27">
        <v>757.4</v>
      </c>
      <c r="AP124" s="27">
        <v>27.5</v>
      </c>
      <c r="AQ124" s="23"/>
      <c r="AR124" s="30">
        <v>9355.1</v>
      </c>
      <c r="AS124" s="27">
        <v>228.9</v>
      </c>
      <c r="AT124" s="30">
        <v>52395.199999999997</v>
      </c>
      <c r="AU124" s="27">
        <v>228.9</v>
      </c>
    </row>
    <row r="125" spans="1:47" ht="18" x14ac:dyDescent="0.2">
      <c r="A125" s="26">
        <v>45884</v>
      </c>
      <c r="B125" s="40">
        <v>10202</v>
      </c>
      <c r="C125" s="23"/>
      <c r="D125" s="30">
        <v>10333.76</v>
      </c>
      <c r="E125" s="27">
        <v>-131.76</v>
      </c>
      <c r="F125" s="30">
        <v>17361.8</v>
      </c>
      <c r="G125" s="27">
        <v>131.80000000000001</v>
      </c>
      <c r="H125" s="23"/>
      <c r="I125" s="30">
        <v>10492.74</v>
      </c>
      <c r="J125" s="27">
        <v>-290.74</v>
      </c>
      <c r="K125" s="30">
        <v>84527.3</v>
      </c>
      <c r="L125" s="27">
        <v>290.7</v>
      </c>
      <c r="M125" s="23"/>
      <c r="N125" s="30">
        <v>10403.530000000001</v>
      </c>
      <c r="O125" s="27">
        <v>-201.53</v>
      </c>
      <c r="P125" s="30">
        <v>40613.199999999997</v>
      </c>
      <c r="Q125" s="27">
        <v>201.5</v>
      </c>
      <c r="R125" s="23"/>
      <c r="S125" s="30">
        <v>10199.15</v>
      </c>
      <c r="T125" s="27">
        <v>2.85</v>
      </c>
      <c r="U125" s="27">
        <v>8.1</v>
      </c>
      <c r="V125" s="27">
        <v>2.9</v>
      </c>
      <c r="W125" s="23"/>
      <c r="X125" s="30">
        <v>9982.73</v>
      </c>
      <c r="Y125" s="27">
        <v>219.27</v>
      </c>
      <c r="Z125" s="30">
        <v>48077.4</v>
      </c>
      <c r="AA125" s="27">
        <v>219.3</v>
      </c>
      <c r="AB125" s="23"/>
      <c r="AC125" s="30">
        <v>9800.91</v>
      </c>
      <c r="AD125" s="27">
        <v>401.09</v>
      </c>
      <c r="AE125" s="30">
        <v>160873</v>
      </c>
      <c r="AF125" s="27">
        <v>401.1</v>
      </c>
      <c r="AG125" s="23"/>
      <c r="AH125" s="30">
        <v>9669.1</v>
      </c>
      <c r="AI125" s="27">
        <v>532.9</v>
      </c>
      <c r="AJ125" s="30">
        <v>283986.40000000002</v>
      </c>
      <c r="AK125" s="27">
        <v>532.9</v>
      </c>
      <c r="AL125" s="23"/>
      <c r="AM125" s="30">
        <v>9589.5</v>
      </c>
      <c r="AN125" s="27">
        <v>612.5</v>
      </c>
      <c r="AO125" s="30">
        <v>375151</v>
      </c>
      <c r="AP125" s="27">
        <v>612.5</v>
      </c>
      <c r="AQ125" s="23"/>
      <c r="AR125" s="30">
        <v>9561.11</v>
      </c>
      <c r="AS125" s="27">
        <v>640.89</v>
      </c>
      <c r="AT125" s="30">
        <v>410740</v>
      </c>
      <c r="AU125" s="27">
        <v>640.9</v>
      </c>
    </row>
    <row r="126" spans="1:47" ht="18" x14ac:dyDescent="0.2">
      <c r="A126" s="26">
        <v>45915</v>
      </c>
      <c r="B126" s="40">
        <v>10238</v>
      </c>
      <c r="C126" s="23"/>
      <c r="D126" s="30">
        <v>10320.59</v>
      </c>
      <c r="E126" s="27">
        <v>-82.59</v>
      </c>
      <c r="F126" s="30">
        <v>6820.7</v>
      </c>
      <c r="G126" s="27">
        <v>82.6</v>
      </c>
      <c r="H126" s="23"/>
      <c r="I126" s="30">
        <v>10434.59</v>
      </c>
      <c r="J126" s="27">
        <v>-196.59</v>
      </c>
      <c r="K126" s="30">
        <v>38647.1</v>
      </c>
      <c r="L126" s="27">
        <v>196.6</v>
      </c>
      <c r="M126" s="23"/>
      <c r="N126" s="30">
        <v>10343.07</v>
      </c>
      <c r="O126" s="27">
        <v>-105.07</v>
      </c>
      <c r="P126" s="30">
        <v>11039.5</v>
      </c>
      <c r="Q126" s="27">
        <v>105.1</v>
      </c>
      <c r="R126" s="23"/>
      <c r="S126" s="30">
        <v>10200.290000000001</v>
      </c>
      <c r="T126" s="27">
        <v>37.71</v>
      </c>
      <c r="U126" s="30">
        <v>1422.1</v>
      </c>
      <c r="V126" s="27">
        <v>37.700000000000003</v>
      </c>
      <c r="W126" s="23"/>
      <c r="X126" s="30">
        <v>10092.370000000001</v>
      </c>
      <c r="Y126" s="27">
        <v>145.63</v>
      </c>
      <c r="Z126" s="30">
        <v>21208.9</v>
      </c>
      <c r="AA126" s="27">
        <v>145.6</v>
      </c>
      <c r="AB126" s="23"/>
      <c r="AC126" s="30">
        <v>10041.56</v>
      </c>
      <c r="AD126" s="27">
        <v>196.44</v>
      </c>
      <c r="AE126" s="30">
        <v>38587.1</v>
      </c>
      <c r="AF126" s="27">
        <v>196.4</v>
      </c>
      <c r="AG126" s="23"/>
      <c r="AH126" s="30">
        <v>10042.129999999999</v>
      </c>
      <c r="AI126" s="27">
        <v>195.87</v>
      </c>
      <c r="AJ126" s="30">
        <v>38365.5</v>
      </c>
      <c r="AK126" s="27">
        <v>195.9</v>
      </c>
      <c r="AL126" s="23"/>
      <c r="AM126" s="30">
        <v>10079.5</v>
      </c>
      <c r="AN126" s="27">
        <v>158.5</v>
      </c>
      <c r="AO126" s="30">
        <v>25122</v>
      </c>
      <c r="AP126" s="27">
        <v>158.5</v>
      </c>
      <c r="AQ126" s="23"/>
      <c r="AR126" s="30">
        <v>10137.91</v>
      </c>
      <c r="AS126" s="27">
        <v>100.09</v>
      </c>
      <c r="AT126" s="30">
        <v>10017.799999999999</v>
      </c>
      <c r="AU126" s="27">
        <v>100.1</v>
      </c>
    </row>
    <row r="127" spans="1:47" ht="18" x14ac:dyDescent="0.2">
      <c r="A127" s="26">
        <v>45945</v>
      </c>
      <c r="B127" s="40">
        <v>12913</v>
      </c>
      <c r="C127" s="23"/>
      <c r="D127" s="30">
        <v>10312.33</v>
      </c>
      <c r="E127" s="30">
        <v>2600.67</v>
      </c>
      <c r="F127" s="30">
        <v>6763490.4000000004</v>
      </c>
      <c r="G127" s="30">
        <v>2600.6999999999998</v>
      </c>
      <c r="H127" s="23"/>
      <c r="I127" s="30">
        <v>10395.27</v>
      </c>
      <c r="J127" s="30">
        <v>2517.73</v>
      </c>
      <c r="K127" s="30">
        <v>6338959.7000000002</v>
      </c>
      <c r="L127" s="30">
        <v>2517.6999999999998</v>
      </c>
      <c r="M127" s="23"/>
      <c r="N127" s="30">
        <v>10311.549999999999</v>
      </c>
      <c r="O127" s="30">
        <v>2601.4499999999998</v>
      </c>
      <c r="P127" s="30">
        <v>6767550.9000000004</v>
      </c>
      <c r="Q127" s="30">
        <v>2601.5</v>
      </c>
      <c r="R127" s="23"/>
      <c r="S127" s="30">
        <v>10215.370000000001</v>
      </c>
      <c r="T127" s="30">
        <v>2697.63</v>
      </c>
      <c r="U127" s="30">
        <v>7277187.0999999996</v>
      </c>
      <c r="V127" s="30">
        <v>2697.6</v>
      </c>
      <c r="W127" s="23"/>
      <c r="X127" s="30">
        <v>10165.18</v>
      </c>
      <c r="Y127" s="30">
        <v>2747.82</v>
      </c>
      <c r="Z127" s="30">
        <v>7550494.9000000004</v>
      </c>
      <c r="AA127" s="30">
        <v>2747.8</v>
      </c>
      <c r="AB127" s="23"/>
      <c r="AC127" s="30">
        <v>10159.43</v>
      </c>
      <c r="AD127" s="30">
        <v>2753.57</v>
      </c>
      <c r="AE127" s="30">
        <v>7582171.7000000002</v>
      </c>
      <c r="AF127" s="30">
        <v>2753.6</v>
      </c>
      <c r="AG127" s="23"/>
      <c r="AH127" s="30">
        <v>10179.24</v>
      </c>
      <c r="AI127" s="30">
        <v>2733.76</v>
      </c>
      <c r="AJ127" s="30">
        <v>7473451</v>
      </c>
      <c r="AK127" s="30">
        <v>2733.8</v>
      </c>
      <c r="AL127" s="23"/>
      <c r="AM127" s="30">
        <v>10206.299999999999</v>
      </c>
      <c r="AN127" s="30">
        <v>2706.7</v>
      </c>
      <c r="AO127" s="30">
        <v>7326224</v>
      </c>
      <c r="AP127" s="30">
        <v>2706.7</v>
      </c>
      <c r="AQ127" s="23"/>
      <c r="AR127" s="30">
        <v>10227.99</v>
      </c>
      <c r="AS127" s="30">
        <v>2685.01</v>
      </c>
      <c r="AT127" s="30">
        <v>7209272.7999999998</v>
      </c>
      <c r="AU127" s="30">
        <v>2685</v>
      </c>
    </row>
    <row r="128" spans="1:47" ht="18" x14ac:dyDescent="0.2">
      <c r="A128" s="26">
        <v>45976</v>
      </c>
      <c r="B128" s="40">
        <v>10975</v>
      </c>
      <c r="C128" s="23"/>
      <c r="D128" s="30">
        <v>10572.4</v>
      </c>
      <c r="E128" s="27">
        <v>402.6</v>
      </c>
      <c r="F128" s="30">
        <v>162090</v>
      </c>
      <c r="G128" s="27">
        <v>402.6</v>
      </c>
      <c r="H128" s="23"/>
      <c r="I128" s="30">
        <v>10898.82</v>
      </c>
      <c r="J128" s="27">
        <v>76.180000000000007</v>
      </c>
      <c r="K128" s="30">
        <v>5803.9</v>
      </c>
      <c r="L128" s="27">
        <v>76.2</v>
      </c>
      <c r="M128" s="23"/>
      <c r="N128" s="30">
        <v>11091.98</v>
      </c>
      <c r="O128" s="27">
        <v>-116.98</v>
      </c>
      <c r="P128" s="30">
        <v>13685.2</v>
      </c>
      <c r="Q128" s="27">
        <v>117</v>
      </c>
      <c r="R128" s="23"/>
      <c r="S128" s="30">
        <v>11294.42</v>
      </c>
      <c r="T128" s="27">
        <v>-319.42</v>
      </c>
      <c r="U128" s="30">
        <v>102031.9</v>
      </c>
      <c r="V128" s="27">
        <v>319.39999999999998</v>
      </c>
      <c r="W128" s="23"/>
      <c r="X128" s="30">
        <v>11539.09</v>
      </c>
      <c r="Y128" s="27">
        <v>-564.09</v>
      </c>
      <c r="Z128" s="30">
        <v>318199.59999999998</v>
      </c>
      <c r="AA128" s="27">
        <v>564.1</v>
      </c>
      <c r="AB128" s="23"/>
      <c r="AC128" s="30">
        <v>11811.57</v>
      </c>
      <c r="AD128" s="27">
        <v>-836.57</v>
      </c>
      <c r="AE128" s="30">
        <v>699849.8</v>
      </c>
      <c r="AF128" s="27">
        <v>836.6</v>
      </c>
      <c r="AG128" s="23"/>
      <c r="AH128" s="30">
        <v>12092.87</v>
      </c>
      <c r="AI128" s="30">
        <v>-1117.8699999999999</v>
      </c>
      <c r="AJ128" s="30">
        <v>1249636.8999999999</v>
      </c>
      <c r="AK128" s="30">
        <v>1117.9000000000001</v>
      </c>
      <c r="AL128" s="23"/>
      <c r="AM128" s="30">
        <v>12371.66</v>
      </c>
      <c r="AN128" s="30">
        <v>-1396.66</v>
      </c>
      <c r="AO128" s="30">
        <v>1950659.3</v>
      </c>
      <c r="AP128" s="30">
        <v>1396.7</v>
      </c>
      <c r="AQ128" s="23"/>
      <c r="AR128" s="30">
        <v>12644.5</v>
      </c>
      <c r="AS128" s="30">
        <v>-1669.5</v>
      </c>
      <c r="AT128" s="30">
        <v>2787227.3</v>
      </c>
      <c r="AU128" s="30">
        <v>1669.5</v>
      </c>
    </row>
    <row r="129" spans="1:47" ht="18" x14ac:dyDescent="0.2">
      <c r="A129" s="26">
        <v>46006</v>
      </c>
      <c r="B129" s="40">
        <v>13344</v>
      </c>
      <c r="C129" s="23"/>
      <c r="D129" s="30">
        <v>10612.66</v>
      </c>
      <c r="E129" s="30">
        <v>2731.34</v>
      </c>
      <c r="F129" s="30">
        <v>7460238</v>
      </c>
      <c r="G129" s="30">
        <v>2731.3</v>
      </c>
      <c r="H129" s="23"/>
      <c r="I129" s="30">
        <v>10914.05</v>
      </c>
      <c r="J129" s="30">
        <v>2429.9499999999998</v>
      </c>
      <c r="K129" s="30">
        <v>5904640.5</v>
      </c>
      <c r="L129" s="30">
        <v>2429.9</v>
      </c>
      <c r="M129" s="23"/>
      <c r="N129" s="30">
        <v>11056.89</v>
      </c>
      <c r="O129" s="30">
        <v>2287.11</v>
      </c>
      <c r="P129" s="30">
        <v>5230878.2</v>
      </c>
      <c r="Q129" s="30">
        <v>2287.1</v>
      </c>
      <c r="R129" s="23"/>
      <c r="S129" s="30">
        <v>11166.65</v>
      </c>
      <c r="T129" s="30">
        <v>2177.35</v>
      </c>
      <c r="U129" s="30">
        <v>4740833.0999999996</v>
      </c>
      <c r="V129" s="30">
        <v>2177.3000000000002</v>
      </c>
      <c r="W129" s="23"/>
      <c r="X129" s="30">
        <v>11257.05</v>
      </c>
      <c r="Y129" s="30">
        <v>2086.9499999999998</v>
      </c>
      <c r="Z129" s="30">
        <v>4355377.4000000004</v>
      </c>
      <c r="AA129" s="30">
        <v>2087</v>
      </c>
      <c r="AB129" s="23"/>
      <c r="AC129" s="30">
        <v>11309.63</v>
      </c>
      <c r="AD129" s="30">
        <v>2034.37</v>
      </c>
      <c r="AE129" s="30">
        <v>4138669</v>
      </c>
      <c r="AF129" s="30">
        <v>2034.4</v>
      </c>
      <c r="AG129" s="23"/>
      <c r="AH129" s="30">
        <v>11310.36</v>
      </c>
      <c r="AI129" s="30">
        <v>2033.64</v>
      </c>
      <c r="AJ129" s="30">
        <v>4135685.6</v>
      </c>
      <c r="AK129" s="30">
        <v>2033.6</v>
      </c>
      <c r="AL129" s="23"/>
      <c r="AM129" s="30">
        <v>11254.33</v>
      </c>
      <c r="AN129" s="30">
        <v>2089.67</v>
      </c>
      <c r="AO129" s="30">
        <v>4366712.3</v>
      </c>
      <c r="AP129" s="30">
        <v>2089.6999999999998</v>
      </c>
      <c r="AQ129" s="23"/>
      <c r="AR129" s="30">
        <v>11141.95</v>
      </c>
      <c r="AS129" s="30">
        <v>2202.0500000000002</v>
      </c>
      <c r="AT129" s="30">
        <v>4849024.5999999996</v>
      </c>
      <c r="AU129" s="30">
        <v>2202.1</v>
      </c>
    </row>
    <row r="130" spans="1:47" ht="18" x14ac:dyDescent="0.2">
      <c r="A130" s="26">
        <v>45673</v>
      </c>
      <c r="B130" s="40">
        <v>8561</v>
      </c>
      <c r="C130" s="23"/>
      <c r="D130" s="30">
        <v>10885.79</v>
      </c>
      <c r="E130" s="30">
        <v>-2324.79</v>
      </c>
      <c r="F130" s="30">
        <v>5404652</v>
      </c>
      <c r="G130" s="30">
        <v>2324.8000000000002</v>
      </c>
      <c r="H130" s="23"/>
      <c r="I130" s="30">
        <v>11400.04</v>
      </c>
      <c r="J130" s="30">
        <v>-2839.04</v>
      </c>
      <c r="K130" s="30">
        <v>8060163.5</v>
      </c>
      <c r="L130" s="30">
        <v>2839</v>
      </c>
      <c r="M130" s="23"/>
      <c r="N130" s="30">
        <v>11743.02</v>
      </c>
      <c r="O130" s="30">
        <v>-3182.02</v>
      </c>
      <c r="P130" s="30">
        <v>10125264.4</v>
      </c>
      <c r="Q130" s="30">
        <v>3182</v>
      </c>
      <c r="R130" s="23"/>
      <c r="S130" s="30">
        <v>12037.59</v>
      </c>
      <c r="T130" s="30">
        <v>-3476.59</v>
      </c>
      <c r="U130" s="30">
        <v>12086697.1</v>
      </c>
      <c r="V130" s="30">
        <v>3476.6</v>
      </c>
      <c r="W130" s="23"/>
      <c r="X130" s="30">
        <v>12300.52</v>
      </c>
      <c r="Y130" s="30">
        <v>-3739.52</v>
      </c>
      <c r="Z130" s="30">
        <v>13984031.9</v>
      </c>
      <c r="AA130" s="30">
        <v>3739.5</v>
      </c>
      <c r="AB130" s="23"/>
      <c r="AC130" s="30">
        <v>12530.25</v>
      </c>
      <c r="AD130" s="30">
        <v>-3969.25</v>
      </c>
      <c r="AE130" s="30">
        <v>15754955.4</v>
      </c>
      <c r="AF130" s="30">
        <v>3969.3</v>
      </c>
      <c r="AG130" s="23"/>
      <c r="AH130" s="30">
        <v>12733.91</v>
      </c>
      <c r="AI130" s="30">
        <v>-4172.91</v>
      </c>
      <c r="AJ130" s="30">
        <v>17413164.899999999</v>
      </c>
      <c r="AK130" s="30">
        <v>4172.8999999999996</v>
      </c>
      <c r="AL130" s="23"/>
      <c r="AM130" s="30">
        <v>12926.07</v>
      </c>
      <c r="AN130" s="30">
        <v>-4365.07</v>
      </c>
      <c r="AO130" s="30">
        <v>19053804.699999999</v>
      </c>
      <c r="AP130" s="30">
        <v>4365.1000000000004</v>
      </c>
      <c r="AQ130" s="23"/>
      <c r="AR130" s="30">
        <v>13123.79</v>
      </c>
      <c r="AS130" s="30">
        <v>-4562.79</v>
      </c>
      <c r="AT130" s="30">
        <v>20819098.100000001</v>
      </c>
      <c r="AU130" s="30">
        <v>4562.8</v>
      </c>
    </row>
    <row r="131" spans="1:47" ht="18" x14ac:dyDescent="0.2">
      <c r="A131" s="26">
        <v>45704</v>
      </c>
      <c r="B131" s="40">
        <v>9572</v>
      </c>
      <c r="C131" s="23"/>
      <c r="D131" s="30">
        <v>10653.31</v>
      </c>
      <c r="E131" s="30">
        <v>-1081.31</v>
      </c>
      <c r="F131" s="30">
        <v>1169234.8999999999</v>
      </c>
      <c r="G131" s="30">
        <v>1081.3</v>
      </c>
      <c r="H131" s="23"/>
      <c r="I131" s="30">
        <v>10832.23</v>
      </c>
      <c r="J131" s="30">
        <v>-1260.23</v>
      </c>
      <c r="K131" s="30">
        <v>1588190.2</v>
      </c>
      <c r="L131" s="30">
        <v>1260.2</v>
      </c>
      <c r="M131" s="23"/>
      <c r="N131" s="30">
        <v>10788.42</v>
      </c>
      <c r="O131" s="30">
        <v>-1216.42</v>
      </c>
      <c r="P131" s="30">
        <v>1479666.5</v>
      </c>
      <c r="Q131" s="30">
        <v>1216.4000000000001</v>
      </c>
      <c r="R131" s="23"/>
      <c r="S131" s="30">
        <v>10646.96</v>
      </c>
      <c r="T131" s="30">
        <v>-1074.96</v>
      </c>
      <c r="U131" s="30">
        <v>1155529.6000000001</v>
      </c>
      <c r="V131" s="30">
        <v>1075</v>
      </c>
      <c r="W131" s="23"/>
      <c r="X131" s="30">
        <v>10430.76</v>
      </c>
      <c r="Y131" s="27">
        <v>-858.76</v>
      </c>
      <c r="Z131" s="30">
        <v>737471.3</v>
      </c>
      <c r="AA131" s="27">
        <v>858.8</v>
      </c>
      <c r="AB131" s="23"/>
      <c r="AC131" s="30">
        <v>10148.700000000001</v>
      </c>
      <c r="AD131" s="27">
        <v>-576.70000000000005</v>
      </c>
      <c r="AE131" s="30">
        <v>332583.5</v>
      </c>
      <c r="AF131" s="27">
        <v>576.70000000000005</v>
      </c>
      <c r="AG131" s="23"/>
      <c r="AH131" s="30">
        <v>9812.8700000000008</v>
      </c>
      <c r="AI131" s="27">
        <v>-240.87</v>
      </c>
      <c r="AJ131" s="30">
        <v>58019.6</v>
      </c>
      <c r="AK131" s="27">
        <v>240.9</v>
      </c>
      <c r="AL131" s="23"/>
      <c r="AM131" s="30">
        <v>9434.01</v>
      </c>
      <c r="AN131" s="27">
        <v>137.99</v>
      </c>
      <c r="AO131" s="30">
        <v>19040.3</v>
      </c>
      <c r="AP131" s="27">
        <v>138</v>
      </c>
      <c r="AQ131" s="23"/>
      <c r="AR131" s="30">
        <v>9017.2800000000007</v>
      </c>
      <c r="AS131" s="27">
        <v>554.72</v>
      </c>
      <c r="AT131" s="30">
        <v>307714.8</v>
      </c>
      <c r="AU131" s="27">
        <v>554.70000000000005</v>
      </c>
    </row>
    <row r="132" spans="1:47" ht="18" x14ac:dyDescent="0.2">
      <c r="A132" s="26">
        <v>45732</v>
      </c>
      <c r="B132" s="40">
        <v>10593</v>
      </c>
      <c r="C132" s="23"/>
      <c r="D132" s="30">
        <v>10545.18</v>
      </c>
      <c r="E132" s="27">
        <v>47.82</v>
      </c>
      <c r="F132" s="30">
        <v>2286.6999999999998</v>
      </c>
      <c r="G132" s="27">
        <v>47.8</v>
      </c>
      <c r="H132" s="23"/>
      <c r="I132" s="30">
        <v>10580.19</v>
      </c>
      <c r="J132" s="27">
        <v>12.81</v>
      </c>
      <c r="K132" s="27">
        <v>164.2</v>
      </c>
      <c r="L132" s="27">
        <v>12.8</v>
      </c>
      <c r="M132" s="23"/>
      <c r="N132" s="30">
        <v>10423.49</v>
      </c>
      <c r="O132" s="27">
        <v>169.51</v>
      </c>
      <c r="P132" s="30">
        <v>28733.4</v>
      </c>
      <c r="Q132" s="27">
        <v>169.5</v>
      </c>
      <c r="R132" s="23"/>
      <c r="S132" s="30">
        <v>10216.969999999999</v>
      </c>
      <c r="T132" s="27">
        <v>376.03</v>
      </c>
      <c r="U132" s="30">
        <v>141396</v>
      </c>
      <c r="V132" s="27">
        <v>376</v>
      </c>
      <c r="W132" s="23"/>
      <c r="X132" s="30">
        <v>10001.379999999999</v>
      </c>
      <c r="Y132" s="27">
        <v>591.62</v>
      </c>
      <c r="Z132" s="30">
        <v>350013.4</v>
      </c>
      <c r="AA132" s="27">
        <v>591.6</v>
      </c>
      <c r="AB132" s="23"/>
      <c r="AC132" s="30">
        <v>9802.68</v>
      </c>
      <c r="AD132" s="27">
        <v>790.32</v>
      </c>
      <c r="AE132" s="30">
        <v>624605.4</v>
      </c>
      <c r="AF132" s="27">
        <v>790.3</v>
      </c>
      <c r="AG132" s="23"/>
      <c r="AH132" s="30">
        <v>9644.26</v>
      </c>
      <c r="AI132" s="27">
        <v>948.74</v>
      </c>
      <c r="AJ132" s="30">
        <v>900104.2</v>
      </c>
      <c r="AK132" s="27">
        <v>948.7</v>
      </c>
      <c r="AL132" s="23"/>
      <c r="AM132" s="30">
        <v>9544.4</v>
      </c>
      <c r="AN132" s="30">
        <v>1048.5999999999999</v>
      </c>
      <c r="AO132" s="30">
        <v>1099556.3999999999</v>
      </c>
      <c r="AP132" s="30">
        <v>1048.5999999999999</v>
      </c>
      <c r="AQ132" s="23"/>
      <c r="AR132" s="30">
        <v>9516.5300000000007</v>
      </c>
      <c r="AS132" s="30">
        <v>1076.47</v>
      </c>
      <c r="AT132" s="30">
        <v>1158792.1000000001</v>
      </c>
      <c r="AU132" s="30">
        <v>1076.5</v>
      </c>
    </row>
    <row r="133" spans="1:47" ht="18" x14ac:dyDescent="0.2">
      <c r="A133" s="26">
        <v>45763</v>
      </c>
      <c r="B133" s="40">
        <v>11370</v>
      </c>
      <c r="C133" s="23"/>
      <c r="D133" s="30">
        <v>10549.96</v>
      </c>
      <c r="E133" s="27">
        <v>820.04</v>
      </c>
      <c r="F133" s="30">
        <v>672461.6</v>
      </c>
      <c r="G133" s="27">
        <v>820</v>
      </c>
      <c r="H133" s="23"/>
      <c r="I133" s="30">
        <v>10582.75</v>
      </c>
      <c r="J133" s="27">
        <v>787.25</v>
      </c>
      <c r="K133" s="30">
        <v>619762.80000000005</v>
      </c>
      <c r="L133" s="27">
        <v>787.3</v>
      </c>
      <c r="M133" s="23"/>
      <c r="N133" s="30">
        <v>10474.34</v>
      </c>
      <c r="O133" s="27">
        <v>895.66</v>
      </c>
      <c r="P133" s="30">
        <v>802200.4</v>
      </c>
      <c r="Q133" s="27">
        <v>895.7</v>
      </c>
      <c r="R133" s="23"/>
      <c r="S133" s="30">
        <v>10367.379999999999</v>
      </c>
      <c r="T133" s="30">
        <v>1002.62</v>
      </c>
      <c r="U133" s="30">
        <v>1005238.8</v>
      </c>
      <c r="V133" s="30">
        <v>1002.6</v>
      </c>
      <c r="W133" s="23"/>
      <c r="X133" s="30">
        <v>10297.19</v>
      </c>
      <c r="Y133" s="30">
        <v>1072.81</v>
      </c>
      <c r="Z133" s="30">
        <v>1150920.5</v>
      </c>
      <c r="AA133" s="30">
        <v>1072.8</v>
      </c>
      <c r="AB133" s="23"/>
      <c r="AC133" s="30">
        <v>10276.870000000001</v>
      </c>
      <c r="AD133" s="30">
        <v>1093.1300000000001</v>
      </c>
      <c r="AE133" s="30">
        <v>1194928.7</v>
      </c>
      <c r="AF133" s="30">
        <v>1093.0999999999999</v>
      </c>
      <c r="AG133" s="23"/>
      <c r="AH133" s="30">
        <v>10308.379999999999</v>
      </c>
      <c r="AI133" s="30">
        <v>1061.6199999999999</v>
      </c>
      <c r="AJ133" s="30">
        <v>1127040.1000000001</v>
      </c>
      <c r="AK133" s="30">
        <v>1061.5999999999999</v>
      </c>
      <c r="AL133" s="23"/>
      <c r="AM133" s="30">
        <v>10383.280000000001</v>
      </c>
      <c r="AN133" s="27">
        <v>986.72</v>
      </c>
      <c r="AO133" s="30">
        <v>973615.3</v>
      </c>
      <c r="AP133" s="27">
        <v>986.7</v>
      </c>
      <c r="AQ133" s="23"/>
      <c r="AR133" s="30">
        <v>10485.35</v>
      </c>
      <c r="AS133" s="27">
        <v>884.65</v>
      </c>
      <c r="AT133" s="30">
        <v>782600.7</v>
      </c>
      <c r="AU133" s="27">
        <v>884.6</v>
      </c>
    </row>
    <row r="134" spans="1:47" ht="18" x14ac:dyDescent="0.2">
      <c r="A134" s="26">
        <v>45793</v>
      </c>
      <c r="B134" s="40">
        <v>11248</v>
      </c>
      <c r="C134" s="23"/>
      <c r="D134" s="30">
        <v>10631.97</v>
      </c>
      <c r="E134" s="27">
        <v>616.03</v>
      </c>
      <c r="F134" s="30">
        <v>379497.6</v>
      </c>
      <c r="G134" s="27">
        <v>616</v>
      </c>
      <c r="H134" s="23"/>
      <c r="I134" s="30">
        <v>10740.2</v>
      </c>
      <c r="J134" s="27">
        <v>507.8</v>
      </c>
      <c r="K134" s="30">
        <v>257860.9</v>
      </c>
      <c r="L134" s="27">
        <v>507.8</v>
      </c>
      <c r="M134" s="23"/>
      <c r="N134" s="30">
        <v>10743.04</v>
      </c>
      <c r="O134" s="27">
        <v>504.96</v>
      </c>
      <c r="P134" s="30">
        <v>254984.1</v>
      </c>
      <c r="Q134" s="27">
        <v>505</v>
      </c>
      <c r="R134" s="23"/>
      <c r="S134" s="30">
        <v>10768.43</v>
      </c>
      <c r="T134" s="27">
        <v>479.57</v>
      </c>
      <c r="U134" s="30">
        <v>229987</v>
      </c>
      <c r="V134" s="27">
        <v>479.6</v>
      </c>
      <c r="W134" s="23"/>
      <c r="X134" s="30">
        <v>10833.6</v>
      </c>
      <c r="Y134" s="27">
        <v>414.4</v>
      </c>
      <c r="Z134" s="30">
        <v>171731.4</v>
      </c>
      <c r="AA134" s="27">
        <v>414.4</v>
      </c>
      <c r="AB134" s="23"/>
      <c r="AC134" s="30">
        <v>10932.75</v>
      </c>
      <c r="AD134" s="27">
        <v>315.25</v>
      </c>
      <c r="AE134" s="30">
        <v>99383.3</v>
      </c>
      <c r="AF134" s="27">
        <v>315.3</v>
      </c>
      <c r="AG134" s="23"/>
      <c r="AH134" s="30">
        <v>11051.51</v>
      </c>
      <c r="AI134" s="27">
        <v>196.49</v>
      </c>
      <c r="AJ134" s="30">
        <v>38606.9</v>
      </c>
      <c r="AK134" s="27">
        <v>196.5</v>
      </c>
      <c r="AL134" s="23"/>
      <c r="AM134" s="30">
        <v>11172.66</v>
      </c>
      <c r="AN134" s="27">
        <v>75.34</v>
      </c>
      <c r="AO134" s="30">
        <v>5676.7</v>
      </c>
      <c r="AP134" s="27">
        <v>75.3</v>
      </c>
      <c r="AQ134" s="23"/>
      <c r="AR134" s="30">
        <v>11281.54</v>
      </c>
      <c r="AS134" s="27">
        <v>-33.54</v>
      </c>
      <c r="AT134" s="30">
        <v>1124.5999999999999</v>
      </c>
      <c r="AU134" s="27">
        <v>33.5</v>
      </c>
    </row>
    <row r="135" spans="1:47" ht="18" x14ac:dyDescent="0.2">
      <c r="A135" s="26">
        <v>45824</v>
      </c>
      <c r="B135" s="40">
        <v>10830</v>
      </c>
      <c r="C135" s="23"/>
      <c r="D135" s="30">
        <v>10693.57</v>
      </c>
      <c r="E135" s="27">
        <v>136.43</v>
      </c>
      <c r="F135" s="30">
        <v>18613.3</v>
      </c>
      <c r="G135" s="27">
        <v>136.4</v>
      </c>
      <c r="H135" s="23"/>
      <c r="I135" s="30">
        <v>10841.76</v>
      </c>
      <c r="J135" s="27">
        <v>-11.76</v>
      </c>
      <c r="K135" s="27">
        <v>138.30000000000001</v>
      </c>
      <c r="L135" s="27">
        <v>11.8</v>
      </c>
      <c r="M135" s="23"/>
      <c r="N135" s="30">
        <v>10894.53</v>
      </c>
      <c r="O135" s="27">
        <v>-64.53</v>
      </c>
      <c r="P135" s="30">
        <v>4163.8999999999996</v>
      </c>
      <c r="Q135" s="27">
        <v>64.5</v>
      </c>
      <c r="R135" s="23"/>
      <c r="S135" s="30">
        <v>10960.26</v>
      </c>
      <c r="T135" s="27">
        <v>-130.26</v>
      </c>
      <c r="U135" s="30">
        <v>16967.2</v>
      </c>
      <c r="V135" s="27">
        <v>130.30000000000001</v>
      </c>
      <c r="W135" s="23"/>
      <c r="X135" s="30">
        <v>11040.8</v>
      </c>
      <c r="Y135" s="27">
        <v>-210.8</v>
      </c>
      <c r="Z135" s="30">
        <v>44435.6</v>
      </c>
      <c r="AA135" s="27">
        <v>210.8</v>
      </c>
      <c r="AB135" s="23"/>
      <c r="AC135" s="30">
        <v>11121.9</v>
      </c>
      <c r="AD135" s="27">
        <v>-291.89999999999998</v>
      </c>
      <c r="AE135" s="30">
        <v>85205.3</v>
      </c>
      <c r="AF135" s="27">
        <v>291.89999999999998</v>
      </c>
      <c r="AG135" s="23"/>
      <c r="AH135" s="30">
        <v>11189.05</v>
      </c>
      <c r="AI135" s="27">
        <v>-359.05</v>
      </c>
      <c r="AJ135" s="30">
        <v>128919.8</v>
      </c>
      <c r="AK135" s="27">
        <v>359.1</v>
      </c>
      <c r="AL135" s="23"/>
      <c r="AM135" s="30">
        <v>11232.93</v>
      </c>
      <c r="AN135" s="27">
        <v>-402.93</v>
      </c>
      <c r="AO135" s="30">
        <v>162353.60000000001</v>
      </c>
      <c r="AP135" s="27">
        <v>402.9</v>
      </c>
      <c r="AQ135" s="23"/>
      <c r="AR135" s="30">
        <v>11251.35</v>
      </c>
      <c r="AS135" s="27">
        <v>-421.35</v>
      </c>
      <c r="AT135" s="30">
        <v>177538.8</v>
      </c>
      <c r="AU135" s="27">
        <v>421.4</v>
      </c>
    </row>
    <row r="136" spans="1:47" ht="18" x14ac:dyDescent="0.2">
      <c r="A136" s="26">
        <v>45854</v>
      </c>
      <c r="B136" s="40">
        <v>10350</v>
      </c>
      <c r="C136" s="23"/>
      <c r="D136" s="30">
        <v>10707.21</v>
      </c>
      <c r="E136" s="27">
        <v>-357.21</v>
      </c>
      <c r="F136" s="30">
        <v>127600.9</v>
      </c>
      <c r="G136" s="27">
        <v>357.2</v>
      </c>
      <c r="H136" s="23"/>
      <c r="I136" s="30">
        <v>10839.41</v>
      </c>
      <c r="J136" s="27">
        <v>-489.41</v>
      </c>
      <c r="K136" s="30">
        <v>239520.1</v>
      </c>
      <c r="L136" s="27">
        <v>489.4</v>
      </c>
      <c r="M136" s="23"/>
      <c r="N136" s="30">
        <v>10875.17</v>
      </c>
      <c r="O136" s="27">
        <v>-525.16999999999996</v>
      </c>
      <c r="P136" s="30">
        <v>275803.40000000002</v>
      </c>
      <c r="Q136" s="27">
        <v>525.20000000000005</v>
      </c>
      <c r="R136" s="23"/>
      <c r="S136" s="30">
        <v>10908.15</v>
      </c>
      <c r="T136" s="27">
        <v>-558.15</v>
      </c>
      <c r="U136" s="30">
        <v>311536.90000000002</v>
      </c>
      <c r="V136" s="27">
        <v>558.20000000000005</v>
      </c>
      <c r="W136" s="23"/>
      <c r="X136" s="30">
        <v>10935.4</v>
      </c>
      <c r="Y136" s="27">
        <v>-585.4</v>
      </c>
      <c r="Z136" s="30">
        <v>342691.8</v>
      </c>
      <c r="AA136" s="27">
        <v>585.4</v>
      </c>
      <c r="AB136" s="23"/>
      <c r="AC136" s="30">
        <v>10946.76</v>
      </c>
      <c r="AD136" s="27">
        <v>-596.76</v>
      </c>
      <c r="AE136" s="30">
        <v>356122.3</v>
      </c>
      <c r="AF136" s="27">
        <v>596.79999999999995</v>
      </c>
      <c r="AG136" s="23"/>
      <c r="AH136" s="30">
        <v>10937.72</v>
      </c>
      <c r="AI136" s="27">
        <v>-587.72</v>
      </c>
      <c r="AJ136" s="30">
        <v>345410.4</v>
      </c>
      <c r="AK136" s="27">
        <v>587.70000000000005</v>
      </c>
      <c r="AL136" s="23"/>
      <c r="AM136" s="30">
        <v>10910.59</v>
      </c>
      <c r="AN136" s="27">
        <v>-560.59</v>
      </c>
      <c r="AO136" s="30">
        <v>314256.90000000002</v>
      </c>
      <c r="AP136" s="27">
        <v>560.6</v>
      </c>
      <c r="AQ136" s="23"/>
      <c r="AR136" s="30">
        <v>10872.14</v>
      </c>
      <c r="AS136" s="27">
        <v>-522.14</v>
      </c>
      <c r="AT136" s="30">
        <v>272625.3</v>
      </c>
      <c r="AU136" s="27">
        <v>522.1</v>
      </c>
    </row>
    <row r="137" spans="1:47" ht="18" x14ac:dyDescent="0.2">
      <c r="A137" s="26">
        <v>45885</v>
      </c>
      <c r="B137" s="40">
        <v>9269</v>
      </c>
      <c r="C137" s="23"/>
      <c r="D137" s="30">
        <v>10671.49</v>
      </c>
      <c r="E137" s="30">
        <v>-1402.49</v>
      </c>
      <c r="F137" s="30">
        <v>1966982</v>
      </c>
      <c r="G137" s="30">
        <v>1402.5</v>
      </c>
      <c r="H137" s="23"/>
      <c r="I137" s="30">
        <v>10741.53</v>
      </c>
      <c r="J137" s="30">
        <v>-1472.53</v>
      </c>
      <c r="K137" s="30">
        <v>2168333.7999999998</v>
      </c>
      <c r="L137" s="30">
        <v>1472.5</v>
      </c>
      <c r="M137" s="23"/>
      <c r="N137" s="30">
        <v>10717.62</v>
      </c>
      <c r="O137" s="30">
        <v>-1448.62</v>
      </c>
      <c r="P137" s="30">
        <v>2098496.7000000002</v>
      </c>
      <c r="Q137" s="30">
        <v>1448.6</v>
      </c>
      <c r="R137" s="23"/>
      <c r="S137" s="30">
        <v>10684.89</v>
      </c>
      <c r="T137" s="30">
        <v>-1415.89</v>
      </c>
      <c r="U137" s="30">
        <v>2004752.9</v>
      </c>
      <c r="V137" s="30">
        <v>1415.9</v>
      </c>
      <c r="W137" s="23"/>
      <c r="X137" s="30">
        <v>10642.7</v>
      </c>
      <c r="Y137" s="30">
        <v>-1373.7</v>
      </c>
      <c r="Z137" s="30">
        <v>1887050</v>
      </c>
      <c r="AA137" s="30">
        <v>1373.7</v>
      </c>
      <c r="AB137" s="23"/>
      <c r="AC137" s="30">
        <v>10588.7</v>
      </c>
      <c r="AD137" s="30">
        <v>-1319.7</v>
      </c>
      <c r="AE137" s="30">
        <v>1741618.5</v>
      </c>
      <c r="AF137" s="30">
        <v>1319.7</v>
      </c>
      <c r="AG137" s="23"/>
      <c r="AH137" s="30">
        <v>10526.31</v>
      </c>
      <c r="AI137" s="30">
        <v>-1257.31</v>
      </c>
      <c r="AJ137" s="30">
        <v>1580840.7</v>
      </c>
      <c r="AK137" s="30">
        <v>1257.3</v>
      </c>
      <c r="AL137" s="23"/>
      <c r="AM137" s="30">
        <v>10462.120000000001</v>
      </c>
      <c r="AN137" s="30">
        <v>-1193.1199999999999</v>
      </c>
      <c r="AO137" s="30">
        <v>1423528.8</v>
      </c>
      <c r="AP137" s="30">
        <v>1193.0999999999999</v>
      </c>
      <c r="AQ137" s="23"/>
      <c r="AR137" s="30">
        <v>10402.209999999999</v>
      </c>
      <c r="AS137" s="30">
        <v>-1133.21</v>
      </c>
      <c r="AT137" s="30">
        <v>1284172.8999999999</v>
      </c>
      <c r="AU137" s="30">
        <v>1133.2</v>
      </c>
    </row>
    <row r="138" spans="1:47" ht="18" x14ac:dyDescent="0.2">
      <c r="A138" s="26">
        <v>45916</v>
      </c>
      <c r="B138" s="40">
        <v>9206</v>
      </c>
      <c r="C138" s="23"/>
      <c r="D138" s="30">
        <v>10531.24</v>
      </c>
      <c r="E138" s="30">
        <v>-1325.24</v>
      </c>
      <c r="F138" s="30">
        <v>1756267</v>
      </c>
      <c r="G138" s="30">
        <v>1325.2</v>
      </c>
      <c r="H138" s="23"/>
      <c r="I138" s="30">
        <v>10447.02</v>
      </c>
      <c r="J138" s="30">
        <v>-1241.02</v>
      </c>
      <c r="K138" s="30">
        <v>1540133.3</v>
      </c>
      <c r="L138" s="30">
        <v>1241</v>
      </c>
      <c r="M138" s="23"/>
      <c r="N138" s="30">
        <v>10283.030000000001</v>
      </c>
      <c r="O138" s="30">
        <v>-1077.03</v>
      </c>
      <c r="P138" s="30">
        <v>1160000.6000000001</v>
      </c>
      <c r="Q138" s="30">
        <v>1077</v>
      </c>
      <c r="R138" s="23"/>
      <c r="S138" s="30">
        <v>10118.540000000001</v>
      </c>
      <c r="T138" s="27">
        <v>-912.54</v>
      </c>
      <c r="U138" s="30">
        <v>832721.6</v>
      </c>
      <c r="V138" s="27">
        <v>912.5</v>
      </c>
      <c r="W138" s="23"/>
      <c r="X138" s="30">
        <v>9955.85</v>
      </c>
      <c r="Y138" s="27">
        <v>-749.85</v>
      </c>
      <c r="Z138" s="30">
        <v>562274.6</v>
      </c>
      <c r="AA138" s="27">
        <v>749.8</v>
      </c>
      <c r="AB138" s="23"/>
      <c r="AC138" s="30">
        <v>9796.8799999999992</v>
      </c>
      <c r="AD138" s="27">
        <v>-590.88</v>
      </c>
      <c r="AE138" s="30">
        <v>349141</v>
      </c>
      <c r="AF138" s="27">
        <v>590.9</v>
      </c>
      <c r="AG138" s="23"/>
      <c r="AH138" s="30">
        <v>9646.19</v>
      </c>
      <c r="AI138" s="27">
        <v>-440.19</v>
      </c>
      <c r="AJ138" s="30">
        <v>193771.2</v>
      </c>
      <c r="AK138" s="27">
        <v>440.2</v>
      </c>
      <c r="AL138" s="23"/>
      <c r="AM138" s="30">
        <v>9507.6200000000008</v>
      </c>
      <c r="AN138" s="27">
        <v>-301.62</v>
      </c>
      <c r="AO138" s="30">
        <v>90976.7</v>
      </c>
      <c r="AP138" s="27">
        <v>301.60000000000002</v>
      </c>
      <c r="AQ138" s="23"/>
      <c r="AR138" s="30">
        <v>9382.32</v>
      </c>
      <c r="AS138" s="27">
        <v>-176.32</v>
      </c>
      <c r="AT138" s="30">
        <v>31089.200000000001</v>
      </c>
      <c r="AU138" s="27">
        <v>176.3</v>
      </c>
    </row>
    <row r="139" spans="1:47" ht="18" x14ac:dyDescent="0.2">
      <c r="A139" s="26">
        <v>45946</v>
      </c>
      <c r="B139" s="40">
        <v>8677</v>
      </c>
      <c r="C139" s="23"/>
      <c r="D139" s="30">
        <v>10398.719999999999</v>
      </c>
      <c r="E139" s="30">
        <v>-1721.72</v>
      </c>
      <c r="F139" s="30">
        <v>2964312.9</v>
      </c>
      <c r="G139" s="30">
        <v>1721.7</v>
      </c>
      <c r="H139" s="23"/>
      <c r="I139" s="30">
        <v>10198.82</v>
      </c>
      <c r="J139" s="30">
        <v>-1521.82</v>
      </c>
      <c r="K139" s="30">
        <v>2315926.6</v>
      </c>
      <c r="L139" s="30">
        <v>1521.8</v>
      </c>
      <c r="M139" s="23"/>
      <c r="N139" s="30">
        <v>9959.92</v>
      </c>
      <c r="O139" s="30">
        <v>-1282.92</v>
      </c>
      <c r="P139" s="30">
        <v>1645892.1</v>
      </c>
      <c r="Q139" s="30">
        <v>1282.9000000000001</v>
      </c>
      <c r="R139" s="23"/>
      <c r="S139" s="30">
        <v>9753.52</v>
      </c>
      <c r="T139" s="30">
        <v>-1076.52</v>
      </c>
      <c r="U139" s="30">
        <v>1158898.5</v>
      </c>
      <c r="V139" s="30">
        <v>1076.5</v>
      </c>
      <c r="W139" s="23"/>
      <c r="X139" s="30">
        <v>9580.92</v>
      </c>
      <c r="Y139" s="27">
        <v>-903.92</v>
      </c>
      <c r="Z139" s="30">
        <v>817080.1</v>
      </c>
      <c r="AA139" s="27">
        <v>903.9</v>
      </c>
      <c r="AB139" s="23"/>
      <c r="AC139" s="30">
        <v>9442.35</v>
      </c>
      <c r="AD139" s="27">
        <v>-765.35</v>
      </c>
      <c r="AE139" s="30">
        <v>585764.6</v>
      </c>
      <c r="AF139" s="27">
        <v>765.4</v>
      </c>
      <c r="AG139" s="23"/>
      <c r="AH139" s="30">
        <v>9338.06</v>
      </c>
      <c r="AI139" s="27">
        <v>-661.06</v>
      </c>
      <c r="AJ139" s="30">
        <v>436998.1</v>
      </c>
      <c r="AK139" s="27">
        <v>661.1</v>
      </c>
      <c r="AL139" s="23"/>
      <c r="AM139" s="30">
        <v>9266.32</v>
      </c>
      <c r="AN139" s="27">
        <v>-589.32000000000005</v>
      </c>
      <c r="AO139" s="30">
        <v>347303.6</v>
      </c>
      <c r="AP139" s="27">
        <v>589.29999999999995</v>
      </c>
      <c r="AQ139" s="23"/>
      <c r="AR139" s="30">
        <v>9223.6299999999992</v>
      </c>
      <c r="AS139" s="27">
        <v>-546.63</v>
      </c>
      <c r="AT139" s="30">
        <v>298806.7</v>
      </c>
      <c r="AU139" s="27">
        <v>546.6</v>
      </c>
    </row>
    <row r="140" spans="1:47" ht="18" x14ac:dyDescent="0.2">
      <c r="A140" s="26">
        <v>45977</v>
      </c>
      <c r="B140" s="40">
        <v>9024</v>
      </c>
      <c r="C140" s="23"/>
      <c r="D140" s="30">
        <v>10226.549999999999</v>
      </c>
      <c r="E140" s="30">
        <v>-1202.55</v>
      </c>
      <c r="F140" s="30">
        <v>1446117.4</v>
      </c>
      <c r="G140" s="30">
        <v>1202.5</v>
      </c>
      <c r="H140" s="23"/>
      <c r="I140" s="30">
        <v>9894.4500000000007</v>
      </c>
      <c r="J140" s="27">
        <v>-870.45</v>
      </c>
      <c r="K140" s="30">
        <v>757689.3</v>
      </c>
      <c r="L140" s="27">
        <v>870.5</v>
      </c>
      <c r="M140" s="23"/>
      <c r="N140" s="30">
        <v>9575.0499999999993</v>
      </c>
      <c r="O140" s="27">
        <v>-551.04999999999995</v>
      </c>
      <c r="P140" s="30">
        <v>303652</v>
      </c>
      <c r="Q140" s="27">
        <v>551</v>
      </c>
      <c r="R140" s="23"/>
      <c r="S140" s="30">
        <v>9322.91</v>
      </c>
      <c r="T140" s="27">
        <v>-298.91000000000003</v>
      </c>
      <c r="U140" s="30">
        <v>89348.9</v>
      </c>
      <c r="V140" s="27">
        <v>298.89999999999998</v>
      </c>
      <c r="W140" s="23"/>
      <c r="X140" s="30">
        <v>9128.9599999999991</v>
      </c>
      <c r="Y140" s="27">
        <v>-104.96</v>
      </c>
      <c r="Z140" s="30">
        <v>11017.1</v>
      </c>
      <c r="AA140" s="27">
        <v>105</v>
      </c>
      <c r="AB140" s="23"/>
      <c r="AC140" s="30">
        <v>8983.14</v>
      </c>
      <c r="AD140" s="27">
        <v>40.86</v>
      </c>
      <c r="AE140" s="30">
        <v>1669.5</v>
      </c>
      <c r="AF140" s="27">
        <v>40.9</v>
      </c>
      <c r="AG140" s="23"/>
      <c r="AH140" s="30">
        <v>8875.32</v>
      </c>
      <c r="AI140" s="27">
        <v>148.68</v>
      </c>
      <c r="AJ140" s="30">
        <v>22106.5</v>
      </c>
      <c r="AK140" s="27">
        <v>148.69999999999999</v>
      </c>
      <c r="AL140" s="23"/>
      <c r="AM140" s="30">
        <v>8794.86</v>
      </c>
      <c r="AN140" s="27">
        <v>229.14</v>
      </c>
      <c r="AO140" s="30">
        <v>52502.9</v>
      </c>
      <c r="AP140" s="27">
        <v>229.1</v>
      </c>
      <c r="AQ140" s="23"/>
      <c r="AR140" s="30">
        <v>8731.66</v>
      </c>
      <c r="AS140" s="27">
        <v>292.33999999999997</v>
      </c>
      <c r="AT140" s="30">
        <v>85460.800000000003</v>
      </c>
      <c r="AU140" s="27">
        <v>292.3</v>
      </c>
    </row>
    <row r="141" spans="1:47" ht="18" x14ac:dyDescent="0.2">
      <c r="A141" s="26">
        <v>46007</v>
      </c>
      <c r="B141" s="40">
        <v>12072</v>
      </c>
      <c r="C141" s="23"/>
      <c r="D141" s="30">
        <v>10106.290000000001</v>
      </c>
      <c r="E141" s="30">
        <v>1965.71</v>
      </c>
      <c r="F141" s="30">
        <v>3864009.6</v>
      </c>
      <c r="G141" s="30">
        <v>1965.7</v>
      </c>
      <c r="H141" s="23"/>
      <c r="I141" s="30">
        <v>9720.36</v>
      </c>
      <c r="J141" s="30">
        <v>2351.64</v>
      </c>
      <c r="K141" s="30">
        <v>5530197.5999999996</v>
      </c>
      <c r="L141" s="30">
        <v>2351.6</v>
      </c>
      <c r="M141" s="23"/>
      <c r="N141" s="30">
        <v>9409.73</v>
      </c>
      <c r="O141" s="30">
        <v>2662.27</v>
      </c>
      <c r="P141" s="30">
        <v>7087668.7999999998</v>
      </c>
      <c r="Q141" s="30">
        <v>2662.3</v>
      </c>
      <c r="R141" s="23"/>
      <c r="S141" s="30">
        <v>9203.35</v>
      </c>
      <c r="T141" s="30">
        <v>2868.65</v>
      </c>
      <c r="U141" s="30">
        <v>8229165.9000000004</v>
      </c>
      <c r="V141" s="30">
        <v>2868.7</v>
      </c>
      <c r="W141" s="23"/>
      <c r="X141" s="30">
        <v>9076.48</v>
      </c>
      <c r="Y141" s="30">
        <v>2995.52</v>
      </c>
      <c r="Z141" s="30">
        <v>8973132.8000000007</v>
      </c>
      <c r="AA141" s="30">
        <v>2995.5</v>
      </c>
      <c r="AB141" s="23"/>
      <c r="AC141" s="30">
        <v>9007.66</v>
      </c>
      <c r="AD141" s="30">
        <v>3064.34</v>
      </c>
      <c r="AE141" s="30">
        <v>9390201.5999999996</v>
      </c>
      <c r="AF141" s="30">
        <v>3064.3</v>
      </c>
      <c r="AG141" s="23"/>
      <c r="AH141" s="30">
        <v>8979.4</v>
      </c>
      <c r="AI141" s="30">
        <v>3092.6</v>
      </c>
      <c r="AJ141" s="30">
        <v>9564204.0999999996</v>
      </c>
      <c r="AK141" s="30">
        <v>3092.6</v>
      </c>
      <c r="AL141" s="23"/>
      <c r="AM141" s="30">
        <v>8978.17</v>
      </c>
      <c r="AN141" s="30">
        <v>3093.83</v>
      </c>
      <c r="AO141" s="30">
        <v>9571765.5999999996</v>
      </c>
      <c r="AP141" s="30">
        <v>3093.8</v>
      </c>
      <c r="AQ141" s="23"/>
      <c r="AR141" s="30">
        <v>8994.77</v>
      </c>
      <c r="AS141" s="30">
        <v>3077.23</v>
      </c>
      <c r="AT141" s="30">
        <v>9469367.0999999996</v>
      </c>
      <c r="AU141" s="30">
        <v>3077.2</v>
      </c>
    </row>
    <row r="142" spans="1:47" ht="18" x14ac:dyDescent="0.2">
      <c r="A142" s="26">
        <v>45674</v>
      </c>
      <c r="B142" s="40">
        <v>7180</v>
      </c>
      <c r="C142" s="23"/>
      <c r="D142" s="30">
        <v>10302.86</v>
      </c>
      <c r="E142" s="30">
        <v>-3122.86</v>
      </c>
      <c r="F142" s="30">
        <v>9752269.6999999993</v>
      </c>
      <c r="G142" s="30">
        <v>3122.9</v>
      </c>
      <c r="H142" s="23"/>
      <c r="I142" s="30">
        <v>10190.69</v>
      </c>
      <c r="J142" s="30">
        <v>-3010.69</v>
      </c>
      <c r="K142" s="30">
        <v>9064255.6999999993</v>
      </c>
      <c r="L142" s="30">
        <v>3010.7</v>
      </c>
      <c r="M142" s="23"/>
      <c r="N142" s="30">
        <v>10208.41</v>
      </c>
      <c r="O142" s="30">
        <v>-3028.41</v>
      </c>
      <c r="P142" s="30">
        <v>9171283.3000000007</v>
      </c>
      <c r="Q142" s="30">
        <v>3028.4</v>
      </c>
      <c r="R142" s="23"/>
      <c r="S142" s="30">
        <v>10350.81</v>
      </c>
      <c r="T142" s="30">
        <v>-3170.81</v>
      </c>
      <c r="U142" s="30">
        <v>10054027.4</v>
      </c>
      <c r="V142" s="30">
        <v>3170.8</v>
      </c>
      <c r="W142" s="23"/>
      <c r="X142" s="30">
        <v>10574.24</v>
      </c>
      <c r="Y142" s="30">
        <v>-3394.24</v>
      </c>
      <c r="Z142" s="30">
        <v>11520869.300000001</v>
      </c>
      <c r="AA142" s="30">
        <v>3394.2</v>
      </c>
      <c r="AB142" s="23"/>
      <c r="AC142" s="30">
        <v>10846.26</v>
      </c>
      <c r="AD142" s="30">
        <v>-3666.26</v>
      </c>
      <c r="AE142" s="30">
        <v>13441481.199999999</v>
      </c>
      <c r="AF142" s="30">
        <v>3666.3</v>
      </c>
      <c r="AG142" s="23"/>
      <c r="AH142" s="30">
        <v>11144.22</v>
      </c>
      <c r="AI142" s="30">
        <v>-3964.22</v>
      </c>
      <c r="AJ142" s="30">
        <v>15715028.9</v>
      </c>
      <c r="AK142" s="30">
        <v>3964.2</v>
      </c>
      <c r="AL142" s="23"/>
      <c r="AM142" s="30">
        <v>11453.23</v>
      </c>
      <c r="AN142" s="30">
        <v>-4273.2299999999996</v>
      </c>
      <c r="AO142" s="30">
        <v>18260533.899999999</v>
      </c>
      <c r="AP142" s="30">
        <v>4273.2</v>
      </c>
      <c r="AQ142" s="23"/>
      <c r="AR142" s="30">
        <v>11764.28</v>
      </c>
      <c r="AS142" s="30">
        <v>-4584.28</v>
      </c>
      <c r="AT142" s="30">
        <v>21015592.199999999</v>
      </c>
      <c r="AU142" s="30">
        <v>4584.3</v>
      </c>
    </row>
    <row r="143" spans="1:47" ht="18" x14ac:dyDescent="0.2">
      <c r="A143" s="26">
        <v>45705</v>
      </c>
      <c r="B143" s="40">
        <v>8099</v>
      </c>
      <c r="C143" s="23"/>
      <c r="D143" s="30">
        <v>9990.58</v>
      </c>
      <c r="E143" s="30">
        <v>-1891.58</v>
      </c>
      <c r="F143" s="30">
        <v>3578060.5</v>
      </c>
      <c r="G143" s="30">
        <v>1891.6</v>
      </c>
      <c r="H143" s="23"/>
      <c r="I143" s="30">
        <v>9588.5499999999993</v>
      </c>
      <c r="J143" s="30">
        <v>-1489.55</v>
      </c>
      <c r="K143" s="30">
        <v>2218765.7000000002</v>
      </c>
      <c r="L143" s="30">
        <v>1489.6</v>
      </c>
      <c r="M143" s="23"/>
      <c r="N143" s="30">
        <v>9299.89</v>
      </c>
      <c r="O143" s="30">
        <v>-1200.8900000000001</v>
      </c>
      <c r="P143" s="30">
        <v>1442134.1</v>
      </c>
      <c r="Q143" s="30">
        <v>1200.9000000000001</v>
      </c>
      <c r="R143" s="23"/>
      <c r="S143" s="30">
        <v>9082.49</v>
      </c>
      <c r="T143" s="27">
        <v>-983.49</v>
      </c>
      <c r="U143" s="30">
        <v>967243.1</v>
      </c>
      <c r="V143" s="27">
        <v>983.5</v>
      </c>
      <c r="W143" s="23"/>
      <c r="X143" s="30">
        <v>8877.1200000000008</v>
      </c>
      <c r="Y143" s="27">
        <v>-778.12</v>
      </c>
      <c r="Z143" s="30">
        <v>605471.19999999995</v>
      </c>
      <c r="AA143" s="27">
        <v>778.1</v>
      </c>
      <c r="AB143" s="23"/>
      <c r="AC143" s="30">
        <v>8646.51</v>
      </c>
      <c r="AD143" s="27">
        <v>-547.51</v>
      </c>
      <c r="AE143" s="30">
        <v>299761.8</v>
      </c>
      <c r="AF143" s="27">
        <v>547.5</v>
      </c>
      <c r="AG143" s="23"/>
      <c r="AH143" s="30">
        <v>8369.27</v>
      </c>
      <c r="AI143" s="27">
        <v>-270.27</v>
      </c>
      <c r="AJ143" s="30">
        <v>73043.5</v>
      </c>
      <c r="AK143" s="27">
        <v>270.3</v>
      </c>
      <c r="AL143" s="23"/>
      <c r="AM143" s="30">
        <v>8034.65</v>
      </c>
      <c r="AN143" s="27">
        <v>64.349999999999994</v>
      </c>
      <c r="AO143" s="30">
        <v>4141.3</v>
      </c>
      <c r="AP143" s="27">
        <v>64.400000000000006</v>
      </c>
      <c r="AQ143" s="23"/>
      <c r="AR143" s="30">
        <v>7638.43</v>
      </c>
      <c r="AS143" s="27">
        <v>460.57</v>
      </c>
      <c r="AT143" s="30">
        <v>212126.9</v>
      </c>
      <c r="AU143" s="27">
        <v>460.6</v>
      </c>
    </row>
    <row r="144" spans="1:47" ht="18" x14ac:dyDescent="0.2">
      <c r="A144" s="26">
        <v>45733</v>
      </c>
      <c r="B144" s="40">
        <v>9945</v>
      </c>
      <c r="C144" s="23"/>
      <c r="D144" s="30">
        <v>9801.42</v>
      </c>
      <c r="E144" s="27">
        <v>143.58000000000001</v>
      </c>
      <c r="F144" s="30">
        <v>20615.599999999999</v>
      </c>
      <c r="G144" s="27">
        <v>143.6</v>
      </c>
      <c r="H144" s="23"/>
      <c r="I144" s="30">
        <v>9290.64</v>
      </c>
      <c r="J144" s="27">
        <v>654.36</v>
      </c>
      <c r="K144" s="30">
        <v>428184.7</v>
      </c>
      <c r="L144" s="27">
        <v>654.4</v>
      </c>
      <c r="M144" s="23"/>
      <c r="N144" s="30">
        <v>8939.6200000000008</v>
      </c>
      <c r="O144" s="30">
        <v>1005.38</v>
      </c>
      <c r="P144" s="30">
        <v>1010784.5</v>
      </c>
      <c r="Q144" s="30">
        <v>1005.4</v>
      </c>
      <c r="R144" s="23"/>
      <c r="S144" s="30">
        <v>8689.09</v>
      </c>
      <c r="T144" s="30">
        <v>1255.9100000000001</v>
      </c>
      <c r="U144" s="30">
        <v>1577307.1</v>
      </c>
      <c r="V144" s="30">
        <v>1255.9000000000001</v>
      </c>
      <c r="W144" s="23"/>
      <c r="X144" s="30">
        <v>8488.06</v>
      </c>
      <c r="Y144" s="30">
        <v>1456.94</v>
      </c>
      <c r="Z144" s="30">
        <v>2122673.7000000002</v>
      </c>
      <c r="AA144" s="30">
        <v>1456.9</v>
      </c>
      <c r="AB144" s="23"/>
      <c r="AC144" s="30">
        <v>8318</v>
      </c>
      <c r="AD144" s="30">
        <v>1627</v>
      </c>
      <c r="AE144" s="30">
        <v>2647122.5</v>
      </c>
      <c r="AF144" s="30">
        <v>1627</v>
      </c>
      <c r="AG144" s="23"/>
      <c r="AH144" s="30">
        <v>8180.08</v>
      </c>
      <c r="AI144" s="30">
        <v>1764.92</v>
      </c>
      <c r="AJ144" s="30">
        <v>3114943.8</v>
      </c>
      <c r="AK144" s="30">
        <v>1764.9</v>
      </c>
      <c r="AL144" s="23"/>
      <c r="AM144" s="30">
        <v>8086.13</v>
      </c>
      <c r="AN144" s="30">
        <v>1858.87</v>
      </c>
      <c r="AO144" s="30">
        <v>3455400</v>
      </c>
      <c r="AP144" s="30">
        <v>1858.9</v>
      </c>
      <c r="AQ144" s="23"/>
      <c r="AR144" s="30">
        <v>8052.94</v>
      </c>
      <c r="AS144" s="30">
        <v>1892.06</v>
      </c>
      <c r="AT144" s="30">
        <v>3579880.6</v>
      </c>
      <c r="AU144" s="30">
        <v>1892.1</v>
      </c>
    </row>
    <row r="145" spans="1:47" ht="18" x14ac:dyDescent="0.2">
      <c r="A145" s="26">
        <v>45764</v>
      </c>
      <c r="B145" s="40">
        <v>9746</v>
      </c>
      <c r="C145" s="23"/>
      <c r="D145" s="30">
        <v>9815.7800000000007</v>
      </c>
      <c r="E145" s="27">
        <v>-69.78</v>
      </c>
      <c r="F145" s="30">
        <v>4868.8</v>
      </c>
      <c r="G145" s="27">
        <v>69.8</v>
      </c>
      <c r="H145" s="23"/>
      <c r="I145" s="30">
        <v>9421.51</v>
      </c>
      <c r="J145" s="27">
        <v>324.49</v>
      </c>
      <c r="K145" s="30">
        <v>105291.6</v>
      </c>
      <c r="L145" s="27">
        <v>324.5</v>
      </c>
      <c r="M145" s="23"/>
      <c r="N145" s="30">
        <v>9241.24</v>
      </c>
      <c r="O145" s="27">
        <v>504.76</v>
      </c>
      <c r="P145" s="30">
        <v>254787.20000000001</v>
      </c>
      <c r="Q145" s="27">
        <v>504.8</v>
      </c>
      <c r="R145" s="23"/>
      <c r="S145" s="30">
        <v>9191.4500000000007</v>
      </c>
      <c r="T145" s="27">
        <v>554.54999999999995</v>
      </c>
      <c r="U145" s="30">
        <v>307520.5</v>
      </c>
      <c r="V145" s="27">
        <v>554.5</v>
      </c>
      <c r="W145" s="23"/>
      <c r="X145" s="30">
        <v>9216.5300000000007</v>
      </c>
      <c r="Y145" s="27">
        <v>529.47</v>
      </c>
      <c r="Z145" s="30">
        <v>280338.40000000002</v>
      </c>
      <c r="AA145" s="27">
        <v>529.5</v>
      </c>
      <c r="AB145" s="23"/>
      <c r="AC145" s="30">
        <v>9294.2000000000007</v>
      </c>
      <c r="AD145" s="27">
        <v>451.8</v>
      </c>
      <c r="AE145" s="30">
        <v>204122.5</v>
      </c>
      <c r="AF145" s="27">
        <v>451.8</v>
      </c>
      <c r="AG145" s="23"/>
      <c r="AH145" s="30">
        <v>9415.52</v>
      </c>
      <c r="AI145" s="27">
        <v>330.48</v>
      </c>
      <c r="AJ145" s="30">
        <v>109214.5</v>
      </c>
      <c r="AK145" s="27">
        <v>330.5</v>
      </c>
      <c r="AL145" s="23"/>
      <c r="AM145" s="30">
        <v>9573.23</v>
      </c>
      <c r="AN145" s="27">
        <v>172.77</v>
      </c>
      <c r="AO145" s="30">
        <v>29850.9</v>
      </c>
      <c r="AP145" s="27">
        <v>172.8</v>
      </c>
      <c r="AQ145" s="23"/>
      <c r="AR145" s="30">
        <v>9755.7900000000009</v>
      </c>
      <c r="AS145" s="27">
        <v>-9.7899999999999991</v>
      </c>
      <c r="AT145" s="27">
        <v>95.9</v>
      </c>
      <c r="AU145" s="27">
        <v>9.8000000000000007</v>
      </c>
    </row>
    <row r="146" spans="1:47" ht="18" x14ac:dyDescent="0.2">
      <c r="A146" s="26">
        <v>45794</v>
      </c>
      <c r="B146" s="40">
        <v>9976</v>
      </c>
      <c r="C146" s="23"/>
      <c r="D146" s="30">
        <v>9808.7999999999993</v>
      </c>
      <c r="E146" s="27">
        <v>167.2</v>
      </c>
      <c r="F146" s="30">
        <v>27956.2</v>
      </c>
      <c r="G146" s="27">
        <v>167.2</v>
      </c>
      <c r="H146" s="23"/>
      <c r="I146" s="30">
        <v>9486.41</v>
      </c>
      <c r="J146" s="27">
        <v>489.59</v>
      </c>
      <c r="K146" s="30">
        <v>239697.7</v>
      </c>
      <c r="L146" s="27">
        <v>489.6</v>
      </c>
      <c r="M146" s="23"/>
      <c r="N146" s="30">
        <v>9392.66</v>
      </c>
      <c r="O146" s="27">
        <v>583.34</v>
      </c>
      <c r="P146" s="30">
        <v>340279.9</v>
      </c>
      <c r="Q146" s="27">
        <v>583.29999999999995</v>
      </c>
      <c r="R146" s="23"/>
      <c r="S146" s="30">
        <v>9413.27</v>
      </c>
      <c r="T146" s="27">
        <v>562.73</v>
      </c>
      <c r="U146" s="30">
        <v>316661.90000000002</v>
      </c>
      <c r="V146" s="27">
        <v>562.70000000000005</v>
      </c>
      <c r="W146" s="23"/>
      <c r="X146" s="30">
        <v>9481.27</v>
      </c>
      <c r="Y146" s="27">
        <v>494.73</v>
      </c>
      <c r="Z146" s="30">
        <v>244762.7</v>
      </c>
      <c r="AA146" s="27">
        <v>494.7</v>
      </c>
      <c r="AB146" s="23"/>
      <c r="AC146" s="30">
        <v>9565.2800000000007</v>
      </c>
      <c r="AD146" s="27">
        <v>410.72</v>
      </c>
      <c r="AE146" s="30">
        <v>168690.7</v>
      </c>
      <c r="AF146" s="27">
        <v>410.7</v>
      </c>
      <c r="AG146" s="23"/>
      <c r="AH146" s="30">
        <v>9646.86</v>
      </c>
      <c r="AI146" s="27">
        <v>329.14</v>
      </c>
      <c r="AJ146" s="30">
        <v>108335</v>
      </c>
      <c r="AK146" s="27">
        <v>329.1</v>
      </c>
      <c r="AL146" s="23"/>
      <c r="AM146" s="30">
        <v>9711.4500000000007</v>
      </c>
      <c r="AN146" s="27">
        <v>264.55</v>
      </c>
      <c r="AO146" s="30">
        <v>69989.3</v>
      </c>
      <c r="AP146" s="27">
        <v>264.60000000000002</v>
      </c>
      <c r="AQ146" s="23"/>
      <c r="AR146" s="30">
        <v>9746.98</v>
      </c>
      <c r="AS146" s="27">
        <v>229.02</v>
      </c>
      <c r="AT146" s="30">
        <v>52450.400000000001</v>
      </c>
      <c r="AU146" s="27">
        <v>229</v>
      </c>
    </row>
    <row r="147" spans="1:47" ht="18" x14ac:dyDescent="0.2">
      <c r="A147" s="26">
        <v>45825</v>
      </c>
      <c r="B147" s="40">
        <v>9409</v>
      </c>
      <c r="C147" s="23"/>
      <c r="D147" s="30">
        <v>9825.52</v>
      </c>
      <c r="E147" s="27">
        <v>-416.52</v>
      </c>
      <c r="F147" s="30">
        <v>173488.2</v>
      </c>
      <c r="G147" s="27">
        <v>416.5</v>
      </c>
      <c r="H147" s="23"/>
      <c r="I147" s="30">
        <v>9584.33</v>
      </c>
      <c r="J147" s="27">
        <v>-175.33</v>
      </c>
      <c r="K147" s="30">
        <v>30740.1</v>
      </c>
      <c r="L147" s="27">
        <v>175.3</v>
      </c>
      <c r="M147" s="23"/>
      <c r="N147" s="30">
        <v>9567.67</v>
      </c>
      <c r="O147" s="27">
        <v>-158.66999999999999</v>
      </c>
      <c r="P147" s="30">
        <v>25174.7</v>
      </c>
      <c r="Q147" s="27">
        <v>158.69999999999999</v>
      </c>
      <c r="R147" s="23"/>
      <c r="S147" s="30">
        <v>9638.36</v>
      </c>
      <c r="T147" s="27">
        <v>-229.36</v>
      </c>
      <c r="U147" s="30">
        <v>52607.7</v>
      </c>
      <c r="V147" s="27">
        <v>229.4</v>
      </c>
      <c r="W147" s="23"/>
      <c r="X147" s="30">
        <v>9728.6299999999992</v>
      </c>
      <c r="Y147" s="27">
        <v>-319.63</v>
      </c>
      <c r="Z147" s="30">
        <v>102164.9</v>
      </c>
      <c r="AA147" s="27">
        <v>319.60000000000002</v>
      </c>
      <c r="AB147" s="23"/>
      <c r="AC147" s="30">
        <v>9811.7099999999991</v>
      </c>
      <c r="AD147" s="27">
        <v>-402.71</v>
      </c>
      <c r="AE147" s="30">
        <v>162177.1</v>
      </c>
      <c r="AF147" s="27">
        <v>402.7</v>
      </c>
      <c r="AG147" s="23"/>
      <c r="AH147" s="30">
        <v>9877.26</v>
      </c>
      <c r="AI147" s="27">
        <v>-468.26</v>
      </c>
      <c r="AJ147" s="30">
        <v>219264.8</v>
      </c>
      <c r="AK147" s="27">
        <v>468.3</v>
      </c>
      <c r="AL147" s="23"/>
      <c r="AM147" s="30">
        <v>9923.09</v>
      </c>
      <c r="AN147" s="27">
        <v>-514.09</v>
      </c>
      <c r="AO147" s="30">
        <v>264287.5</v>
      </c>
      <c r="AP147" s="27">
        <v>514.1</v>
      </c>
      <c r="AQ147" s="23"/>
      <c r="AR147" s="30">
        <v>9953.1</v>
      </c>
      <c r="AS147" s="27">
        <v>-544.1</v>
      </c>
      <c r="AT147" s="30">
        <v>296042.59999999998</v>
      </c>
      <c r="AU147" s="27">
        <v>544.1</v>
      </c>
    </row>
    <row r="148" spans="1:47" ht="18" x14ac:dyDescent="0.2">
      <c r="A148" s="26">
        <v>45855</v>
      </c>
      <c r="B148" s="40">
        <v>9985</v>
      </c>
      <c r="C148" s="23"/>
      <c r="D148" s="30">
        <v>9783.8700000000008</v>
      </c>
      <c r="E148" s="27">
        <v>201.13</v>
      </c>
      <c r="F148" s="30">
        <v>40454.400000000001</v>
      </c>
      <c r="G148" s="27">
        <v>201.1</v>
      </c>
      <c r="H148" s="23"/>
      <c r="I148" s="30">
        <v>9549.26</v>
      </c>
      <c r="J148" s="27">
        <v>435.74</v>
      </c>
      <c r="K148" s="30">
        <v>189866.9</v>
      </c>
      <c r="L148" s="27">
        <v>435.7</v>
      </c>
      <c r="M148" s="23"/>
      <c r="N148" s="30">
        <v>9520.07</v>
      </c>
      <c r="O148" s="27">
        <v>464.93</v>
      </c>
      <c r="P148" s="30">
        <v>216163.8</v>
      </c>
      <c r="Q148" s="27">
        <v>464.9</v>
      </c>
      <c r="R148" s="23"/>
      <c r="S148" s="30">
        <v>9546.6200000000008</v>
      </c>
      <c r="T148" s="27">
        <v>438.38</v>
      </c>
      <c r="U148" s="30">
        <v>192178.6</v>
      </c>
      <c r="V148" s="27">
        <v>438.4</v>
      </c>
      <c r="W148" s="23"/>
      <c r="X148" s="30">
        <v>9568.82</v>
      </c>
      <c r="Y148" s="27">
        <v>416.18</v>
      </c>
      <c r="Z148" s="30">
        <v>173208.9</v>
      </c>
      <c r="AA148" s="27">
        <v>416.2</v>
      </c>
      <c r="AB148" s="23"/>
      <c r="AC148" s="30">
        <v>9570.08</v>
      </c>
      <c r="AD148" s="27">
        <v>414.92</v>
      </c>
      <c r="AE148" s="30">
        <v>172154.6</v>
      </c>
      <c r="AF148" s="27">
        <v>414.9</v>
      </c>
      <c r="AG148" s="23"/>
      <c r="AH148" s="30">
        <v>9549.48</v>
      </c>
      <c r="AI148" s="27">
        <v>435.52</v>
      </c>
      <c r="AJ148" s="30">
        <v>189680.2</v>
      </c>
      <c r="AK148" s="27">
        <v>435.5</v>
      </c>
      <c r="AL148" s="23"/>
      <c r="AM148" s="30">
        <v>9511.82</v>
      </c>
      <c r="AN148" s="27">
        <v>473.18</v>
      </c>
      <c r="AO148" s="30">
        <v>223901.4</v>
      </c>
      <c r="AP148" s="27">
        <v>473.2</v>
      </c>
      <c r="AQ148" s="23"/>
      <c r="AR148" s="30">
        <v>9463.41</v>
      </c>
      <c r="AS148" s="27">
        <v>521.59</v>
      </c>
      <c r="AT148" s="30">
        <v>272056.3</v>
      </c>
      <c r="AU148" s="27">
        <v>521.6</v>
      </c>
    </row>
    <row r="149" spans="1:47" ht="18" x14ac:dyDescent="0.2">
      <c r="A149" s="26">
        <v>45886</v>
      </c>
      <c r="B149" s="40">
        <v>9568</v>
      </c>
      <c r="C149" s="23"/>
      <c r="D149" s="30">
        <v>9803.98</v>
      </c>
      <c r="E149" s="27">
        <v>-235.98</v>
      </c>
      <c r="F149" s="30">
        <v>55686.8</v>
      </c>
      <c r="G149" s="27">
        <v>236</v>
      </c>
      <c r="H149" s="23"/>
      <c r="I149" s="30">
        <v>9636.41</v>
      </c>
      <c r="J149" s="27">
        <v>-68.41</v>
      </c>
      <c r="K149" s="30">
        <v>4680</v>
      </c>
      <c r="L149" s="27">
        <v>68.400000000000006</v>
      </c>
      <c r="M149" s="23"/>
      <c r="N149" s="30">
        <v>9659.5499999999993</v>
      </c>
      <c r="O149" s="27">
        <v>-91.55</v>
      </c>
      <c r="P149" s="30">
        <v>8380.7000000000007</v>
      </c>
      <c r="Q149" s="27">
        <v>91.5</v>
      </c>
      <c r="R149" s="23"/>
      <c r="S149" s="30">
        <v>9721.9699999999993</v>
      </c>
      <c r="T149" s="27">
        <v>-153.97</v>
      </c>
      <c r="U149" s="30">
        <v>23707</v>
      </c>
      <c r="V149" s="27">
        <v>154</v>
      </c>
      <c r="W149" s="23"/>
      <c r="X149" s="30">
        <v>9776.91</v>
      </c>
      <c r="Y149" s="27">
        <v>-208.91</v>
      </c>
      <c r="Z149" s="30">
        <v>43642.6</v>
      </c>
      <c r="AA149" s="27">
        <v>208.9</v>
      </c>
      <c r="AB149" s="23"/>
      <c r="AC149" s="30">
        <v>9819.0300000000007</v>
      </c>
      <c r="AD149" s="27">
        <v>-251.03</v>
      </c>
      <c r="AE149" s="30">
        <v>63018</v>
      </c>
      <c r="AF149" s="27">
        <v>251</v>
      </c>
      <c r="AG149" s="23"/>
      <c r="AH149" s="30">
        <v>9854.34</v>
      </c>
      <c r="AI149" s="27">
        <v>-286.33999999999997</v>
      </c>
      <c r="AJ149" s="30">
        <v>81992.399999999994</v>
      </c>
      <c r="AK149" s="27">
        <v>286.3</v>
      </c>
      <c r="AL149" s="23"/>
      <c r="AM149" s="30">
        <v>9890.36</v>
      </c>
      <c r="AN149" s="27">
        <v>-322.36</v>
      </c>
      <c r="AO149" s="30">
        <v>103918.3</v>
      </c>
      <c r="AP149" s="27">
        <v>322.39999999999998</v>
      </c>
      <c r="AQ149" s="23"/>
      <c r="AR149" s="30">
        <v>9932.84</v>
      </c>
      <c r="AS149" s="27">
        <v>-364.84</v>
      </c>
      <c r="AT149" s="30">
        <v>133108.9</v>
      </c>
      <c r="AU149" s="27">
        <v>364.8</v>
      </c>
    </row>
    <row r="150" spans="1:47" ht="18" x14ac:dyDescent="0.2">
      <c r="A150" s="26">
        <v>45917</v>
      </c>
      <c r="B150" s="40">
        <v>10295</v>
      </c>
      <c r="C150" s="23"/>
      <c r="D150" s="30">
        <v>9780.3799999999992</v>
      </c>
      <c r="E150" s="27">
        <v>514.62</v>
      </c>
      <c r="F150" s="30">
        <v>264831.2</v>
      </c>
      <c r="G150" s="27">
        <v>514.6</v>
      </c>
      <c r="H150" s="23"/>
      <c r="I150" s="30">
        <v>9622.73</v>
      </c>
      <c r="J150" s="27">
        <v>672.27</v>
      </c>
      <c r="K150" s="30">
        <v>451949.3</v>
      </c>
      <c r="L150" s="27">
        <v>672.3</v>
      </c>
      <c r="M150" s="23"/>
      <c r="N150" s="30">
        <v>9632.08</v>
      </c>
      <c r="O150" s="27">
        <v>662.92</v>
      </c>
      <c r="P150" s="30">
        <v>439460</v>
      </c>
      <c r="Q150" s="27">
        <v>662.9</v>
      </c>
      <c r="R150" s="23"/>
      <c r="S150" s="30">
        <v>9660.3799999999992</v>
      </c>
      <c r="T150" s="27">
        <v>634.62</v>
      </c>
      <c r="U150" s="30">
        <v>402739.3</v>
      </c>
      <c r="V150" s="27">
        <v>634.6</v>
      </c>
      <c r="W150" s="23"/>
      <c r="X150" s="30">
        <v>9672.4500000000007</v>
      </c>
      <c r="Y150" s="27">
        <v>622.54999999999995</v>
      </c>
      <c r="Z150" s="30">
        <v>387563.4</v>
      </c>
      <c r="AA150" s="27">
        <v>622.5</v>
      </c>
      <c r="AB150" s="23"/>
      <c r="AC150" s="30">
        <v>9668.41</v>
      </c>
      <c r="AD150" s="27">
        <v>626.59</v>
      </c>
      <c r="AE150" s="30">
        <v>392610.5</v>
      </c>
      <c r="AF150" s="27">
        <v>626.6</v>
      </c>
      <c r="AG150" s="23"/>
      <c r="AH150" s="30">
        <v>9653.9</v>
      </c>
      <c r="AI150" s="27">
        <v>641.1</v>
      </c>
      <c r="AJ150" s="30">
        <v>411005.4</v>
      </c>
      <c r="AK150" s="27">
        <v>641.1</v>
      </c>
      <c r="AL150" s="23"/>
      <c r="AM150" s="30">
        <v>9632.4699999999993</v>
      </c>
      <c r="AN150" s="27">
        <v>662.53</v>
      </c>
      <c r="AO150" s="30">
        <v>438942.4</v>
      </c>
      <c r="AP150" s="27">
        <v>662.5</v>
      </c>
      <c r="AQ150" s="23"/>
      <c r="AR150" s="30">
        <v>9604.48</v>
      </c>
      <c r="AS150" s="27">
        <v>690.52</v>
      </c>
      <c r="AT150" s="30">
        <v>476812.2</v>
      </c>
      <c r="AU150" s="27">
        <v>690.5</v>
      </c>
    </row>
    <row r="151" spans="1:47" ht="18" x14ac:dyDescent="0.2">
      <c r="A151" s="26">
        <v>45947</v>
      </c>
      <c r="B151" s="40">
        <v>10285</v>
      </c>
      <c r="C151" s="23"/>
      <c r="D151" s="30">
        <v>9831.84</v>
      </c>
      <c r="E151" s="27">
        <v>453.16</v>
      </c>
      <c r="F151" s="30">
        <v>205350.2</v>
      </c>
      <c r="G151" s="27">
        <v>453.2</v>
      </c>
      <c r="H151" s="23"/>
      <c r="I151" s="30">
        <v>9757.18</v>
      </c>
      <c r="J151" s="27">
        <v>527.82000000000005</v>
      </c>
      <c r="K151" s="30">
        <v>278591.2</v>
      </c>
      <c r="L151" s="27">
        <v>527.79999999999995</v>
      </c>
      <c r="M151" s="23"/>
      <c r="N151" s="30">
        <v>9830.9599999999991</v>
      </c>
      <c r="O151" s="27">
        <v>454.04</v>
      </c>
      <c r="P151" s="30">
        <v>206154.5</v>
      </c>
      <c r="Q151" s="27">
        <v>454</v>
      </c>
      <c r="R151" s="23"/>
      <c r="S151" s="30">
        <v>9914.23</v>
      </c>
      <c r="T151" s="27">
        <v>370.77</v>
      </c>
      <c r="U151" s="30">
        <v>137470.70000000001</v>
      </c>
      <c r="V151" s="27">
        <v>370.8</v>
      </c>
      <c r="W151" s="23"/>
      <c r="X151" s="30">
        <v>9983.73</v>
      </c>
      <c r="Y151" s="27">
        <v>301.27</v>
      </c>
      <c r="Z151" s="30">
        <v>90765.4</v>
      </c>
      <c r="AA151" s="27">
        <v>301.3</v>
      </c>
      <c r="AB151" s="23"/>
      <c r="AC151" s="30">
        <v>10044.370000000001</v>
      </c>
      <c r="AD151" s="27">
        <v>240.63</v>
      </c>
      <c r="AE151" s="30">
        <v>57905</v>
      </c>
      <c r="AF151" s="27">
        <v>240.6</v>
      </c>
      <c r="AG151" s="23"/>
      <c r="AH151" s="30">
        <v>10102.67</v>
      </c>
      <c r="AI151" s="27">
        <v>182.33</v>
      </c>
      <c r="AJ151" s="30">
        <v>33243.9</v>
      </c>
      <c r="AK151" s="27">
        <v>182.3</v>
      </c>
      <c r="AL151" s="23"/>
      <c r="AM151" s="30">
        <v>10162.49</v>
      </c>
      <c r="AN151" s="27">
        <v>122.51</v>
      </c>
      <c r="AO151" s="30">
        <v>15007.6</v>
      </c>
      <c r="AP151" s="27">
        <v>122.5</v>
      </c>
      <c r="AQ151" s="23"/>
      <c r="AR151" s="30">
        <v>10225.950000000001</v>
      </c>
      <c r="AS151" s="27">
        <v>59.05</v>
      </c>
      <c r="AT151" s="30">
        <v>3487.1</v>
      </c>
      <c r="AU151" s="27">
        <v>59.1</v>
      </c>
    </row>
    <row r="152" spans="1:47" ht="18" x14ac:dyDescent="0.2">
      <c r="A152" s="26">
        <v>45978</v>
      </c>
      <c r="B152" s="40">
        <v>14189</v>
      </c>
      <c r="C152" s="23"/>
      <c r="D152" s="30">
        <v>9877.16</v>
      </c>
      <c r="E152" s="30">
        <v>4311.84</v>
      </c>
      <c r="F152" s="30">
        <v>18591966.100000001</v>
      </c>
      <c r="G152" s="30">
        <v>4311.8</v>
      </c>
      <c r="H152" s="23"/>
      <c r="I152" s="30">
        <v>9862.75</v>
      </c>
      <c r="J152" s="30">
        <v>4326.25</v>
      </c>
      <c r="K152" s="30">
        <v>18716473.100000001</v>
      </c>
      <c r="L152" s="30">
        <v>4326.3</v>
      </c>
      <c r="M152" s="23"/>
      <c r="N152" s="30">
        <v>9967.17</v>
      </c>
      <c r="O152" s="30">
        <v>4221.83</v>
      </c>
      <c r="P152" s="30">
        <v>17823846</v>
      </c>
      <c r="Q152" s="30">
        <v>4221.8</v>
      </c>
      <c r="R152" s="23"/>
      <c r="S152" s="30">
        <v>10062.540000000001</v>
      </c>
      <c r="T152" s="30">
        <v>4126.46</v>
      </c>
      <c r="U152" s="30">
        <v>17027691</v>
      </c>
      <c r="V152" s="30">
        <v>4126.5</v>
      </c>
      <c r="W152" s="23"/>
      <c r="X152" s="30">
        <v>10134.36</v>
      </c>
      <c r="Y152" s="30">
        <v>4054.64</v>
      </c>
      <c r="Z152" s="30">
        <v>16440077</v>
      </c>
      <c r="AA152" s="30">
        <v>4054.6</v>
      </c>
      <c r="AB152" s="23"/>
      <c r="AC152" s="30">
        <v>10188.75</v>
      </c>
      <c r="AD152" s="30">
        <v>4000.25</v>
      </c>
      <c r="AE152" s="30">
        <v>16002030.699999999</v>
      </c>
      <c r="AF152" s="30">
        <v>4000.3</v>
      </c>
      <c r="AG152" s="23"/>
      <c r="AH152" s="30">
        <v>10230.299999999999</v>
      </c>
      <c r="AI152" s="30">
        <v>3958.7</v>
      </c>
      <c r="AJ152" s="30">
        <v>15671295.699999999</v>
      </c>
      <c r="AK152" s="30">
        <v>3958.7</v>
      </c>
      <c r="AL152" s="23"/>
      <c r="AM152" s="30">
        <v>10260.5</v>
      </c>
      <c r="AN152" s="30">
        <v>3928.5</v>
      </c>
      <c r="AO152" s="30">
        <v>15433120.800000001</v>
      </c>
      <c r="AP152" s="30">
        <v>3928.5</v>
      </c>
      <c r="AQ152" s="23"/>
      <c r="AR152" s="30">
        <v>10279.09</v>
      </c>
      <c r="AS152" s="30">
        <v>3909.91</v>
      </c>
      <c r="AT152" s="30">
        <v>15287358.4</v>
      </c>
      <c r="AU152" s="30">
        <v>3909.9</v>
      </c>
    </row>
    <row r="153" spans="1:47" ht="18" x14ac:dyDescent="0.2">
      <c r="A153" s="26">
        <v>46008</v>
      </c>
      <c r="B153" s="40">
        <v>18602</v>
      </c>
      <c r="C153" s="23"/>
      <c r="D153" s="30">
        <v>10308.34</v>
      </c>
      <c r="E153" s="30">
        <v>8293.66</v>
      </c>
      <c r="F153" s="30">
        <v>68784733.099999994</v>
      </c>
      <c r="G153" s="30">
        <v>8293.7000000000007</v>
      </c>
      <c r="H153" s="23"/>
      <c r="I153" s="30">
        <v>10728</v>
      </c>
      <c r="J153" s="30">
        <v>7874</v>
      </c>
      <c r="K153" s="30">
        <v>61999925.5</v>
      </c>
      <c r="L153" s="30">
        <v>7874</v>
      </c>
      <c r="M153" s="23"/>
      <c r="N153" s="30">
        <v>11233.72</v>
      </c>
      <c r="O153" s="30">
        <v>7368.28</v>
      </c>
      <c r="P153" s="30">
        <v>54291561.799999997</v>
      </c>
      <c r="Q153" s="30">
        <v>7368.3</v>
      </c>
      <c r="R153" s="23"/>
      <c r="S153" s="30">
        <v>11713.12</v>
      </c>
      <c r="T153" s="30">
        <v>6888.88</v>
      </c>
      <c r="U153" s="30">
        <v>47456631.399999999</v>
      </c>
      <c r="V153" s="30">
        <v>6888.9</v>
      </c>
      <c r="W153" s="23"/>
      <c r="X153" s="30">
        <v>12161.68</v>
      </c>
      <c r="Y153" s="30">
        <v>6440.32</v>
      </c>
      <c r="Z153" s="30">
        <v>41477699.100000001</v>
      </c>
      <c r="AA153" s="30">
        <v>6440.3</v>
      </c>
      <c r="AB153" s="23"/>
      <c r="AC153" s="30">
        <v>12588.9</v>
      </c>
      <c r="AD153" s="30">
        <v>6013.1</v>
      </c>
      <c r="AE153" s="30">
        <v>36157390</v>
      </c>
      <c r="AF153" s="30">
        <v>6013.1</v>
      </c>
      <c r="AG153" s="23"/>
      <c r="AH153" s="30">
        <v>13001.39</v>
      </c>
      <c r="AI153" s="30">
        <v>5600.61</v>
      </c>
      <c r="AJ153" s="30">
        <v>31366828.100000001</v>
      </c>
      <c r="AK153" s="30">
        <v>5600.6</v>
      </c>
      <c r="AL153" s="23"/>
      <c r="AM153" s="30">
        <v>13403.3</v>
      </c>
      <c r="AN153" s="30">
        <v>5198.7</v>
      </c>
      <c r="AO153" s="30">
        <v>27026484</v>
      </c>
      <c r="AP153" s="30">
        <v>5198.7</v>
      </c>
      <c r="AQ153" s="23"/>
      <c r="AR153" s="30">
        <v>13798.01</v>
      </c>
      <c r="AS153" s="30">
        <v>4803.99</v>
      </c>
      <c r="AT153" s="30">
        <v>23078324.899999999</v>
      </c>
      <c r="AU153" s="30">
        <v>4804</v>
      </c>
    </row>
    <row r="154" spans="1:47" ht="18" x14ac:dyDescent="0.2">
      <c r="A154" s="26">
        <v>45675</v>
      </c>
      <c r="B154" s="40">
        <v>11619</v>
      </c>
      <c r="C154" s="23"/>
      <c r="D154" s="30">
        <v>11137.71</v>
      </c>
      <c r="E154" s="27">
        <v>481.29</v>
      </c>
      <c r="F154" s="30">
        <v>231640.6</v>
      </c>
      <c r="G154" s="27">
        <v>481.3</v>
      </c>
      <c r="H154" s="23"/>
      <c r="I154" s="30">
        <v>12302.8</v>
      </c>
      <c r="J154" s="27">
        <v>-683.8</v>
      </c>
      <c r="K154" s="30">
        <v>467579</v>
      </c>
      <c r="L154" s="27">
        <v>683.8</v>
      </c>
      <c r="M154" s="23"/>
      <c r="N154" s="30">
        <v>13444.2</v>
      </c>
      <c r="O154" s="30">
        <v>-1825.2</v>
      </c>
      <c r="P154" s="30">
        <v>3331367.6</v>
      </c>
      <c r="Q154" s="30">
        <v>1825.2</v>
      </c>
      <c r="R154" s="23"/>
      <c r="S154" s="30">
        <v>14468.67</v>
      </c>
      <c r="T154" s="30">
        <v>-2849.67</v>
      </c>
      <c r="U154" s="30">
        <v>8120639.5</v>
      </c>
      <c r="V154" s="30">
        <v>2849.7</v>
      </c>
      <c r="W154" s="23"/>
      <c r="X154" s="30">
        <v>15381.84</v>
      </c>
      <c r="Y154" s="30">
        <v>-3762.84</v>
      </c>
      <c r="Z154" s="30">
        <v>14158971.5</v>
      </c>
      <c r="AA154" s="30">
        <v>3762.8</v>
      </c>
      <c r="AB154" s="23"/>
      <c r="AC154" s="30">
        <v>16196.76</v>
      </c>
      <c r="AD154" s="30">
        <v>-4577.76</v>
      </c>
      <c r="AE154" s="30">
        <v>20955881</v>
      </c>
      <c r="AF154" s="30">
        <v>4577.8</v>
      </c>
      <c r="AG154" s="23"/>
      <c r="AH154" s="30">
        <v>16921.82</v>
      </c>
      <c r="AI154" s="30">
        <v>-5302.82</v>
      </c>
      <c r="AJ154" s="30">
        <v>28119869.300000001</v>
      </c>
      <c r="AK154" s="30">
        <v>5302.8</v>
      </c>
      <c r="AL154" s="23"/>
      <c r="AM154" s="30">
        <v>17562.259999999998</v>
      </c>
      <c r="AN154" s="30">
        <v>-5943.26</v>
      </c>
      <c r="AO154" s="30">
        <v>35322338.899999999</v>
      </c>
      <c r="AP154" s="30">
        <v>5943.3</v>
      </c>
      <c r="AQ154" s="23"/>
      <c r="AR154" s="30">
        <v>18121.599999999999</v>
      </c>
      <c r="AS154" s="30">
        <v>-6502.6</v>
      </c>
      <c r="AT154" s="30">
        <v>42283819.100000001</v>
      </c>
      <c r="AU154" s="30">
        <v>6502.6</v>
      </c>
    </row>
    <row r="155" spans="1:47" ht="18" x14ac:dyDescent="0.2">
      <c r="A155" s="26">
        <v>45706</v>
      </c>
      <c r="B155" s="40">
        <v>12056</v>
      </c>
      <c r="C155" s="23"/>
      <c r="D155" s="30">
        <v>11185.84</v>
      </c>
      <c r="E155" s="27">
        <v>870.16</v>
      </c>
      <c r="F155" s="30">
        <v>757181.1</v>
      </c>
      <c r="G155" s="27">
        <v>870.2</v>
      </c>
      <c r="H155" s="23"/>
      <c r="I155" s="30">
        <v>12166.04</v>
      </c>
      <c r="J155" s="27">
        <v>-110.04</v>
      </c>
      <c r="K155" s="30">
        <v>12108.4</v>
      </c>
      <c r="L155" s="27">
        <v>110</v>
      </c>
      <c r="M155" s="23"/>
      <c r="N155" s="30">
        <v>12896.64</v>
      </c>
      <c r="O155" s="27">
        <v>-840.64</v>
      </c>
      <c r="P155" s="30">
        <v>706679.7</v>
      </c>
      <c r="Q155" s="27">
        <v>840.6</v>
      </c>
      <c r="R155" s="23"/>
      <c r="S155" s="30">
        <v>13328.8</v>
      </c>
      <c r="T155" s="30">
        <v>-1272.8</v>
      </c>
      <c r="U155" s="30">
        <v>1620030.4</v>
      </c>
      <c r="V155" s="30">
        <v>1272.8</v>
      </c>
      <c r="W155" s="23"/>
      <c r="X155" s="30">
        <v>13500.42</v>
      </c>
      <c r="Y155" s="30">
        <v>-1444.42</v>
      </c>
      <c r="Z155" s="30">
        <v>2086350.4</v>
      </c>
      <c r="AA155" s="30">
        <v>1444.4</v>
      </c>
      <c r="AB155" s="23"/>
      <c r="AC155" s="30">
        <v>13450.1</v>
      </c>
      <c r="AD155" s="30">
        <v>-1394.1</v>
      </c>
      <c r="AE155" s="30">
        <v>1943525.3</v>
      </c>
      <c r="AF155" s="30">
        <v>1394.1</v>
      </c>
      <c r="AG155" s="23"/>
      <c r="AH155" s="30">
        <v>13209.85</v>
      </c>
      <c r="AI155" s="30">
        <v>-1153.8499999999999</v>
      </c>
      <c r="AJ155" s="30">
        <v>1331358.6000000001</v>
      </c>
      <c r="AK155" s="30">
        <v>1153.8</v>
      </c>
      <c r="AL155" s="23"/>
      <c r="AM155" s="30">
        <v>12807.65</v>
      </c>
      <c r="AN155" s="27">
        <v>-751.65</v>
      </c>
      <c r="AO155" s="30">
        <v>564980.69999999995</v>
      </c>
      <c r="AP155" s="27">
        <v>751.7</v>
      </c>
      <c r="AQ155" s="23"/>
      <c r="AR155" s="30">
        <v>12269.26</v>
      </c>
      <c r="AS155" s="27">
        <v>-213.26</v>
      </c>
      <c r="AT155" s="30">
        <v>45479.9</v>
      </c>
      <c r="AU155" s="27">
        <v>213.3</v>
      </c>
    </row>
    <row r="156" spans="1:47" ht="18" x14ac:dyDescent="0.2">
      <c r="A156" s="26">
        <v>45734</v>
      </c>
      <c r="B156" s="40">
        <v>14158</v>
      </c>
      <c r="C156" s="23"/>
      <c r="D156" s="30">
        <v>11272.85</v>
      </c>
      <c r="E156" s="30">
        <v>2885.15</v>
      </c>
      <c r="F156" s="30">
        <v>8324063.7999999998</v>
      </c>
      <c r="G156" s="30">
        <v>2885.1</v>
      </c>
      <c r="H156" s="23"/>
      <c r="I156" s="30">
        <v>12144.03</v>
      </c>
      <c r="J156" s="30">
        <v>2013.97</v>
      </c>
      <c r="K156" s="30">
        <v>4056073.6</v>
      </c>
      <c r="L156" s="30">
        <v>2014</v>
      </c>
      <c r="M156" s="23"/>
      <c r="N156" s="30">
        <v>12644.45</v>
      </c>
      <c r="O156" s="30">
        <v>1513.55</v>
      </c>
      <c r="P156" s="30">
        <v>2290834.5</v>
      </c>
      <c r="Q156" s="30">
        <v>1513.6</v>
      </c>
      <c r="R156" s="23"/>
      <c r="S156" s="30">
        <v>12819.68</v>
      </c>
      <c r="T156" s="30">
        <v>1338.32</v>
      </c>
      <c r="U156" s="30">
        <v>1791093.8</v>
      </c>
      <c r="V156" s="30">
        <v>1338.3</v>
      </c>
      <c r="W156" s="23"/>
      <c r="X156" s="30">
        <v>12778.21</v>
      </c>
      <c r="Y156" s="30">
        <v>1379.79</v>
      </c>
      <c r="Z156" s="30">
        <v>1903819.8</v>
      </c>
      <c r="AA156" s="30">
        <v>1379.8</v>
      </c>
      <c r="AB156" s="23"/>
      <c r="AC156" s="30">
        <v>12613.64</v>
      </c>
      <c r="AD156" s="30">
        <v>1544.36</v>
      </c>
      <c r="AE156" s="30">
        <v>2385043.2000000002</v>
      </c>
      <c r="AF156" s="30">
        <v>1544.4</v>
      </c>
      <c r="AG156" s="23"/>
      <c r="AH156" s="30">
        <v>12402.15</v>
      </c>
      <c r="AI156" s="30">
        <v>1755.85</v>
      </c>
      <c r="AJ156" s="30">
        <v>3082996.8</v>
      </c>
      <c r="AK156" s="30">
        <v>1755.8</v>
      </c>
      <c r="AL156" s="23"/>
      <c r="AM156" s="30">
        <v>12206.33</v>
      </c>
      <c r="AN156" s="30">
        <v>1951.67</v>
      </c>
      <c r="AO156" s="30">
        <v>3809014.2</v>
      </c>
      <c r="AP156" s="30">
        <v>1951.7</v>
      </c>
      <c r="AQ156" s="23"/>
      <c r="AR156" s="30">
        <v>12077.33</v>
      </c>
      <c r="AS156" s="30">
        <v>2080.67</v>
      </c>
      <c r="AT156" s="30">
        <v>4329204.3</v>
      </c>
      <c r="AU156" s="30">
        <v>2080.6999999999998</v>
      </c>
    </row>
    <row r="157" spans="1:47" ht="18" x14ac:dyDescent="0.2">
      <c r="A157" s="26">
        <v>45765</v>
      </c>
      <c r="B157" s="40">
        <v>11891</v>
      </c>
      <c r="C157" s="23"/>
      <c r="D157" s="30">
        <v>11561.37</v>
      </c>
      <c r="E157" s="27">
        <v>329.63</v>
      </c>
      <c r="F157" s="30">
        <v>108656.5</v>
      </c>
      <c r="G157" s="27">
        <v>329.6</v>
      </c>
      <c r="H157" s="23"/>
      <c r="I157" s="30">
        <v>12546.82</v>
      </c>
      <c r="J157" s="27">
        <v>-655.82</v>
      </c>
      <c r="K157" s="30">
        <v>430105.5</v>
      </c>
      <c r="L157" s="27">
        <v>655.8</v>
      </c>
      <c r="M157" s="23"/>
      <c r="N157" s="30">
        <v>13098.51</v>
      </c>
      <c r="O157" s="30">
        <v>-1207.51</v>
      </c>
      <c r="P157" s="30">
        <v>1458091.9</v>
      </c>
      <c r="Q157" s="30">
        <v>1207.5</v>
      </c>
      <c r="R157" s="23"/>
      <c r="S157" s="30">
        <v>13355.01</v>
      </c>
      <c r="T157" s="30">
        <v>-1464.01</v>
      </c>
      <c r="U157" s="30">
        <v>2143323.7999999998</v>
      </c>
      <c r="V157" s="30">
        <v>1464</v>
      </c>
      <c r="W157" s="23"/>
      <c r="X157" s="30">
        <v>13468.11</v>
      </c>
      <c r="Y157" s="30">
        <v>-1577.11</v>
      </c>
      <c r="Z157" s="30">
        <v>2487260.5</v>
      </c>
      <c r="AA157" s="30">
        <v>1577.1</v>
      </c>
      <c r="AB157" s="23"/>
      <c r="AC157" s="30">
        <v>13540.26</v>
      </c>
      <c r="AD157" s="30">
        <v>-1649.26</v>
      </c>
      <c r="AE157" s="30">
        <v>2720047.3</v>
      </c>
      <c r="AF157" s="30">
        <v>1649.3</v>
      </c>
      <c r="AG157" s="23"/>
      <c r="AH157" s="30">
        <v>13631.25</v>
      </c>
      <c r="AI157" s="30">
        <v>-1740.25</v>
      </c>
      <c r="AJ157" s="30">
        <v>3028456.4</v>
      </c>
      <c r="AK157" s="30">
        <v>1740.2</v>
      </c>
      <c r="AL157" s="23"/>
      <c r="AM157" s="30">
        <v>13767.67</v>
      </c>
      <c r="AN157" s="30">
        <v>-1876.67</v>
      </c>
      <c r="AO157" s="30">
        <v>3521875.6</v>
      </c>
      <c r="AP157" s="30">
        <v>1876.7</v>
      </c>
      <c r="AQ157" s="23"/>
      <c r="AR157" s="30">
        <v>13949.93</v>
      </c>
      <c r="AS157" s="30">
        <v>-2058.9299999999998</v>
      </c>
      <c r="AT157" s="30">
        <v>4239203.5</v>
      </c>
      <c r="AU157" s="30">
        <v>2058.9</v>
      </c>
    </row>
    <row r="158" spans="1:47" ht="18" x14ac:dyDescent="0.2">
      <c r="A158" s="26">
        <v>45795</v>
      </c>
      <c r="B158" s="40">
        <v>13573</v>
      </c>
      <c r="C158" s="23"/>
      <c r="D158" s="30">
        <v>11594.33</v>
      </c>
      <c r="E158" s="30">
        <v>1978.67</v>
      </c>
      <c r="F158" s="30">
        <v>3915126.1</v>
      </c>
      <c r="G158" s="30">
        <v>1978.7</v>
      </c>
      <c r="H158" s="23"/>
      <c r="I158" s="30">
        <v>12415.66</v>
      </c>
      <c r="J158" s="30">
        <v>1157.3399999999999</v>
      </c>
      <c r="K158" s="30">
        <v>1339437.2</v>
      </c>
      <c r="L158" s="30">
        <v>1157.3</v>
      </c>
      <c r="M158" s="23"/>
      <c r="N158" s="30">
        <v>12736.26</v>
      </c>
      <c r="O158" s="27">
        <v>836.74</v>
      </c>
      <c r="P158" s="30">
        <v>700133.2</v>
      </c>
      <c r="Q158" s="27">
        <v>836.7</v>
      </c>
      <c r="R158" s="23"/>
      <c r="S158" s="30">
        <v>12769.41</v>
      </c>
      <c r="T158" s="27">
        <v>803.59</v>
      </c>
      <c r="U158" s="30">
        <v>645763.80000000005</v>
      </c>
      <c r="V158" s="27">
        <v>803.6</v>
      </c>
      <c r="W158" s="23"/>
      <c r="X158" s="30">
        <v>12679.55</v>
      </c>
      <c r="Y158" s="27">
        <v>893.45</v>
      </c>
      <c r="Z158" s="30">
        <v>798248.3</v>
      </c>
      <c r="AA158" s="27">
        <v>893.4</v>
      </c>
      <c r="AB158" s="23"/>
      <c r="AC158" s="30">
        <v>12550.7</v>
      </c>
      <c r="AD158" s="30">
        <v>1022.3</v>
      </c>
      <c r="AE158" s="30">
        <v>1045091.9</v>
      </c>
      <c r="AF158" s="30">
        <v>1022.3</v>
      </c>
      <c r="AG158" s="23"/>
      <c r="AH158" s="30">
        <v>12413.07</v>
      </c>
      <c r="AI158" s="30">
        <v>1159.93</v>
      </c>
      <c r="AJ158" s="30">
        <v>1345428.7</v>
      </c>
      <c r="AK158" s="30">
        <v>1159.9000000000001</v>
      </c>
      <c r="AL158" s="23"/>
      <c r="AM158" s="30">
        <v>12266.33</v>
      </c>
      <c r="AN158" s="30">
        <v>1306.67</v>
      </c>
      <c r="AO158" s="30">
        <v>1707378.1</v>
      </c>
      <c r="AP158" s="30">
        <v>1306.7</v>
      </c>
      <c r="AQ158" s="23"/>
      <c r="AR158" s="30">
        <v>12096.89</v>
      </c>
      <c r="AS158" s="30">
        <v>1476.11</v>
      </c>
      <c r="AT158" s="30">
        <v>2178891.1</v>
      </c>
      <c r="AU158" s="30">
        <v>1476.1</v>
      </c>
    </row>
    <row r="159" spans="1:47" ht="18" x14ac:dyDescent="0.2">
      <c r="A159" s="26">
        <v>45826</v>
      </c>
      <c r="B159" s="40">
        <v>12782</v>
      </c>
      <c r="C159" s="23"/>
      <c r="D159" s="30">
        <v>11792.2</v>
      </c>
      <c r="E159" s="27">
        <v>989.8</v>
      </c>
      <c r="F159" s="30">
        <v>979706</v>
      </c>
      <c r="G159" s="27">
        <v>989.8</v>
      </c>
      <c r="H159" s="23"/>
      <c r="I159" s="30">
        <v>12647.13</v>
      </c>
      <c r="J159" s="27">
        <v>134.87</v>
      </c>
      <c r="K159" s="30">
        <v>18190.599999999999</v>
      </c>
      <c r="L159" s="27">
        <v>134.9</v>
      </c>
      <c r="M159" s="23"/>
      <c r="N159" s="30">
        <v>12987.28</v>
      </c>
      <c r="O159" s="27">
        <v>-205.28</v>
      </c>
      <c r="P159" s="30">
        <v>42140.800000000003</v>
      </c>
      <c r="Q159" s="27">
        <v>205.3</v>
      </c>
      <c r="R159" s="23"/>
      <c r="S159" s="30">
        <v>13090.84</v>
      </c>
      <c r="T159" s="27">
        <v>-308.83999999999997</v>
      </c>
      <c r="U159" s="30">
        <v>95384.3</v>
      </c>
      <c r="V159" s="27">
        <v>308.8</v>
      </c>
      <c r="W159" s="23"/>
      <c r="X159" s="30">
        <v>13126.28</v>
      </c>
      <c r="Y159" s="27">
        <v>-344.28</v>
      </c>
      <c r="Z159" s="30">
        <v>118526.2</v>
      </c>
      <c r="AA159" s="27">
        <v>344.3</v>
      </c>
      <c r="AB159" s="23"/>
      <c r="AC159" s="30">
        <v>13164.08</v>
      </c>
      <c r="AD159" s="27">
        <v>-382.08</v>
      </c>
      <c r="AE159" s="30">
        <v>145985.9</v>
      </c>
      <c r="AF159" s="27">
        <v>382.1</v>
      </c>
      <c r="AG159" s="23"/>
      <c r="AH159" s="30">
        <v>13225.02</v>
      </c>
      <c r="AI159" s="27">
        <v>-443.02</v>
      </c>
      <c r="AJ159" s="30">
        <v>196268.6</v>
      </c>
      <c r="AK159" s="27">
        <v>443</v>
      </c>
      <c r="AL159" s="23"/>
      <c r="AM159" s="30">
        <v>13311.67</v>
      </c>
      <c r="AN159" s="27">
        <v>-529.66999999999996</v>
      </c>
      <c r="AO159" s="30">
        <v>280546.8</v>
      </c>
      <c r="AP159" s="27">
        <v>529.70000000000005</v>
      </c>
      <c r="AQ159" s="23"/>
      <c r="AR159" s="30">
        <v>13425.39</v>
      </c>
      <c r="AS159" s="27">
        <v>-643.39</v>
      </c>
      <c r="AT159" s="30">
        <v>413949.8</v>
      </c>
      <c r="AU159" s="27">
        <v>643.4</v>
      </c>
    </row>
    <row r="160" spans="1:47" ht="18" x14ac:dyDescent="0.2">
      <c r="A160" s="26">
        <v>45856</v>
      </c>
      <c r="B160" s="40">
        <v>13026</v>
      </c>
      <c r="C160" s="23"/>
      <c r="D160" s="30">
        <v>11891.18</v>
      </c>
      <c r="E160" s="30">
        <v>1134.82</v>
      </c>
      <c r="F160" s="30">
        <v>1287818.3999999999</v>
      </c>
      <c r="G160" s="30">
        <v>1134.8</v>
      </c>
      <c r="H160" s="23"/>
      <c r="I160" s="30">
        <v>12674.1</v>
      </c>
      <c r="J160" s="27">
        <v>351.9</v>
      </c>
      <c r="K160" s="30">
        <v>123832.2</v>
      </c>
      <c r="L160" s="27">
        <v>351.9</v>
      </c>
      <c r="M160" s="23"/>
      <c r="N160" s="30">
        <v>12925.7</v>
      </c>
      <c r="O160" s="27">
        <v>100.3</v>
      </c>
      <c r="P160" s="30">
        <v>10060.6</v>
      </c>
      <c r="Q160" s="27">
        <v>100.3</v>
      </c>
      <c r="R160" s="23"/>
      <c r="S160" s="30">
        <v>12967.31</v>
      </c>
      <c r="T160" s="27">
        <v>58.69</v>
      </c>
      <c r="U160" s="30">
        <v>3445</v>
      </c>
      <c r="V160" s="27">
        <v>58.7</v>
      </c>
      <c r="W160" s="23"/>
      <c r="X160" s="30">
        <v>12954.14</v>
      </c>
      <c r="Y160" s="27">
        <v>71.86</v>
      </c>
      <c r="Z160" s="30">
        <v>5164.1000000000004</v>
      </c>
      <c r="AA160" s="27">
        <v>71.900000000000006</v>
      </c>
      <c r="AB160" s="23"/>
      <c r="AC160" s="30">
        <v>12934.83</v>
      </c>
      <c r="AD160" s="27">
        <v>91.17</v>
      </c>
      <c r="AE160" s="30">
        <v>8311.5</v>
      </c>
      <c r="AF160" s="27">
        <v>91.2</v>
      </c>
      <c r="AG160" s="23"/>
      <c r="AH160" s="30">
        <v>12914.91</v>
      </c>
      <c r="AI160" s="27">
        <v>111.09</v>
      </c>
      <c r="AJ160" s="30">
        <v>12341.7</v>
      </c>
      <c r="AK160" s="27">
        <v>111.1</v>
      </c>
      <c r="AL160" s="23"/>
      <c r="AM160" s="30">
        <v>12887.93</v>
      </c>
      <c r="AN160" s="27">
        <v>138.07</v>
      </c>
      <c r="AO160" s="30">
        <v>19062.400000000001</v>
      </c>
      <c r="AP160" s="27">
        <v>138.1</v>
      </c>
      <c r="AQ160" s="23"/>
      <c r="AR160" s="30">
        <v>12846.34</v>
      </c>
      <c r="AS160" s="27">
        <v>179.66</v>
      </c>
      <c r="AT160" s="30">
        <v>32278.1</v>
      </c>
      <c r="AU160" s="27">
        <v>179.7</v>
      </c>
    </row>
    <row r="161" spans="1:47" ht="18" x14ac:dyDescent="0.2">
      <c r="A161" s="26">
        <v>45887</v>
      </c>
      <c r="B161" s="40">
        <v>15332</v>
      </c>
      <c r="C161" s="23"/>
      <c r="D161" s="30">
        <v>12004.66</v>
      </c>
      <c r="E161" s="30">
        <v>3327.34</v>
      </c>
      <c r="F161" s="30">
        <v>11071183.4</v>
      </c>
      <c r="G161" s="30">
        <v>3327.3</v>
      </c>
      <c r="H161" s="23"/>
      <c r="I161" s="30">
        <v>12744.48</v>
      </c>
      <c r="J161" s="30">
        <v>2587.52</v>
      </c>
      <c r="K161" s="30">
        <v>6695251.2999999998</v>
      </c>
      <c r="L161" s="30">
        <v>2587.5</v>
      </c>
      <c r="M161" s="23"/>
      <c r="N161" s="30">
        <v>12955.79</v>
      </c>
      <c r="O161" s="30">
        <v>2376.21</v>
      </c>
      <c r="P161" s="30">
        <v>5646382</v>
      </c>
      <c r="Q161" s="30">
        <v>2376.1999999999998</v>
      </c>
      <c r="R161" s="23"/>
      <c r="S161" s="30">
        <v>12990.78</v>
      </c>
      <c r="T161" s="30">
        <v>2341.2199999999998</v>
      </c>
      <c r="U161" s="30">
        <v>5481294.0999999996</v>
      </c>
      <c r="V161" s="30">
        <v>2341.1999999999998</v>
      </c>
      <c r="W161" s="23"/>
      <c r="X161" s="30">
        <v>12990.07</v>
      </c>
      <c r="Y161" s="30">
        <v>2341.9299999999998</v>
      </c>
      <c r="Z161" s="30">
        <v>5484640.5</v>
      </c>
      <c r="AA161" s="30">
        <v>2341.9</v>
      </c>
      <c r="AB161" s="23"/>
      <c r="AC161" s="30">
        <v>12989.53</v>
      </c>
      <c r="AD161" s="30">
        <v>2342.4699999999998</v>
      </c>
      <c r="AE161" s="30">
        <v>5487151.7999999998</v>
      </c>
      <c r="AF161" s="30">
        <v>2342.5</v>
      </c>
      <c r="AG161" s="23"/>
      <c r="AH161" s="30">
        <v>12992.67</v>
      </c>
      <c r="AI161" s="30">
        <v>2339.33</v>
      </c>
      <c r="AJ161" s="30">
        <v>5472455.5</v>
      </c>
      <c r="AK161" s="30">
        <v>2339.3000000000002</v>
      </c>
      <c r="AL161" s="23"/>
      <c r="AM161" s="30">
        <v>12998.39</v>
      </c>
      <c r="AN161" s="30">
        <v>2333.61</v>
      </c>
      <c r="AO161" s="30">
        <v>5445751.2000000002</v>
      </c>
      <c r="AP161" s="30">
        <v>2333.6</v>
      </c>
      <c r="AQ161" s="23"/>
      <c r="AR161" s="30">
        <v>13008.03</v>
      </c>
      <c r="AS161" s="30">
        <v>2323.9699999999998</v>
      </c>
      <c r="AT161" s="30">
        <v>5400818.5</v>
      </c>
      <c r="AU161" s="30">
        <v>2324</v>
      </c>
    </row>
    <row r="162" spans="1:47" ht="18" x14ac:dyDescent="0.2">
      <c r="A162" s="26">
        <v>45918</v>
      </c>
      <c r="B162" s="40">
        <v>15464</v>
      </c>
      <c r="C162" s="23"/>
      <c r="D162" s="30">
        <v>12337.4</v>
      </c>
      <c r="E162" s="30">
        <v>3126.6</v>
      </c>
      <c r="F162" s="30">
        <v>9775658.3000000007</v>
      </c>
      <c r="G162" s="30">
        <v>3126.6</v>
      </c>
      <c r="H162" s="23"/>
      <c r="I162" s="30">
        <v>13261.99</v>
      </c>
      <c r="J162" s="30">
        <v>2202.0100000000002</v>
      </c>
      <c r="K162" s="30">
        <v>4848868.7</v>
      </c>
      <c r="L162" s="30">
        <v>2202</v>
      </c>
      <c r="M162" s="23"/>
      <c r="N162" s="30">
        <v>13668.65</v>
      </c>
      <c r="O162" s="30">
        <v>1795.35</v>
      </c>
      <c r="P162" s="30">
        <v>3223275.1</v>
      </c>
      <c r="Q162" s="30">
        <v>1795.3</v>
      </c>
      <c r="R162" s="23"/>
      <c r="S162" s="30">
        <v>13927.27</v>
      </c>
      <c r="T162" s="30">
        <v>1536.73</v>
      </c>
      <c r="U162" s="30">
        <v>2361538.5</v>
      </c>
      <c r="V162" s="30">
        <v>1536.7</v>
      </c>
      <c r="W162" s="23"/>
      <c r="X162" s="30">
        <v>14161.03</v>
      </c>
      <c r="Y162" s="30">
        <v>1302.97</v>
      </c>
      <c r="Z162" s="30">
        <v>1697719</v>
      </c>
      <c r="AA162" s="30">
        <v>1303</v>
      </c>
      <c r="AB162" s="23"/>
      <c r="AC162" s="30">
        <v>14395.01</v>
      </c>
      <c r="AD162" s="30">
        <v>1068.99</v>
      </c>
      <c r="AE162" s="30">
        <v>1142732.8</v>
      </c>
      <c r="AF162" s="30">
        <v>1069</v>
      </c>
      <c r="AG162" s="23"/>
      <c r="AH162" s="30">
        <v>14630.2</v>
      </c>
      <c r="AI162" s="27">
        <v>833.8</v>
      </c>
      <c r="AJ162" s="30">
        <v>695219.8</v>
      </c>
      <c r="AK162" s="27">
        <v>833.8</v>
      </c>
      <c r="AL162" s="23"/>
      <c r="AM162" s="30">
        <v>14865.28</v>
      </c>
      <c r="AN162" s="27">
        <v>598.72</v>
      </c>
      <c r="AO162" s="30">
        <v>358468.8</v>
      </c>
      <c r="AP162" s="27">
        <v>598.70000000000005</v>
      </c>
      <c r="AQ162" s="23"/>
      <c r="AR162" s="30">
        <v>15099.6</v>
      </c>
      <c r="AS162" s="27">
        <v>364.4</v>
      </c>
      <c r="AT162" s="30">
        <v>132784.9</v>
      </c>
      <c r="AU162" s="27">
        <v>364.4</v>
      </c>
    </row>
    <row r="163" spans="1:47" ht="18" x14ac:dyDescent="0.2">
      <c r="A163" s="26">
        <v>45948</v>
      </c>
      <c r="B163" s="40">
        <v>13479</v>
      </c>
      <c r="C163" s="23"/>
      <c r="D163" s="30">
        <v>12650.06</v>
      </c>
      <c r="E163" s="27">
        <v>828.94</v>
      </c>
      <c r="F163" s="30">
        <v>687148.8</v>
      </c>
      <c r="G163" s="27">
        <v>828.9</v>
      </c>
      <c r="H163" s="23"/>
      <c r="I163" s="30">
        <v>13702.39</v>
      </c>
      <c r="J163" s="27">
        <v>-223.39</v>
      </c>
      <c r="K163" s="30">
        <v>49902.3</v>
      </c>
      <c r="L163" s="27">
        <v>223.4</v>
      </c>
      <c r="M163" s="23"/>
      <c r="N163" s="30">
        <v>14207.26</v>
      </c>
      <c r="O163" s="27">
        <v>-728.26</v>
      </c>
      <c r="P163" s="30">
        <v>530357.19999999995</v>
      </c>
      <c r="Q163" s="27">
        <v>728.3</v>
      </c>
      <c r="R163" s="23"/>
      <c r="S163" s="30">
        <v>14541.96</v>
      </c>
      <c r="T163" s="30">
        <v>-1062.96</v>
      </c>
      <c r="U163" s="30">
        <v>1129888.3999999999</v>
      </c>
      <c r="V163" s="30">
        <v>1063</v>
      </c>
      <c r="W163" s="23"/>
      <c r="X163" s="30">
        <v>14812.52</v>
      </c>
      <c r="Y163" s="30">
        <v>-1333.52</v>
      </c>
      <c r="Z163" s="30">
        <v>1778268.3</v>
      </c>
      <c r="AA163" s="30">
        <v>1333.5</v>
      </c>
      <c r="AB163" s="23"/>
      <c r="AC163" s="30">
        <v>15036.41</v>
      </c>
      <c r="AD163" s="30">
        <v>-1557.41</v>
      </c>
      <c r="AE163" s="30">
        <v>2425511.2000000002</v>
      </c>
      <c r="AF163" s="30">
        <v>1557.4</v>
      </c>
      <c r="AG163" s="23"/>
      <c r="AH163" s="30">
        <v>15213.86</v>
      </c>
      <c r="AI163" s="30">
        <v>-1734.86</v>
      </c>
      <c r="AJ163" s="30">
        <v>3009740.9</v>
      </c>
      <c r="AK163" s="30">
        <v>1734.9</v>
      </c>
      <c r="AL163" s="23"/>
      <c r="AM163" s="30">
        <v>15344.26</v>
      </c>
      <c r="AN163" s="30">
        <v>-1865.26</v>
      </c>
      <c r="AO163" s="30">
        <v>3479178</v>
      </c>
      <c r="AP163" s="30">
        <v>1865.3</v>
      </c>
      <c r="AQ163" s="23"/>
      <c r="AR163" s="30">
        <v>15427.56</v>
      </c>
      <c r="AS163" s="30">
        <v>-1948.56</v>
      </c>
      <c r="AT163" s="30">
        <v>3796887.4</v>
      </c>
      <c r="AU163" s="30">
        <v>1948.6</v>
      </c>
    </row>
    <row r="164" spans="1:47" ht="18" x14ac:dyDescent="0.2">
      <c r="A164" s="26">
        <v>45979</v>
      </c>
      <c r="B164" s="40">
        <v>10537</v>
      </c>
      <c r="C164" s="23"/>
      <c r="D164" s="30">
        <v>12732.95</v>
      </c>
      <c r="E164" s="30">
        <v>-2195.9499999999998</v>
      </c>
      <c r="F164" s="30">
        <v>4822196.5</v>
      </c>
      <c r="G164" s="30">
        <v>2196</v>
      </c>
      <c r="H164" s="23"/>
      <c r="I164" s="30">
        <v>13657.71</v>
      </c>
      <c r="J164" s="30">
        <v>-3120.71</v>
      </c>
      <c r="K164" s="30">
        <v>9738834.5999999996</v>
      </c>
      <c r="L164" s="30">
        <v>3120.7</v>
      </c>
      <c r="M164" s="23"/>
      <c r="N164" s="30">
        <v>13988.78</v>
      </c>
      <c r="O164" s="30">
        <v>-3451.78</v>
      </c>
      <c r="P164" s="30">
        <v>11914780.9</v>
      </c>
      <c r="Q164" s="30">
        <v>3451.8</v>
      </c>
      <c r="R164" s="23"/>
      <c r="S164" s="30">
        <v>14116.78</v>
      </c>
      <c r="T164" s="30">
        <v>-3579.78</v>
      </c>
      <c r="U164" s="30">
        <v>12814805.300000001</v>
      </c>
      <c r="V164" s="30">
        <v>3579.8</v>
      </c>
      <c r="W164" s="23"/>
      <c r="X164" s="30">
        <v>14145.76</v>
      </c>
      <c r="Y164" s="30">
        <v>-3608.76</v>
      </c>
      <c r="Z164" s="30">
        <v>13023138.9</v>
      </c>
      <c r="AA164" s="30">
        <v>3608.8</v>
      </c>
      <c r="AB164" s="23"/>
      <c r="AC164" s="30">
        <v>14101.96</v>
      </c>
      <c r="AD164" s="30">
        <v>-3564.96</v>
      </c>
      <c r="AE164" s="30">
        <v>12708954.800000001</v>
      </c>
      <c r="AF164" s="30">
        <v>3565</v>
      </c>
      <c r="AG164" s="23"/>
      <c r="AH164" s="30">
        <v>13999.46</v>
      </c>
      <c r="AI164" s="30">
        <v>-3462.46</v>
      </c>
      <c r="AJ164" s="30">
        <v>11988616.4</v>
      </c>
      <c r="AK164" s="30">
        <v>3462.5</v>
      </c>
      <c r="AL164" s="23"/>
      <c r="AM164" s="30">
        <v>13852.05</v>
      </c>
      <c r="AN164" s="30">
        <v>-3315.05</v>
      </c>
      <c r="AO164" s="30">
        <v>10989563.800000001</v>
      </c>
      <c r="AP164" s="30">
        <v>3315.1</v>
      </c>
      <c r="AQ164" s="23"/>
      <c r="AR164" s="30">
        <v>13673.86</v>
      </c>
      <c r="AS164" s="30">
        <v>-3136.86</v>
      </c>
      <c r="AT164" s="30">
        <v>9839865.8000000007</v>
      </c>
      <c r="AU164" s="30">
        <v>3136.9</v>
      </c>
    </row>
    <row r="165" spans="1:47" ht="18" x14ac:dyDescent="0.2">
      <c r="A165" s="26">
        <v>46009</v>
      </c>
      <c r="B165" s="40">
        <v>15698</v>
      </c>
      <c r="C165" s="23"/>
      <c r="D165" s="30">
        <v>12513.36</v>
      </c>
      <c r="E165" s="30">
        <v>3184.64</v>
      </c>
      <c r="F165" s="30">
        <v>10141963.6</v>
      </c>
      <c r="G165" s="30">
        <v>3184.6</v>
      </c>
      <c r="H165" s="23"/>
      <c r="I165" s="30">
        <v>13033.57</v>
      </c>
      <c r="J165" s="30">
        <v>2664.43</v>
      </c>
      <c r="K165" s="30">
        <v>7099195.2999999998</v>
      </c>
      <c r="L165" s="30">
        <v>2664.4</v>
      </c>
      <c r="M165" s="23"/>
      <c r="N165" s="30">
        <v>12953.25</v>
      </c>
      <c r="O165" s="30">
        <v>2744.75</v>
      </c>
      <c r="P165" s="30">
        <v>7533676.9000000004</v>
      </c>
      <c r="Q165" s="30">
        <v>2744.8</v>
      </c>
      <c r="R165" s="23"/>
      <c r="S165" s="30">
        <v>12684.87</v>
      </c>
      <c r="T165" s="30">
        <v>3013.13</v>
      </c>
      <c r="U165" s="30">
        <v>9078974.3000000007</v>
      </c>
      <c r="V165" s="30">
        <v>3013.1</v>
      </c>
      <c r="W165" s="23"/>
      <c r="X165" s="30">
        <v>12341.38</v>
      </c>
      <c r="Y165" s="30">
        <v>3356.62</v>
      </c>
      <c r="Z165" s="30">
        <v>11266902.4</v>
      </c>
      <c r="AA165" s="30">
        <v>3356.6</v>
      </c>
      <c r="AB165" s="23"/>
      <c r="AC165" s="30">
        <v>11962.98</v>
      </c>
      <c r="AD165" s="30">
        <v>3735.02</v>
      </c>
      <c r="AE165" s="30">
        <v>13950338.199999999</v>
      </c>
      <c r="AF165" s="30">
        <v>3735</v>
      </c>
      <c r="AG165" s="23"/>
      <c r="AH165" s="30">
        <v>11575.74</v>
      </c>
      <c r="AI165" s="30">
        <v>4122.26</v>
      </c>
      <c r="AJ165" s="30">
        <v>16993048.600000001</v>
      </c>
      <c r="AK165" s="30">
        <v>4122.3</v>
      </c>
      <c r="AL165" s="23"/>
      <c r="AM165" s="30">
        <v>11200.01</v>
      </c>
      <c r="AN165" s="30">
        <v>4497.99</v>
      </c>
      <c r="AO165" s="30">
        <v>20231912.100000001</v>
      </c>
      <c r="AP165" s="30">
        <v>4498</v>
      </c>
      <c r="AQ165" s="23"/>
      <c r="AR165" s="30">
        <v>10850.69</v>
      </c>
      <c r="AS165" s="30">
        <v>4847.3100000000004</v>
      </c>
      <c r="AT165" s="30">
        <v>23496456.899999999</v>
      </c>
      <c r="AU165" s="30">
        <v>4847.3</v>
      </c>
    </row>
    <row r="166" spans="1:47" ht="18" x14ac:dyDescent="0.2">
      <c r="A166" s="26">
        <v>45676</v>
      </c>
      <c r="B166" s="40">
        <v>8556</v>
      </c>
      <c r="C166" s="23"/>
      <c r="D166" s="30">
        <v>12831.82</v>
      </c>
      <c r="E166" s="30">
        <v>-4275.82</v>
      </c>
      <c r="F166" s="30">
        <v>18282632.600000001</v>
      </c>
      <c r="G166" s="30">
        <v>4275.8</v>
      </c>
      <c r="H166" s="23"/>
      <c r="I166" s="30">
        <v>13566.45</v>
      </c>
      <c r="J166" s="30">
        <v>-5010.45</v>
      </c>
      <c r="K166" s="30">
        <v>25104657.100000001</v>
      </c>
      <c r="L166" s="30">
        <v>5010.5</v>
      </c>
      <c r="M166" s="23"/>
      <c r="N166" s="30">
        <v>13776.67</v>
      </c>
      <c r="O166" s="30">
        <v>-5220.67</v>
      </c>
      <c r="P166" s="30">
        <v>27255415.100000001</v>
      </c>
      <c r="Q166" s="30">
        <v>5220.7</v>
      </c>
      <c r="R166" s="23"/>
      <c r="S166" s="30">
        <v>13890.12</v>
      </c>
      <c r="T166" s="30">
        <v>-5334.12</v>
      </c>
      <c r="U166" s="30">
        <v>28452834.199999999</v>
      </c>
      <c r="V166" s="30">
        <v>5334.1</v>
      </c>
      <c r="W166" s="23"/>
      <c r="X166" s="30">
        <v>14019.69</v>
      </c>
      <c r="Y166" s="30">
        <v>-5463.69</v>
      </c>
      <c r="Z166" s="30">
        <v>29851904.699999999</v>
      </c>
      <c r="AA166" s="30">
        <v>5463.7</v>
      </c>
      <c r="AB166" s="23"/>
      <c r="AC166" s="30">
        <v>14203.99</v>
      </c>
      <c r="AD166" s="30">
        <v>-5647.99</v>
      </c>
      <c r="AE166" s="30">
        <v>31899835.5</v>
      </c>
      <c r="AF166" s="30">
        <v>5648</v>
      </c>
      <c r="AG166" s="23"/>
      <c r="AH166" s="30">
        <v>14461.32</v>
      </c>
      <c r="AI166" s="30">
        <v>-5905.32</v>
      </c>
      <c r="AJ166" s="30">
        <v>34872818.899999999</v>
      </c>
      <c r="AK166" s="30">
        <v>5905.3</v>
      </c>
      <c r="AL166" s="23"/>
      <c r="AM166" s="30">
        <v>14798.4</v>
      </c>
      <c r="AN166" s="30">
        <v>-6242.4</v>
      </c>
      <c r="AO166" s="30">
        <v>38967583.299999997</v>
      </c>
      <c r="AP166" s="30">
        <v>6242.4</v>
      </c>
      <c r="AQ166" s="23"/>
      <c r="AR166" s="30">
        <v>15213.27</v>
      </c>
      <c r="AS166" s="30">
        <v>-6657.27</v>
      </c>
      <c r="AT166" s="30">
        <v>44319224.700000003</v>
      </c>
      <c r="AU166" s="30">
        <v>6657.3</v>
      </c>
    </row>
    <row r="167" spans="1:47" ht="18" x14ac:dyDescent="0.2">
      <c r="A167" s="26">
        <v>45707</v>
      </c>
      <c r="B167" s="40">
        <v>10990</v>
      </c>
      <c r="C167" s="23"/>
      <c r="D167" s="30">
        <v>12404.24</v>
      </c>
      <c r="E167" s="30">
        <v>-1414.24</v>
      </c>
      <c r="F167" s="30">
        <v>2000067.9</v>
      </c>
      <c r="G167" s="30">
        <v>1414.2</v>
      </c>
      <c r="H167" s="23"/>
      <c r="I167" s="30">
        <v>12564.36</v>
      </c>
      <c r="J167" s="30">
        <v>-1574.36</v>
      </c>
      <c r="K167" s="30">
        <v>2478621.5</v>
      </c>
      <c r="L167" s="30">
        <v>1574.4</v>
      </c>
      <c r="M167" s="23"/>
      <c r="N167" s="30">
        <v>12210.47</v>
      </c>
      <c r="O167" s="30">
        <v>-1220.47</v>
      </c>
      <c r="P167" s="30">
        <v>1489547.8</v>
      </c>
      <c r="Q167" s="30">
        <v>1220.5</v>
      </c>
      <c r="R167" s="23"/>
      <c r="S167" s="30">
        <v>11756.47</v>
      </c>
      <c r="T167" s="27">
        <v>-766.47</v>
      </c>
      <c r="U167" s="30">
        <v>587479.19999999995</v>
      </c>
      <c r="V167" s="27">
        <v>766.5</v>
      </c>
      <c r="W167" s="23"/>
      <c r="X167" s="30">
        <v>11287.84</v>
      </c>
      <c r="Y167" s="27">
        <v>-297.83999999999997</v>
      </c>
      <c r="Z167" s="30">
        <v>88711.5</v>
      </c>
      <c r="AA167" s="27">
        <v>297.8</v>
      </c>
      <c r="AB167" s="23"/>
      <c r="AC167" s="30">
        <v>10815.2</v>
      </c>
      <c r="AD167" s="27">
        <v>174.8</v>
      </c>
      <c r="AE167" s="30">
        <v>30555.9</v>
      </c>
      <c r="AF167" s="27">
        <v>174.8</v>
      </c>
      <c r="AG167" s="23"/>
      <c r="AH167" s="30">
        <v>10327.6</v>
      </c>
      <c r="AI167" s="27">
        <v>662.4</v>
      </c>
      <c r="AJ167" s="30">
        <v>438778.6</v>
      </c>
      <c r="AK167" s="27">
        <v>662.4</v>
      </c>
      <c r="AL167" s="23"/>
      <c r="AM167" s="30">
        <v>9804.48</v>
      </c>
      <c r="AN167" s="30">
        <v>1185.52</v>
      </c>
      <c r="AO167" s="30">
        <v>1405456.7</v>
      </c>
      <c r="AP167" s="30">
        <v>1185.5</v>
      </c>
      <c r="AQ167" s="23"/>
      <c r="AR167" s="30">
        <v>9221.73</v>
      </c>
      <c r="AS167" s="30">
        <v>1768.27</v>
      </c>
      <c r="AT167" s="30">
        <v>3126789.9</v>
      </c>
      <c r="AU167" s="30">
        <v>1768.3</v>
      </c>
    </row>
    <row r="168" spans="1:47" ht="18" x14ac:dyDescent="0.2">
      <c r="A168" s="26">
        <v>45735</v>
      </c>
      <c r="B168" s="40">
        <v>13411</v>
      </c>
      <c r="C168" s="23"/>
      <c r="D168" s="30">
        <v>12262.81</v>
      </c>
      <c r="E168" s="30">
        <v>1148.19</v>
      </c>
      <c r="F168" s="30">
        <v>1318331.5</v>
      </c>
      <c r="G168" s="30">
        <v>1148.2</v>
      </c>
      <c r="H168" s="23"/>
      <c r="I168" s="30">
        <v>12249.49</v>
      </c>
      <c r="J168" s="30">
        <v>1161.51</v>
      </c>
      <c r="K168" s="30">
        <v>1349103</v>
      </c>
      <c r="L168" s="30">
        <v>1161.5</v>
      </c>
      <c r="M168" s="23"/>
      <c r="N168" s="30">
        <v>11844.33</v>
      </c>
      <c r="O168" s="30">
        <v>1566.67</v>
      </c>
      <c r="P168" s="30">
        <v>2454457.2999999998</v>
      </c>
      <c r="Q168" s="30">
        <v>1566.7</v>
      </c>
      <c r="R168" s="23"/>
      <c r="S168" s="30">
        <v>11449.88</v>
      </c>
      <c r="T168" s="30">
        <v>1961.12</v>
      </c>
      <c r="U168" s="30">
        <v>3845979.4</v>
      </c>
      <c r="V168" s="30">
        <v>1961.1</v>
      </c>
      <c r="W168" s="23"/>
      <c r="X168" s="30">
        <v>11138.92</v>
      </c>
      <c r="Y168" s="30">
        <v>2272.08</v>
      </c>
      <c r="Z168" s="30">
        <v>5162336.5999999996</v>
      </c>
      <c r="AA168" s="30">
        <v>2272.1</v>
      </c>
      <c r="AB168" s="23"/>
      <c r="AC168" s="30">
        <v>10920.08</v>
      </c>
      <c r="AD168" s="30">
        <v>2490.92</v>
      </c>
      <c r="AE168" s="30">
        <v>6204687.2999999998</v>
      </c>
      <c r="AF168" s="30">
        <v>2490.9</v>
      </c>
      <c r="AG168" s="23"/>
      <c r="AH168" s="30">
        <v>10791.28</v>
      </c>
      <c r="AI168" s="30">
        <v>2619.7199999999998</v>
      </c>
      <c r="AJ168" s="30">
        <v>6862938.5999999996</v>
      </c>
      <c r="AK168" s="30">
        <v>2619.6999999999998</v>
      </c>
      <c r="AL168" s="23"/>
      <c r="AM168" s="30">
        <v>10752.9</v>
      </c>
      <c r="AN168" s="30">
        <v>2658.1</v>
      </c>
      <c r="AO168" s="30">
        <v>7065516.4000000004</v>
      </c>
      <c r="AP168" s="30">
        <v>2658.1</v>
      </c>
      <c r="AQ168" s="23"/>
      <c r="AR168" s="30">
        <v>10813.17</v>
      </c>
      <c r="AS168" s="30">
        <v>2597.83</v>
      </c>
      <c r="AT168" s="30">
        <v>6748706.7999999998</v>
      </c>
      <c r="AU168" s="30">
        <v>2597.8000000000002</v>
      </c>
    </row>
    <row r="169" spans="1:47" ht="18" x14ac:dyDescent="0.2">
      <c r="A169" s="26">
        <v>45766</v>
      </c>
      <c r="B169" s="40">
        <v>11399</v>
      </c>
      <c r="C169" s="23"/>
      <c r="D169" s="30">
        <v>12377.63</v>
      </c>
      <c r="E169" s="27">
        <v>-978.63</v>
      </c>
      <c r="F169" s="30">
        <v>957721.4</v>
      </c>
      <c r="G169" s="27">
        <v>978.6</v>
      </c>
      <c r="H169" s="23"/>
      <c r="I169" s="30">
        <v>12481.79</v>
      </c>
      <c r="J169" s="30">
        <v>-1082.79</v>
      </c>
      <c r="K169" s="30">
        <v>1172440.3999999999</v>
      </c>
      <c r="L169" s="30">
        <v>1082.8</v>
      </c>
      <c r="M169" s="23"/>
      <c r="N169" s="30">
        <v>12314.33</v>
      </c>
      <c r="O169" s="27">
        <v>-915.33</v>
      </c>
      <c r="P169" s="30">
        <v>837829.9</v>
      </c>
      <c r="Q169" s="27">
        <v>915.3</v>
      </c>
      <c r="R169" s="23"/>
      <c r="S169" s="30">
        <v>12234.33</v>
      </c>
      <c r="T169" s="27">
        <v>-835.33</v>
      </c>
      <c r="U169" s="30">
        <v>697776</v>
      </c>
      <c r="V169" s="27">
        <v>835.3</v>
      </c>
      <c r="W169" s="23"/>
      <c r="X169" s="30">
        <v>12274.96</v>
      </c>
      <c r="Y169" s="27">
        <v>-875.96</v>
      </c>
      <c r="Z169" s="30">
        <v>767308</v>
      </c>
      <c r="AA169" s="27">
        <v>876</v>
      </c>
      <c r="AB169" s="23"/>
      <c r="AC169" s="30">
        <v>12414.63</v>
      </c>
      <c r="AD169" s="30">
        <v>-1015.63</v>
      </c>
      <c r="AE169" s="30">
        <v>1031507.6</v>
      </c>
      <c r="AF169" s="30">
        <v>1015.6</v>
      </c>
      <c r="AG169" s="23"/>
      <c r="AH169" s="30">
        <v>12625.08</v>
      </c>
      <c r="AI169" s="30">
        <v>-1226.08</v>
      </c>
      <c r="AJ169" s="30">
        <v>1503281.2</v>
      </c>
      <c r="AK169" s="30">
        <v>1226.0999999999999</v>
      </c>
      <c r="AL169" s="23"/>
      <c r="AM169" s="30">
        <v>12879.38</v>
      </c>
      <c r="AN169" s="30">
        <v>-1480.38</v>
      </c>
      <c r="AO169" s="30">
        <v>2191522.6</v>
      </c>
      <c r="AP169" s="30">
        <v>1480.4</v>
      </c>
      <c r="AQ169" s="23"/>
      <c r="AR169" s="30">
        <v>13151.22</v>
      </c>
      <c r="AS169" s="30">
        <v>-1752.22</v>
      </c>
      <c r="AT169" s="30">
        <v>3070265.4</v>
      </c>
      <c r="AU169" s="30">
        <v>1752.2</v>
      </c>
    </row>
    <row r="170" spans="1:47" ht="18" x14ac:dyDescent="0.2">
      <c r="A170" s="26">
        <v>45796</v>
      </c>
      <c r="B170" s="40">
        <v>12517</v>
      </c>
      <c r="C170" s="23"/>
      <c r="D170" s="30">
        <v>12279.77</v>
      </c>
      <c r="E170" s="27">
        <v>237.23</v>
      </c>
      <c r="F170" s="30">
        <v>56278.5</v>
      </c>
      <c r="G170" s="27">
        <v>237.2</v>
      </c>
      <c r="H170" s="23"/>
      <c r="I170" s="30">
        <v>12265.23</v>
      </c>
      <c r="J170" s="27">
        <v>251.77</v>
      </c>
      <c r="K170" s="30">
        <v>63386</v>
      </c>
      <c r="L170" s="27">
        <v>251.8</v>
      </c>
      <c r="M170" s="23"/>
      <c r="N170" s="30">
        <v>12039.73</v>
      </c>
      <c r="O170" s="27">
        <v>477.27</v>
      </c>
      <c r="P170" s="30">
        <v>227785.4</v>
      </c>
      <c r="Q170" s="27">
        <v>477.3</v>
      </c>
      <c r="R170" s="23"/>
      <c r="S170" s="30">
        <v>11900.2</v>
      </c>
      <c r="T170" s="27">
        <v>616.79999999999995</v>
      </c>
      <c r="U170" s="30">
        <v>380444.8</v>
      </c>
      <c r="V170" s="27">
        <v>616.79999999999995</v>
      </c>
      <c r="W170" s="23"/>
      <c r="X170" s="30">
        <v>11836.98</v>
      </c>
      <c r="Y170" s="27">
        <v>680.02</v>
      </c>
      <c r="Z170" s="30">
        <v>462426.4</v>
      </c>
      <c r="AA170" s="27">
        <v>680</v>
      </c>
      <c r="AB170" s="23"/>
      <c r="AC170" s="30">
        <v>11805.25</v>
      </c>
      <c r="AD170" s="27">
        <v>711.75</v>
      </c>
      <c r="AE170" s="30">
        <v>506584.3</v>
      </c>
      <c r="AF170" s="27">
        <v>711.7</v>
      </c>
      <c r="AG170" s="23"/>
      <c r="AH170" s="30">
        <v>11766.83</v>
      </c>
      <c r="AI170" s="27">
        <v>750.17</v>
      </c>
      <c r="AJ170" s="30">
        <v>562762.4</v>
      </c>
      <c r="AK170" s="27">
        <v>750.2</v>
      </c>
      <c r="AL170" s="23"/>
      <c r="AM170" s="30">
        <v>11695.08</v>
      </c>
      <c r="AN170" s="27">
        <v>821.92</v>
      </c>
      <c r="AO170" s="30">
        <v>675559.3</v>
      </c>
      <c r="AP170" s="27">
        <v>821.9</v>
      </c>
      <c r="AQ170" s="23"/>
      <c r="AR170" s="30">
        <v>11574.22</v>
      </c>
      <c r="AS170" s="27">
        <v>942.78</v>
      </c>
      <c r="AT170" s="30">
        <v>888830.9</v>
      </c>
      <c r="AU170" s="27">
        <v>942.8</v>
      </c>
    </row>
    <row r="171" spans="1:47" ht="18" x14ac:dyDescent="0.2">
      <c r="A171" s="26">
        <v>45827</v>
      </c>
      <c r="B171" s="40">
        <v>11579</v>
      </c>
      <c r="C171" s="23"/>
      <c r="D171" s="30">
        <v>12303.49</v>
      </c>
      <c r="E171" s="27">
        <v>-724.49</v>
      </c>
      <c r="F171" s="30">
        <v>524889</v>
      </c>
      <c r="G171" s="27">
        <v>724.5</v>
      </c>
      <c r="H171" s="23"/>
      <c r="I171" s="30">
        <v>12315.59</v>
      </c>
      <c r="J171" s="27">
        <v>-736.59</v>
      </c>
      <c r="K171" s="30">
        <v>542561</v>
      </c>
      <c r="L171" s="27">
        <v>736.6</v>
      </c>
      <c r="M171" s="23"/>
      <c r="N171" s="30">
        <v>12182.91</v>
      </c>
      <c r="O171" s="27">
        <v>-603.91</v>
      </c>
      <c r="P171" s="30">
        <v>364709.6</v>
      </c>
      <c r="Q171" s="27">
        <v>603.9</v>
      </c>
      <c r="R171" s="23"/>
      <c r="S171" s="30">
        <v>12146.92</v>
      </c>
      <c r="T171" s="27">
        <v>-567.91999999999996</v>
      </c>
      <c r="U171" s="30">
        <v>322531.7</v>
      </c>
      <c r="V171" s="27">
        <v>567.9</v>
      </c>
      <c r="W171" s="23"/>
      <c r="X171" s="30">
        <v>12176.99</v>
      </c>
      <c r="Y171" s="27">
        <v>-597.99</v>
      </c>
      <c r="Z171" s="30">
        <v>357592.4</v>
      </c>
      <c r="AA171" s="27">
        <v>598</v>
      </c>
      <c r="AB171" s="23"/>
      <c r="AC171" s="30">
        <v>12232.3</v>
      </c>
      <c r="AD171" s="27">
        <v>-653.29999999999995</v>
      </c>
      <c r="AE171" s="30">
        <v>426802.3</v>
      </c>
      <c r="AF171" s="27">
        <v>653.29999999999995</v>
      </c>
      <c r="AG171" s="23"/>
      <c r="AH171" s="30">
        <v>12291.95</v>
      </c>
      <c r="AI171" s="27">
        <v>-712.95</v>
      </c>
      <c r="AJ171" s="30">
        <v>508294.2</v>
      </c>
      <c r="AK171" s="27">
        <v>712.9</v>
      </c>
      <c r="AL171" s="23"/>
      <c r="AM171" s="30">
        <v>12352.62</v>
      </c>
      <c r="AN171" s="27">
        <v>-773.62</v>
      </c>
      <c r="AO171" s="30">
        <v>598480.4</v>
      </c>
      <c r="AP171" s="27">
        <v>773.6</v>
      </c>
      <c r="AQ171" s="23"/>
      <c r="AR171" s="30">
        <v>12422.72</v>
      </c>
      <c r="AS171" s="27">
        <v>-843.72</v>
      </c>
      <c r="AT171" s="30">
        <v>711867.1</v>
      </c>
      <c r="AU171" s="27">
        <v>843.7</v>
      </c>
    </row>
    <row r="172" spans="1:47" ht="18" x14ac:dyDescent="0.2">
      <c r="A172" s="26">
        <v>45857</v>
      </c>
      <c r="B172" s="40">
        <v>11874</v>
      </c>
      <c r="C172" s="23"/>
      <c r="D172" s="30">
        <v>12231.04</v>
      </c>
      <c r="E172" s="27">
        <v>-357.04</v>
      </c>
      <c r="F172" s="30">
        <v>127479.7</v>
      </c>
      <c r="G172" s="27">
        <v>357</v>
      </c>
      <c r="H172" s="23"/>
      <c r="I172" s="30">
        <v>12168.27</v>
      </c>
      <c r="J172" s="27">
        <v>-294.27</v>
      </c>
      <c r="K172" s="30">
        <v>86594.8</v>
      </c>
      <c r="L172" s="27">
        <v>294.3</v>
      </c>
      <c r="M172" s="23"/>
      <c r="N172" s="30">
        <v>12001.74</v>
      </c>
      <c r="O172" s="27">
        <v>-127.74</v>
      </c>
      <c r="P172" s="30">
        <v>16317.1</v>
      </c>
      <c r="Q172" s="27">
        <v>127.7</v>
      </c>
      <c r="R172" s="23"/>
      <c r="S172" s="30">
        <v>11919.75</v>
      </c>
      <c r="T172" s="27">
        <v>-45.75</v>
      </c>
      <c r="U172" s="30">
        <v>2093.1999999999998</v>
      </c>
      <c r="V172" s="27">
        <v>45.8</v>
      </c>
      <c r="W172" s="23"/>
      <c r="X172" s="30">
        <v>11878</v>
      </c>
      <c r="Y172" s="27">
        <v>-4</v>
      </c>
      <c r="Z172" s="27">
        <v>16</v>
      </c>
      <c r="AA172" s="27">
        <v>4</v>
      </c>
      <c r="AB172" s="23"/>
      <c r="AC172" s="30">
        <v>11840.32</v>
      </c>
      <c r="AD172" s="27">
        <v>33.68</v>
      </c>
      <c r="AE172" s="30">
        <v>1134.3</v>
      </c>
      <c r="AF172" s="27">
        <v>33.700000000000003</v>
      </c>
      <c r="AG172" s="23"/>
      <c r="AH172" s="30">
        <v>11792.88</v>
      </c>
      <c r="AI172" s="27">
        <v>81.12</v>
      </c>
      <c r="AJ172" s="30">
        <v>6579.8</v>
      </c>
      <c r="AK172" s="27">
        <v>81.099999999999994</v>
      </c>
      <c r="AL172" s="23"/>
      <c r="AM172" s="30">
        <v>11733.72</v>
      </c>
      <c r="AN172" s="27">
        <v>140.28</v>
      </c>
      <c r="AO172" s="30">
        <v>19677.599999999999</v>
      </c>
      <c r="AP172" s="27">
        <v>140.30000000000001</v>
      </c>
      <c r="AQ172" s="23"/>
      <c r="AR172" s="30">
        <v>11663.37</v>
      </c>
      <c r="AS172" s="27">
        <v>210.63</v>
      </c>
      <c r="AT172" s="30">
        <v>44364.1</v>
      </c>
      <c r="AU172" s="27">
        <v>210.6</v>
      </c>
    </row>
    <row r="173" spans="1:47" ht="18" x14ac:dyDescent="0.2">
      <c r="A173" s="26">
        <v>45888</v>
      </c>
      <c r="B173" s="40">
        <v>14381</v>
      </c>
      <c r="C173" s="23"/>
      <c r="D173" s="30">
        <v>12195.34</v>
      </c>
      <c r="E173" s="30">
        <v>2185.66</v>
      </c>
      <c r="F173" s="30">
        <v>4777115.2</v>
      </c>
      <c r="G173" s="30">
        <v>2185.6999999999998</v>
      </c>
      <c r="H173" s="23"/>
      <c r="I173" s="30">
        <v>12109.42</v>
      </c>
      <c r="J173" s="30">
        <v>2271.58</v>
      </c>
      <c r="K173" s="30">
        <v>5160094.0999999996</v>
      </c>
      <c r="L173" s="30">
        <v>2271.6</v>
      </c>
      <c r="M173" s="23"/>
      <c r="N173" s="30">
        <v>11963.42</v>
      </c>
      <c r="O173" s="30">
        <v>2417.58</v>
      </c>
      <c r="P173" s="30">
        <v>5844708.2999999998</v>
      </c>
      <c r="Q173" s="30">
        <v>2417.6</v>
      </c>
      <c r="R173" s="23"/>
      <c r="S173" s="30">
        <v>11901.45</v>
      </c>
      <c r="T173" s="30">
        <v>2479.5500000000002</v>
      </c>
      <c r="U173" s="30">
        <v>6148164.5</v>
      </c>
      <c r="V173" s="30">
        <v>2479.5</v>
      </c>
      <c r="W173" s="23"/>
      <c r="X173" s="30">
        <v>11876</v>
      </c>
      <c r="Y173" s="30">
        <v>2505</v>
      </c>
      <c r="Z173" s="30">
        <v>6275037.0999999996</v>
      </c>
      <c r="AA173" s="30">
        <v>2505</v>
      </c>
      <c r="AB173" s="23"/>
      <c r="AC173" s="30">
        <v>11860.53</v>
      </c>
      <c r="AD173" s="30">
        <v>2520.4699999999998</v>
      </c>
      <c r="AE173" s="30">
        <v>6352778.2000000002</v>
      </c>
      <c r="AF173" s="30">
        <v>2520.5</v>
      </c>
      <c r="AG173" s="23"/>
      <c r="AH173" s="30">
        <v>11849.67</v>
      </c>
      <c r="AI173" s="30">
        <v>2531.33</v>
      </c>
      <c r="AJ173" s="30">
        <v>6407655.5</v>
      </c>
      <c r="AK173" s="30">
        <v>2531.3000000000002</v>
      </c>
      <c r="AL173" s="23"/>
      <c r="AM173" s="30">
        <v>11845.94</v>
      </c>
      <c r="AN173" s="30">
        <v>2535.06</v>
      </c>
      <c r="AO173" s="30">
        <v>6426505.7999999998</v>
      </c>
      <c r="AP173" s="30">
        <v>2535.1</v>
      </c>
      <c r="AQ173" s="23"/>
      <c r="AR173" s="30">
        <v>11852.94</v>
      </c>
      <c r="AS173" s="30">
        <v>2528.06</v>
      </c>
      <c r="AT173" s="30">
        <v>6391101.4000000004</v>
      </c>
      <c r="AU173" s="30">
        <v>2528.1</v>
      </c>
    </row>
    <row r="174" spans="1:47" ht="18" x14ac:dyDescent="0.2">
      <c r="A174" s="26">
        <v>45919</v>
      </c>
      <c r="B174" s="40">
        <v>9262</v>
      </c>
      <c r="C174" s="23"/>
      <c r="D174" s="30">
        <v>12413.9</v>
      </c>
      <c r="E174" s="30">
        <v>-3151.9</v>
      </c>
      <c r="F174" s="30">
        <v>9934504.3000000007</v>
      </c>
      <c r="G174" s="30">
        <v>3151.9</v>
      </c>
      <c r="H174" s="23"/>
      <c r="I174" s="30">
        <v>12563.73</v>
      </c>
      <c r="J174" s="30">
        <v>-3301.73</v>
      </c>
      <c r="K174" s="30">
        <v>10901439.199999999</v>
      </c>
      <c r="L174" s="30">
        <v>3301.7</v>
      </c>
      <c r="M174" s="23"/>
      <c r="N174" s="30">
        <v>12688.69</v>
      </c>
      <c r="O174" s="30">
        <v>-3426.69</v>
      </c>
      <c r="P174" s="30">
        <v>11742216.6</v>
      </c>
      <c r="Q174" s="30">
        <v>3426.7</v>
      </c>
      <c r="R174" s="23"/>
      <c r="S174" s="30">
        <v>12893.27</v>
      </c>
      <c r="T174" s="30">
        <v>-3631.27</v>
      </c>
      <c r="U174" s="30">
        <v>13186125.1</v>
      </c>
      <c r="V174" s="30">
        <v>3631.3</v>
      </c>
      <c r="W174" s="23"/>
      <c r="X174" s="30">
        <v>13128.5</v>
      </c>
      <c r="Y174" s="30">
        <v>-3866.5</v>
      </c>
      <c r="Z174" s="30">
        <v>14949812.9</v>
      </c>
      <c r="AA174" s="30">
        <v>3866.5</v>
      </c>
      <c r="AB174" s="23"/>
      <c r="AC174" s="30">
        <v>13372.81</v>
      </c>
      <c r="AD174" s="30">
        <v>-4110.8100000000004</v>
      </c>
      <c r="AE174" s="30">
        <v>16898769.300000001</v>
      </c>
      <c r="AF174" s="30">
        <v>4110.8</v>
      </c>
      <c r="AG174" s="23"/>
      <c r="AH174" s="30">
        <v>13621.6</v>
      </c>
      <c r="AI174" s="30">
        <v>-4359.6000000000004</v>
      </c>
      <c r="AJ174" s="30">
        <v>19006108.5</v>
      </c>
      <c r="AK174" s="30">
        <v>4359.6000000000004</v>
      </c>
      <c r="AL174" s="23"/>
      <c r="AM174" s="30">
        <v>13873.99</v>
      </c>
      <c r="AN174" s="30">
        <v>-4611.99</v>
      </c>
      <c r="AO174" s="30">
        <v>21270441.800000001</v>
      </c>
      <c r="AP174" s="30">
        <v>4612</v>
      </c>
      <c r="AQ174" s="23"/>
      <c r="AR174" s="30">
        <v>14128.19</v>
      </c>
      <c r="AS174" s="30">
        <v>-4866.1899999999996</v>
      </c>
      <c r="AT174" s="30">
        <v>23679841.300000001</v>
      </c>
      <c r="AU174" s="30">
        <v>4866.2</v>
      </c>
    </row>
    <row r="175" spans="1:47" ht="18" x14ac:dyDescent="0.2">
      <c r="A175" s="26">
        <v>45949</v>
      </c>
      <c r="B175" s="40">
        <v>9529</v>
      </c>
      <c r="C175" s="23"/>
      <c r="D175" s="30">
        <v>12098.71</v>
      </c>
      <c r="E175" s="30">
        <v>-2569.71</v>
      </c>
      <c r="F175" s="30">
        <v>6603432</v>
      </c>
      <c r="G175" s="30">
        <v>2569.6999999999998</v>
      </c>
      <c r="H175" s="23"/>
      <c r="I175" s="30">
        <v>11903.39</v>
      </c>
      <c r="J175" s="30">
        <v>-2374.39</v>
      </c>
      <c r="K175" s="30">
        <v>5637709.9000000004</v>
      </c>
      <c r="L175" s="30">
        <v>2374.4</v>
      </c>
      <c r="M175" s="23"/>
      <c r="N175" s="30">
        <v>11660.68</v>
      </c>
      <c r="O175" s="30">
        <v>-2131.6799999999998</v>
      </c>
      <c r="P175" s="30">
        <v>4544077.8</v>
      </c>
      <c r="Q175" s="30">
        <v>2131.6999999999998</v>
      </c>
      <c r="R175" s="23"/>
      <c r="S175" s="30">
        <v>11440.76</v>
      </c>
      <c r="T175" s="30">
        <v>-1911.76</v>
      </c>
      <c r="U175" s="30">
        <v>3654835</v>
      </c>
      <c r="V175" s="30">
        <v>1911.8</v>
      </c>
      <c r="W175" s="23"/>
      <c r="X175" s="30">
        <v>11195.25</v>
      </c>
      <c r="Y175" s="30">
        <v>-1666.25</v>
      </c>
      <c r="Z175" s="30">
        <v>2776387</v>
      </c>
      <c r="AA175" s="30">
        <v>1666.2</v>
      </c>
      <c r="AB175" s="23"/>
      <c r="AC175" s="30">
        <v>10906.32</v>
      </c>
      <c r="AD175" s="30">
        <v>-1377.32</v>
      </c>
      <c r="AE175" s="30">
        <v>1897022.8</v>
      </c>
      <c r="AF175" s="30">
        <v>1377.3</v>
      </c>
      <c r="AG175" s="23"/>
      <c r="AH175" s="30">
        <v>10569.88</v>
      </c>
      <c r="AI175" s="30">
        <v>-1040.8800000000001</v>
      </c>
      <c r="AJ175" s="30">
        <v>1083430.8999999999</v>
      </c>
      <c r="AK175" s="30">
        <v>1040.9000000000001</v>
      </c>
      <c r="AL175" s="23"/>
      <c r="AM175" s="30">
        <v>10184.4</v>
      </c>
      <c r="AN175" s="27">
        <v>-655.4</v>
      </c>
      <c r="AO175" s="30">
        <v>429546.3</v>
      </c>
      <c r="AP175" s="27">
        <v>655.4</v>
      </c>
      <c r="AQ175" s="23"/>
      <c r="AR175" s="30">
        <v>9748.6200000000008</v>
      </c>
      <c r="AS175" s="27">
        <v>-219.62</v>
      </c>
      <c r="AT175" s="30">
        <v>48232.7</v>
      </c>
      <c r="AU175" s="27">
        <v>219.6</v>
      </c>
    </row>
    <row r="176" spans="1:47" ht="18" x14ac:dyDescent="0.2">
      <c r="A176" s="26">
        <v>45980</v>
      </c>
      <c r="B176" s="40">
        <v>10260</v>
      </c>
      <c r="C176" s="23"/>
      <c r="D176" s="30">
        <v>11841.74</v>
      </c>
      <c r="E176" s="30">
        <v>-1581.74</v>
      </c>
      <c r="F176" s="30">
        <v>2501910.7000000002</v>
      </c>
      <c r="G176" s="30">
        <v>1581.7</v>
      </c>
      <c r="H176" s="23"/>
      <c r="I176" s="30">
        <v>11428.51</v>
      </c>
      <c r="J176" s="30">
        <v>-1168.51</v>
      </c>
      <c r="K176" s="30">
        <v>1365413.2</v>
      </c>
      <c r="L176" s="30">
        <v>1168.5</v>
      </c>
      <c r="M176" s="23"/>
      <c r="N176" s="30">
        <v>11021.18</v>
      </c>
      <c r="O176" s="27">
        <v>-761.18</v>
      </c>
      <c r="P176" s="30">
        <v>579393.4</v>
      </c>
      <c r="Q176" s="27">
        <v>761.2</v>
      </c>
      <c r="R176" s="23"/>
      <c r="S176" s="30">
        <v>10676.06</v>
      </c>
      <c r="T176" s="27">
        <v>-416.06</v>
      </c>
      <c r="U176" s="30">
        <v>173103.7</v>
      </c>
      <c r="V176" s="27">
        <v>416.1</v>
      </c>
      <c r="W176" s="23"/>
      <c r="X176" s="30">
        <v>10362.120000000001</v>
      </c>
      <c r="Y176" s="27">
        <v>-102.12</v>
      </c>
      <c r="Z176" s="30">
        <v>10429.5</v>
      </c>
      <c r="AA176" s="27">
        <v>102.1</v>
      </c>
      <c r="AB176" s="23"/>
      <c r="AC176" s="30">
        <v>10079.93</v>
      </c>
      <c r="AD176" s="27">
        <v>180.07</v>
      </c>
      <c r="AE176" s="30">
        <v>32425.3</v>
      </c>
      <c r="AF176" s="27">
        <v>180.1</v>
      </c>
      <c r="AG176" s="23"/>
      <c r="AH176" s="30">
        <v>9841.26</v>
      </c>
      <c r="AI176" s="27">
        <v>418.74</v>
      </c>
      <c r="AJ176" s="30">
        <v>175339.9</v>
      </c>
      <c r="AK176" s="27">
        <v>418.7</v>
      </c>
      <c r="AL176" s="23"/>
      <c r="AM176" s="30">
        <v>9660.08</v>
      </c>
      <c r="AN176" s="27">
        <v>599.91999999999996</v>
      </c>
      <c r="AO176" s="30">
        <v>359904.5</v>
      </c>
      <c r="AP176" s="27">
        <v>599.9</v>
      </c>
      <c r="AQ176" s="23"/>
      <c r="AR176" s="30">
        <v>9550.9599999999991</v>
      </c>
      <c r="AS176" s="27">
        <v>709.04</v>
      </c>
      <c r="AT176" s="30">
        <v>502735</v>
      </c>
      <c r="AU176" s="27">
        <v>709</v>
      </c>
    </row>
    <row r="177" spans="1:47" ht="18" x14ac:dyDescent="0.2">
      <c r="A177" s="26">
        <v>46010</v>
      </c>
      <c r="B177" s="40">
        <v>11250</v>
      </c>
      <c r="C177" s="23"/>
      <c r="D177" s="30">
        <v>11683.57</v>
      </c>
      <c r="E177" s="27">
        <v>-433.57</v>
      </c>
      <c r="F177" s="30">
        <v>187981.8</v>
      </c>
      <c r="G177" s="27">
        <v>433.6</v>
      </c>
      <c r="H177" s="23"/>
      <c r="I177" s="30">
        <v>11194.81</v>
      </c>
      <c r="J177" s="27">
        <v>55.19</v>
      </c>
      <c r="K177" s="30">
        <v>3046.2</v>
      </c>
      <c r="L177" s="27">
        <v>55.2</v>
      </c>
      <c r="M177" s="23"/>
      <c r="N177" s="30">
        <v>10792.83</v>
      </c>
      <c r="O177" s="27">
        <v>457.17</v>
      </c>
      <c r="P177" s="30">
        <v>209008.7</v>
      </c>
      <c r="Q177" s="27">
        <v>457.2</v>
      </c>
      <c r="R177" s="23"/>
      <c r="S177" s="30">
        <v>10509.63</v>
      </c>
      <c r="T177" s="27">
        <v>740.37</v>
      </c>
      <c r="U177" s="30">
        <v>548141.19999999995</v>
      </c>
      <c r="V177" s="27">
        <v>740.4</v>
      </c>
      <c r="W177" s="23"/>
      <c r="X177" s="30">
        <v>10311.06</v>
      </c>
      <c r="Y177" s="27">
        <v>938.94</v>
      </c>
      <c r="Z177" s="30">
        <v>881603.9</v>
      </c>
      <c r="AA177" s="27">
        <v>938.9</v>
      </c>
      <c r="AB177" s="23"/>
      <c r="AC177" s="30">
        <v>10187.969999999999</v>
      </c>
      <c r="AD177" s="30">
        <v>1062.03</v>
      </c>
      <c r="AE177" s="30">
        <v>1127903.6000000001</v>
      </c>
      <c r="AF177" s="30">
        <v>1062</v>
      </c>
      <c r="AG177" s="23"/>
      <c r="AH177" s="30">
        <v>10134.379999999999</v>
      </c>
      <c r="AI177" s="30">
        <v>1115.6199999999999</v>
      </c>
      <c r="AJ177" s="30">
        <v>1244609.8</v>
      </c>
      <c r="AK177" s="30">
        <v>1115.5999999999999</v>
      </c>
      <c r="AL177" s="23"/>
      <c r="AM177" s="30">
        <v>10140.02</v>
      </c>
      <c r="AN177" s="30">
        <v>1109.98</v>
      </c>
      <c r="AO177" s="30">
        <v>1232064.7</v>
      </c>
      <c r="AP177" s="30">
        <v>1110</v>
      </c>
      <c r="AQ177" s="23"/>
      <c r="AR177" s="30">
        <v>10189.1</v>
      </c>
      <c r="AS177" s="30">
        <v>1060.9000000000001</v>
      </c>
      <c r="AT177" s="30">
        <v>1125516.8999999999</v>
      </c>
      <c r="AU177" s="30">
        <v>1060.9000000000001</v>
      </c>
    </row>
    <row r="178" spans="1:47" ht="18" x14ac:dyDescent="0.2">
      <c r="A178" s="26">
        <v>45677</v>
      </c>
      <c r="B178" s="40">
        <v>7765</v>
      </c>
      <c r="C178" s="23"/>
      <c r="D178" s="30">
        <v>11640.21</v>
      </c>
      <c r="E178" s="30">
        <v>-3875.21</v>
      </c>
      <c r="F178" s="30">
        <v>15017266.300000001</v>
      </c>
      <c r="G178" s="30">
        <v>3875.2</v>
      </c>
      <c r="H178" s="23"/>
      <c r="I178" s="30">
        <v>11205.85</v>
      </c>
      <c r="J178" s="30">
        <v>-3440.85</v>
      </c>
      <c r="K178" s="30">
        <v>11839419.4</v>
      </c>
      <c r="L178" s="30">
        <v>3440.8</v>
      </c>
      <c r="M178" s="23"/>
      <c r="N178" s="30">
        <v>10929.98</v>
      </c>
      <c r="O178" s="30">
        <v>-3164.98</v>
      </c>
      <c r="P178" s="30">
        <v>10017083.800000001</v>
      </c>
      <c r="Q178" s="30">
        <v>3165</v>
      </c>
      <c r="R178" s="23"/>
      <c r="S178" s="30">
        <v>10805.78</v>
      </c>
      <c r="T178" s="30">
        <v>-3040.78</v>
      </c>
      <c r="U178" s="30">
        <v>9246347</v>
      </c>
      <c r="V178" s="30">
        <v>3040.8</v>
      </c>
      <c r="W178" s="23"/>
      <c r="X178" s="30">
        <v>10780.53</v>
      </c>
      <c r="Y178" s="30">
        <v>-3015.53</v>
      </c>
      <c r="Z178" s="30">
        <v>9093428.3000000007</v>
      </c>
      <c r="AA178" s="30">
        <v>3015.5</v>
      </c>
      <c r="AB178" s="23"/>
      <c r="AC178" s="30">
        <v>10825.19</v>
      </c>
      <c r="AD178" s="30">
        <v>-3060.19</v>
      </c>
      <c r="AE178" s="30">
        <v>9364755.3000000007</v>
      </c>
      <c r="AF178" s="30">
        <v>3060.2</v>
      </c>
      <c r="AG178" s="23"/>
      <c r="AH178" s="30">
        <v>10915.31</v>
      </c>
      <c r="AI178" s="30">
        <v>-3150.31</v>
      </c>
      <c r="AJ178" s="30">
        <v>9924476.8000000007</v>
      </c>
      <c r="AK178" s="30">
        <v>3150.3</v>
      </c>
      <c r="AL178" s="23"/>
      <c r="AM178" s="30">
        <v>11028</v>
      </c>
      <c r="AN178" s="30">
        <v>-3263</v>
      </c>
      <c r="AO178" s="30">
        <v>10647189.800000001</v>
      </c>
      <c r="AP178" s="30">
        <v>3263</v>
      </c>
      <c r="AQ178" s="23"/>
      <c r="AR178" s="30">
        <v>11143.91</v>
      </c>
      <c r="AS178" s="30">
        <v>-3378.91</v>
      </c>
      <c r="AT178" s="30">
        <v>11417030.199999999</v>
      </c>
      <c r="AU178" s="30">
        <v>3378.9</v>
      </c>
    </row>
    <row r="179" spans="1:47" ht="18" x14ac:dyDescent="0.2">
      <c r="A179" s="26">
        <v>45708</v>
      </c>
      <c r="B179" s="40">
        <v>9688</v>
      </c>
      <c r="C179" s="23"/>
      <c r="D179" s="30">
        <v>11252.69</v>
      </c>
      <c r="E179" s="30">
        <v>-1564.69</v>
      </c>
      <c r="F179" s="30">
        <v>2448256.7000000002</v>
      </c>
      <c r="G179" s="30">
        <v>1564.7</v>
      </c>
      <c r="H179" s="23"/>
      <c r="I179" s="30">
        <v>10517.68</v>
      </c>
      <c r="J179" s="27">
        <v>-829.68</v>
      </c>
      <c r="K179" s="30">
        <v>688363.2</v>
      </c>
      <c r="L179" s="27">
        <v>829.7</v>
      </c>
      <c r="M179" s="23"/>
      <c r="N179" s="30">
        <v>9980.48</v>
      </c>
      <c r="O179" s="27">
        <v>-292.48</v>
      </c>
      <c r="P179" s="30">
        <v>85547.1</v>
      </c>
      <c r="Q179" s="27">
        <v>292.5</v>
      </c>
      <c r="R179" s="23"/>
      <c r="S179" s="30">
        <v>9589.4699999999993</v>
      </c>
      <c r="T179" s="27">
        <v>98.53</v>
      </c>
      <c r="U179" s="30">
        <v>9708.5</v>
      </c>
      <c r="V179" s="27">
        <v>98.5</v>
      </c>
      <c r="W179" s="23"/>
      <c r="X179" s="30">
        <v>9272.77</v>
      </c>
      <c r="Y179" s="27">
        <v>415.23</v>
      </c>
      <c r="Z179" s="30">
        <v>172419.6</v>
      </c>
      <c r="AA179" s="27">
        <v>415.2</v>
      </c>
      <c r="AB179" s="23"/>
      <c r="AC179" s="30">
        <v>8989.08</v>
      </c>
      <c r="AD179" s="27">
        <v>698.92</v>
      </c>
      <c r="AE179" s="30">
        <v>488495.4</v>
      </c>
      <c r="AF179" s="27">
        <v>698.9</v>
      </c>
      <c r="AG179" s="23"/>
      <c r="AH179" s="30">
        <v>8710.09</v>
      </c>
      <c r="AI179" s="27">
        <v>977.91</v>
      </c>
      <c r="AJ179" s="30">
        <v>956299.9</v>
      </c>
      <c r="AK179" s="27">
        <v>977.9</v>
      </c>
      <c r="AL179" s="23"/>
      <c r="AM179" s="30">
        <v>8417.6</v>
      </c>
      <c r="AN179" s="30">
        <v>1270.4000000000001</v>
      </c>
      <c r="AO179" s="30">
        <v>1613914.5</v>
      </c>
      <c r="AP179" s="30">
        <v>1270.4000000000001</v>
      </c>
      <c r="AQ179" s="23"/>
      <c r="AR179" s="30">
        <v>8102.89</v>
      </c>
      <c r="AS179" s="30">
        <v>1585.11</v>
      </c>
      <c r="AT179" s="30">
        <v>2512570.7000000002</v>
      </c>
      <c r="AU179" s="30">
        <v>1585.1</v>
      </c>
    </row>
    <row r="180" spans="1:47" ht="18" x14ac:dyDescent="0.2">
      <c r="A180" s="26">
        <v>45736</v>
      </c>
      <c r="B180" s="40">
        <v>6445</v>
      </c>
      <c r="C180" s="23"/>
      <c r="D180" s="30">
        <v>11096.22</v>
      </c>
      <c r="E180" s="30">
        <v>-4651.22</v>
      </c>
      <c r="F180" s="30">
        <v>21633861.800000001</v>
      </c>
      <c r="G180" s="30">
        <v>4651.2</v>
      </c>
      <c r="H180" s="23"/>
      <c r="I180" s="30">
        <v>10351.74</v>
      </c>
      <c r="J180" s="30">
        <v>-3906.74</v>
      </c>
      <c r="K180" s="30">
        <v>15262627.4</v>
      </c>
      <c r="L180" s="30">
        <v>3906.7</v>
      </c>
      <c r="M180" s="23"/>
      <c r="N180" s="30">
        <v>9892.74</v>
      </c>
      <c r="O180" s="30">
        <v>-3447.74</v>
      </c>
      <c r="P180" s="30">
        <v>11886904.699999999</v>
      </c>
      <c r="Q180" s="30">
        <v>3447.7</v>
      </c>
      <c r="R180" s="23"/>
      <c r="S180" s="30">
        <v>9628.8799999999992</v>
      </c>
      <c r="T180" s="30">
        <v>-3183.88</v>
      </c>
      <c r="U180" s="30">
        <v>10137098.4</v>
      </c>
      <c r="V180" s="30">
        <v>3183.9</v>
      </c>
      <c r="W180" s="23"/>
      <c r="X180" s="30">
        <v>9480.3799999999992</v>
      </c>
      <c r="Y180" s="30">
        <v>-3035.38</v>
      </c>
      <c r="Z180" s="30">
        <v>9213548.6999999993</v>
      </c>
      <c r="AA180" s="30">
        <v>3035.4</v>
      </c>
      <c r="AB180" s="23"/>
      <c r="AC180" s="30">
        <v>9408.43</v>
      </c>
      <c r="AD180" s="30">
        <v>-2963.43</v>
      </c>
      <c r="AE180" s="30">
        <v>8781918.5999999996</v>
      </c>
      <c r="AF180" s="30">
        <v>2963.4</v>
      </c>
      <c r="AG180" s="23"/>
      <c r="AH180" s="30">
        <v>9394.6299999999992</v>
      </c>
      <c r="AI180" s="30">
        <v>-2949.63</v>
      </c>
      <c r="AJ180" s="30">
        <v>8700306.6999999993</v>
      </c>
      <c r="AK180" s="30">
        <v>2949.6</v>
      </c>
      <c r="AL180" s="23"/>
      <c r="AM180" s="30">
        <v>9433.92</v>
      </c>
      <c r="AN180" s="30">
        <v>-2988.92</v>
      </c>
      <c r="AO180" s="30">
        <v>8933643.5</v>
      </c>
      <c r="AP180" s="30">
        <v>2988.9</v>
      </c>
      <c r="AQ180" s="23"/>
      <c r="AR180" s="30">
        <v>9529.49</v>
      </c>
      <c r="AS180" s="30">
        <v>-3084.49</v>
      </c>
      <c r="AT180" s="30">
        <v>9514073</v>
      </c>
      <c r="AU180" s="30">
        <v>3084.5</v>
      </c>
    </row>
    <row r="181" spans="1:47" ht="18" x14ac:dyDescent="0.2">
      <c r="A181" s="26">
        <v>45767</v>
      </c>
      <c r="B181" s="40">
        <v>6562</v>
      </c>
      <c r="C181" s="23"/>
      <c r="D181" s="30">
        <v>10631.1</v>
      </c>
      <c r="E181" s="30">
        <v>-4069.1</v>
      </c>
      <c r="F181" s="30">
        <v>16557569.800000001</v>
      </c>
      <c r="G181" s="30">
        <v>4069.1</v>
      </c>
      <c r="H181" s="23"/>
      <c r="I181" s="30">
        <v>9570.39</v>
      </c>
      <c r="J181" s="30">
        <v>-3008.39</v>
      </c>
      <c r="K181" s="30">
        <v>9050428.5999999996</v>
      </c>
      <c r="L181" s="30">
        <v>3008.4</v>
      </c>
      <c r="M181" s="23"/>
      <c r="N181" s="30">
        <v>8858.42</v>
      </c>
      <c r="O181" s="30">
        <v>-2296.42</v>
      </c>
      <c r="P181" s="30">
        <v>5273532.5999999996</v>
      </c>
      <c r="Q181" s="30">
        <v>2296.4</v>
      </c>
      <c r="R181" s="23"/>
      <c r="S181" s="30">
        <v>8355.33</v>
      </c>
      <c r="T181" s="30">
        <v>-1793.33</v>
      </c>
      <c r="U181" s="30">
        <v>3216027.5</v>
      </c>
      <c r="V181" s="30">
        <v>1793.3</v>
      </c>
      <c r="W181" s="23"/>
      <c r="X181" s="30">
        <v>7962.69</v>
      </c>
      <c r="Y181" s="30">
        <v>-1400.69</v>
      </c>
      <c r="Z181" s="30">
        <v>1961936.4</v>
      </c>
      <c r="AA181" s="30">
        <v>1400.7</v>
      </c>
      <c r="AB181" s="23"/>
      <c r="AC181" s="30">
        <v>7630.37</v>
      </c>
      <c r="AD181" s="30">
        <v>-1068.3699999999999</v>
      </c>
      <c r="AE181" s="30">
        <v>1141418.8999999999</v>
      </c>
      <c r="AF181" s="30">
        <v>1068.4000000000001</v>
      </c>
      <c r="AG181" s="23"/>
      <c r="AH181" s="30">
        <v>7329.89</v>
      </c>
      <c r="AI181" s="27">
        <v>-767.89</v>
      </c>
      <c r="AJ181" s="30">
        <v>589652.69999999995</v>
      </c>
      <c r="AK181" s="27">
        <v>767.9</v>
      </c>
      <c r="AL181" s="23"/>
      <c r="AM181" s="30">
        <v>7042.78</v>
      </c>
      <c r="AN181" s="27">
        <v>-480.78</v>
      </c>
      <c r="AO181" s="30">
        <v>231153.3</v>
      </c>
      <c r="AP181" s="27">
        <v>480.8</v>
      </c>
      <c r="AQ181" s="23"/>
      <c r="AR181" s="30">
        <v>6753.45</v>
      </c>
      <c r="AS181" s="27">
        <v>-191.45</v>
      </c>
      <c r="AT181" s="30">
        <v>36652.699999999997</v>
      </c>
      <c r="AU181" s="27">
        <v>191.4</v>
      </c>
    </row>
    <row r="182" spans="1:47" ht="18" x14ac:dyDescent="0.2">
      <c r="A182" s="26">
        <v>45797</v>
      </c>
      <c r="B182" s="40">
        <v>12227</v>
      </c>
      <c r="C182" s="23"/>
      <c r="D182" s="30">
        <v>10224.19</v>
      </c>
      <c r="E182" s="30">
        <v>2002.81</v>
      </c>
      <c r="F182" s="30">
        <v>4011250.1</v>
      </c>
      <c r="G182" s="30">
        <v>2002.8</v>
      </c>
      <c r="H182" s="23"/>
      <c r="I182" s="30">
        <v>8968.7099999999991</v>
      </c>
      <c r="J182" s="30">
        <v>3258.29</v>
      </c>
      <c r="K182" s="30">
        <v>10616425</v>
      </c>
      <c r="L182" s="30">
        <v>3258.3</v>
      </c>
      <c r="M182" s="23"/>
      <c r="N182" s="30">
        <v>8169.49</v>
      </c>
      <c r="O182" s="30">
        <v>4057.51</v>
      </c>
      <c r="P182" s="30">
        <v>16463370</v>
      </c>
      <c r="Q182" s="30">
        <v>4057.5</v>
      </c>
      <c r="R182" s="23"/>
      <c r="S182" s="30">
        <v>7638</v>
      </c>
      <c r="T182" s="30">
        <v>4589</v>
      </c>
      <c r="U182" s="30">
        <v>21058947</v>
      </c>
      <c r="V182" s="30">
        <v>4589</v>
      </c>
      <c r="W182" s="23"/>
      <c r="X182" s="30">
        <v>7262.35</v>
      </c>
      <c r="Y182" s="30">
        <v>4964.6499999999996</v>
      </c>
      <c r="Z182" s="30">
        <v>24647792.300000001</v>
      </c>
      <c r="AA182" s="30">
        <v>4964.7</v>
      </c>
      <c r="AB182" s="23"/>
      <c r="AC182" s="30">
        <v>6989.35</v>
      </c>
      <c r="AD182" s="30">
        <v>5237.6499999999996</v>
      </c>
      <c r="AE182" s="30">
        <v>27432989.800000001</v>
      </c>
      <c r="AF182" s="30">
        <v>5237.7</v>
      </c>
      <c r="AG182" s="23"/>
      <c r="AH182" s="30">
        <v>6792.37</v>
      </c>
      <c r="AI182" s="30">
        <v>5434.63</v>
      </c>
      <c r="AJ182" s="30">
        <v>29535240.800000001</v>
      </c>
      <c r="AK182" s="30">
        <v>5434.6</v>
      </c>
      <c r="AL182" s="23"/>
      <c r="AM182" s="30">
        <v>6658.16</v>
      </c>
      <c r="AN182" s="30">
        <v>5568.84</v>
      </c>
      <c r="AO182" s="30">
        <v>31012014.5</v>
      </c>
      <c r="AP182" s="30">
        <v>5568.8</v>
      </c>
      <c r="AQ182" s="23"/>
      <c r="AR182" s="30">
        <v>6581.14</v>
      </c>
      <c r="AS182" s="30">
        <v>5645.86</v>
      </c>
      <c r="AT182" s="30">
        <v>31875679.899999999</v>
      </c>
      <c r="AU182" s="30">
        <v>5645.9</v>
      </c>
    </row>
    <row r="183" spans="1:47" ht="18" x14ac:dyDescent="0.2">
      <c r="A183" s="26">
        <v>45828</v>
      </c>
      <c r="B183" s="40">
        <v>12128</v>
      </c>
      <c r="C183" s="23"/>
      <c r="D183" s="30">
        <v>10424.469999999999</v>
      </c>
      <c r="E183" s="30">
        <v>1703.53</v>
      </c>
      <c r="F183" s="30">
        <v>2902012.7</v>
      </c>
      <c r="G183" s="30">
        <v>1703.5</v>
      </c>
      <c r="H183" s="23"/>
      <c r="I183" s="30">
        <v>9620.3700000000008</v>
      </c>
      <c r="J183" s="30">
        <v>2507.63</v>
      </c>
      <c r="K183" s="30">
        <v>6288200.5</v>
      </c>
      <c r="L183" s="30">
        <v>2507.6</v>
      </c>
      <c r="M183" s="23"/>
      <c r="N183" s="30">
        <v>9386.74</v>
      </c>
      <c r="O183" s="30">
        <v>2741.26</v>
      </c>
      <c r="P183" s="30">
        <v>7514481.7000000002</v>
      </c>
      <c r="Q183" s="30">
        <v>2741.3</v>
      </c>
      <c r="R183" s="23"/>
      <c r="S183" s="30">
        <v>9473.6</v>
      </c>
      <c r="T183" s="30">
        <v>2654.4</v>
      </c>
      <c r="U183" s="30">
        <v>7045848.4000000004</v>
      </c>
      <c r="V183" s="30">
        <v>2654.4</v>
      </c>
      <c r="W183" s="23"/>
      <c r="X183" s="30">
        <v>9744.67</v>
      </c>
      <c r="Y183" s="30">
        <v>2383.33</v>
      </c>
      <c r="Z183" s="30">
        <v>5680248.2999999998</v>
      </c>
      <c r="AA183" s="30">
        <v>2383.3000000000002</v>
      </c>
      <c r="AB183" s="23"/>
      <c r="AC183" s="30">
        <v>10131.94</v>
      </c>
      <c r="AD183" s="30">
        <v>1996.06</v>
      </c>
      <c r="AE183" s="30">
        <v>3984257.4</v>
      </c>
      <c r="AF183" s="30">
        <v>1996.1</v>
      </c>
      <c r="AG183" s="23"/>
      <c r="AH183" s="30">
        <v>10596.61</v>
      </c>
      <c r="AI183" s="30">
        <v>1531.39</v>
      </c>
      <c r="AJ183" s="30">
        <v>2345155.4</v>
      </c>
      <c r="AK183" s="30">
        <v>1531.4</v>
      </c>
      <c r="AL183" s="23"/>
      <c r="AM183" s="30">
        <v>11113.23</v>
      </c>
      <c r="AN183" s="30">
        <v>1014.77</v>
      </c>
      <c r="AO183" s="30">
        <v>1029755.4</v>
      </c>
      <c r="AP183" s="30">
        <v>1014.8</v>
      </c>
      <c r="AQ183" s="23"/>
      <c r="AR183" s="30">
        <v>11662.41</v>
      </c>
      <c r="AS183" s="27">
        <v>465.59</v>
      </c>
      <c r="AT183" s="30">
        <v>216769.9</v>
      </c>
      <c r="AU183" s="27">
        <v>465.6</v>
      </c>
    </row>
    <row r="184" spans="1:47" ht="18" x14ac:dyDescent="0.2">
      <c r="A184" s="26">
        <v>45858</v>
      </c>
      <c r="B184" s="40">
        <v>12036</v>
      </c>
      <c r="C184" s="23"/>
      <c r="D184" s="30">
        <v>10594.82</v>
      </c>
      <c r="E184" s="30">
        <v>1441.18</v>
      </c>
      <c r="F184" s="30">
        <v>2076989.8</v>
      </c>
      <c r="G184" s="30">
        <v>1441.2</v>
      </c>
      <c r="H184" s="23"/>
      <c r="I184" s="30">
        <v>10121.9</v>
      </c>
      <c r="J184" s="30">
        <v>1914.1</v>
      </c>
      <c r="K184" s="30">
        <v>3663789.4</v>
      </c>
      <c r="L184" s="30">
        <v>1914.1</v>
      </c>
      <c r="M184" s="23"/>
      <c r="N184" s="30">
        <v>10209.120000000001</v>
      </c>
      <c r="O184" s="30">
        <v>1826.88</v>
      </c>
      <c r="P184" s="30">
        <v>3337486.3</v>
      </c>
      <c r="Q184" s="30">
        <v>1826.9</v>
      </c>
      <c r="R184" s="23"/>
      <c r="S184" s="30">
        <v>10535.36</v>
      </c>
      <c r="T184" s="30">
        <v>1500.64</v>
      </c>
      <c r="U184" s="30">
        <v>2251923.5</v>
      </c>
      <c r="V184" s="30">
        <v>1500.6</v>
      </c>
      <c r="W184" s="23"/>
      <c r="X184" s="30">
        <v>10936.34</v>
      </c>
      <c r="Y184" s="30">
        <v>1099.6600000000001</v>
      </c>
      <c r="Z184" s="30">
        <v>1209260</v>
      </c>
      <c r="AA184" s="30">
        <v>1099.7</v>
      </c>
      <c r="AB184" s="23"/>
      <c r="AC184" s="30">
        <v>11329.58</v>
      </c>
      <c r="AD184" s="27">
        <v>706.42</v>
      </c>
      <c r="AE184" s="30">
        <v>499035.1</v>
      </c>
      <c r="AF184" s="27">
        <v>706.4</v>
      </c>
      <c r="AG184" s="23"/>
      <c r="AH184" s="30">
        <v>11668.58</v>
      </c>
      <c r="AI184" s="27">
        <v>367.42</v>
      </c>
      <c r="AJ184" s="30">
        <v>134995.29999999999</v>
      </c>
      <c r="AK184" s="27">
        <v>367.4</v>
      </c>
      <c r="AL184" s="23"/>
      <c r="AM184" s="30">
        <v>11925.05</v>
      </c>
      <c r="AN184" s="27">
        <v>110.95</v>
      </c>
      <c r="AO184" s="30">
        <v>12310.7</v>
      </c>
      <c r="AP184" s="27">
        <v>111</v>
      </c>
      <c r="AQ184" s="23"/>
      <c r="AR184" s="30">
        <v>12081.44</v>
      </c>
      <c r="AS184" s="27">
        <v>-45.44</v>
      </c>
      <c r="AT184" s="30">
        <v>2064.9</v>
      </c>
      <c r="AU184" s="27">
        <v>45.4</v>
      </c>
    </row>
    <row r="185" spans="1:47" ht="18" x14ac:dyDescent="0.2">
      <c r="A185" s="26">
        <v>45889</v>
      </c>
      <c r="B185" s="40">
        <v>12508</v>
      </c>
      <c r="C185" s="23"/>
      <c r="D185" s="30">
        <v>10738.94</v>
      </c>
      <c r="E185" s="30">
        <v>1769.06</v>
      </c>
      <c r="F185" s="30">
        <v>3129569.4</v>
      </c>
      <c r="G185" s="30">
        <v>1769.1</v>
      </c>
      <c r="H185" s="23"/>
      <c r="I185" s="30">
        <v>10504.72</v>
      </c>
      <c r="J185" s="30">
        <v>2003.28</v>
      </c>
      <c r="K185" s="30">
        <v>4013139.7</v>
      </c>
      <c r="L185" s="30">
        <v>2003.3</v>
      </c>
      <c r="M185" s="23"/>
      <c r="N185" s="30">
        <v>10757.18</v>
      </c>
      <c r="O185" s="30">
        <v>1750.82</v>
      </c>
      <c r="P185" s="30">
        <v>3065353.8</v>
      </c>
      <c r="Q185" s="30">
        <v>1750.8</v>
      </c>
      <c r="R185" s="23"/>
      <c r="S185" s="30">
        <v>11135.62</v>
      </c>
      <c r="T185" s="30">
        <v>1372.38</v>
      </c>
      <c r="U185" s="30">
        <v>1883439.5</v>
      </c>
      <c r="V185" s="30">
        <v>1372.4</v>
      </c>
      <c r="W185" s="23"/>
      <c r="X185" s="30">
        <v>11486.17</v>
      </c>
      <c r="Y185" s="30">
        <v>1021.83</v>
      </c>
      <c r="Z185" s="30">
        <v>1044140.2</v>
      </c>
      <c r="AA185" s="30">
        <v>1021.8</v>
      </c>
      <c r="AB185" s="23"/>
      <c r="AC185" s="30">
        <v>11753.43</v>
      </c>
      <c r="AD185" s="27">
        <v>754.57</v>
      </c>
      <c r="AE185" s="30">
        <v>569375.4</v>
      </c>
      <c r="AF185" s="27">
        <v>754.6</v>
      </c>
      <c r="AG185" s="23"/>
      <c r="AH185" s="30">
        <v>11925.77</v>
      </c>
      <c r="AI185" s="27">
        <v>582.23</v>
      </c>
      <c r="AJ185" s="30">
        <v>338986.1</v>
      </c>
      <c r="AK185" s="27">
        <v>582.20000000000005</v>
      </c>
      <c r="AL185" s="23"/>
      <c r="AM185" s="30">
        <v>12013.81</v>
      </c>
      <c r="AN185" s="27">
        <v>494.19</v>
      </c>
      <c r="AO185" s="30">
        <v>244224.5</v>
      </c>
      <c r="AP185" s="27">
        <v>494.2</v>
      </c>
      <c r="AQ185" s="23"/>
      <c r="AR185" s="30">
        <v>12040.54</v>
      </c>
      <c r="AS185" s="27">
        <v>467.46</v>
      </c>
      <c r="AT185" s="30">
        <v>218515</v>
      </c>
      <c r="AU185" s="27">
        <v>467.5</v>
      </c>
    </row>
    <row r="186" spans="1:47" ht="18" x14ac:dyDescent="0.2">
      <c r="A186" s="26">
        <v>45920</v>
      </c>
      <c r="B186" s="40">
        <v>10643</v>
      </c>
      <c r="C186" s="23"/>
      <c r="D186" s="30">
        <v>10915.85</v>
      </c>
      <c r="E186" s="27">
        <v>-272.85000000000002</v>
      </c>
      <c r="F186" s="30">
        <v>74445.5</v>
      </c>
      <c r="G186" s="27">
        <v>272.8</v>
      </c>
      <c r="H186" s="23"/>
      <c r="I186" s="30">
        <v>10905.37</v>
      </c>
      <c r="J186" s="27">
        <v>-262.37</v>
      </c>
      <c r="K186" s="30">
        <v>68840.2</v>
      </c>
      <c r="L186" s="27">
        <v>262.39999999999998</v>
      </c>
      <c r="M186" s="23"/>
      <c r="N186" s="30">
        <v>11282.43</v>
      </c>
      <c r="O186" s="27">
        <v>-639.42999999999995</v>
      </c>
      <c r="P186" s="30">
        <v>408869.9</v>
      </c>
      <c r="Q186" s="27">
        <v>639.4</v>
      </c>
      <c r="R186" s="23"/>
      <c r="S186" s="30">
        <v>11684.57</v>
      </c>
      <c r="T186" s="30">
        <v>-1041.57</v>
      </c>
      <c r="U186" s="30">
        <v>1084866.5</v>
      </c>
      <c r="V186" s="30">
        <v>1041.5999999999999</v>
      </c>
      <c r="W186" s="23"/>
      <c r="X186" s="30">
        <v>11997.08</v>
      </c>
      <c r="Y186" s="30">
        <v>-1354.08</v>
      </c>
      <c r="Z186" s="30">
        <v>1833543.8</v>
      </c>
      <c r="AA186" s="30">
        <v>1354.1</v>
      </c>
      <c r="AB186" s="23"/>
      <c r="AC186" s="30">
        <v>12206.17</v>
      </c>
      <c r="AD186" s="30">
        <v>-1563.17</v>
      </c>
      <c r="AE186" s="30">
        <v>2443507.1</v>
      </c>
      <c r="AF186" s="30">
        <v>1563.2</v>
      </c>
      <c r="AG186" s="23"/>
      <c r="AH186" s="30">
        <v>12333.33</v>
      </c>
      <c r="AI186" s="30">
        <v>-1690.33</v>
      </c>
      <c r="AJ186" s="30">
        <v>2857223.9</v>
      </c>
      <c r="AK186" s="30">
        <v>1690.3</v>
      </c>
      <c r="AL186" s="23"/>
      <c r="AM186" s="30">
        <v>12409.16</v>
      </c>
      <c r="AN186" s="30">
        <v>-1766.16</v>
      </c>
      <c r="AO186" s="30">
        <v>3119327.7</v>
      </c>
      <c r="AP186" s="30">
        <v>1766.2</v>
      </c>
      <c r="AQ186" s="23"/>
      <c r="AR186" s="30">
        <v>12461.25</v>
      </c>
      <c r="AS186" s="30">
        <v>-1818.25</v>
      </c>
      <c r="AT186" s="30">
        <v>3306049.1</v>
      </c>
      <c r="AU186" s="30">
        <v>1818.3</v>
      </c>
    </row>
    <row r="187" spans="1:47" ht="18" x14ac:dyDescent="0.2">
      <c r="A187" s="26">
        <v>45950</v>
      </c>
      <c r="B187" s="40">
        <v>11631</v>
      </c>
      <c r="C187" s="23"/>
      <c r="D187" s="30">
        <v>10888.56</v>
      </c>
      <c r="E187" s="27">
        <v>742.44</v>
      </c>
      <c r="F187" s="30">
        <v>551213.69999999995</v>
      </c>
      <c r="G187" s="27">
        <v>742.4</v>
      </c>
      <c r="H187" s="23"/>
      <c r="I187" s="30">
        <v>10852.9</v>
      </c>
      <c r="J187" s="27">
        <v>778.1</v>
      </c>
      <c r="K187" s="30">
        <v>605440.6</v>
      </c>
      <c r="L187" s="27">
        <v>778.1</v>
      </c>
      <c r="M187" s="23"/>
      <c r="N187" s="30">
        <v>11090.6</v>
      </c>
      <c r="O187" s="27">
        <v>540.4</v>
      </c>
      <c r="P187" s="30">
        <v>292031.59999999998</v>
      </c>
      <c r="Q187" s="27">
        <v>540.4</v>
      </c>
      <c r="R187" s="23"/>
      <c r="S187" s="30">
        <v>11267.94</v>
      </c>
      <c r="T187" s="27">
        <v>363.06</v>
      </c>
      <c r="U187" s="30">
        <v>131811.4</v>
      </c>
      <c r="V187" s="27">
        <v>363.1</v>
      </c>
      <c r="W187" s="23"/>
      <c r="X187" s="30">
        <v>11320.04</v>
      </c>
      <c r="Y187" s="27">
        <v>310.95999999999998</v>
      </c>
      <c r="Z187" s="30">
        <v>96694.8</v>
      </c>
      <c r="AA187" s="27">
        <v>311</v>
      </c>
      <c r="AB187" s="23"/>
      <c r="AC187" s="30">
        <v>11268.27</v>
      </c>
      <c r="AD187" s="27">
        <v>362.73</v>
      </c>
      <c r="AE187" s="30">
        <v>131573.9</v>
      </c>
      <c r="AF187" s="27">
        <v>362.7</v>
      </c>
      <c r="AG187" s="23"/>
      <c r="AH187" s="30">
        <v>11150.1</v>
      </c>
      <c r="AI187" s="27">
        <v>480.9</v>
      </c>
      <c r="AJ187" s="30">
        <v>231265.1</v>
      </c>
      <c r="AK187" s="27">
        <v>480.9</v>
      </c>
      <c r="AL187" s="23"/>
      <c r="AM187" s="30">
        <v>10996.23</v>
      </c>
      <c r="AN187" s="27">
        <v>634.77</v>
      </c>
      <c r="AO187" s="30">
        <v>402929.9</v>
      </c>
      <c r="AP187" s="27">
        <v>634.79999999999995</v>
      </c>
      <c r="AQ187" s="23"/>
      <c r="AR187" s="30">
        <v>10824.83</v>
      </c>
      <c r="AS187" s="27">
        <v>806.17</v>
      </c>
      <c r="AT187" s="30">
        <v>649917.4</v>
      </c>
      <c r="AU187" s="27">
        <v>806.2</v>
      </c>
    </row>
    <row r="188" spans="1:47" ht="18" x14ac:dyDescent="0.2">
      <c r="A188" s="26">
        <v>45981</v>
      </c>
      <c r="B188" s="40">
        <v>9126</v>
      </c>
      <c r="C188" s="23"/>
      <c r="D188" s="30">
        <v>10962.81</v>
      </c>
      <c r="E188" s="30">
        <v>-1836.81</v>
      </c>
      <c r="F188" s="30">
        <v>3373856.5</v>
      </c>
      <c r="G188" s="30">
        <v>1836.8</v>
      </c>
      <c r="H188" s="23"/>
      <c r="I188" s="30">
        <v>11008.52</v>
      </c>
      <c r="J188" s="30">
        <v>-1882.52</v>
      </c>
      <c r="K188" s="30">
        <v>3543879.7</v>
      </c>
      <c r="L188" s="30">
        <v>1882.5</v>
      </c>
      <c r="M188" s="23"/>
      <c r="N188" s="30">
        <v>11252.72</v>
      </c>
      <c r="O188" s="30">
        <v>-2126.7199999999998</v>
      </c>
      <c r="P188" s="30">
        <v>4522939.5999999996</v>
      </c>
      <c r="Q188" s="30">
        <v>2126.6999999999998</v>
      </c>
      <c r="R188" s="23"/>
      <c r="S188" s="30">
        <v>11413.16</v>
      </c>
      <c r="T188" s="30">
        <v>-2287.16</v>
      </c>
      <c r="U188" s="30">
        <v>5231123.4000000004</v>
      </c>
      <c r="V188" s="30">
        <v>2287.1999999999998</v>
      </c>
      <c r="W188" s="23"/>
      <c r="X188" s="30">
        <v>11475.52</v>
      </c>
      <c r="Y188" s="30">
        <v>-2349.52</v>
      </c>
      <c r="Z188" s="30">
        <v>5520249.0999999996</v>
      </c>
      <c r="AA188" s="30">
        <v>2349.5</v>
      </c>
      <c r="AB188" s="23"/>
      <c r="AC188" s="30">
        <v>11485.91</v>
      </c>
      <c r="AD188" s="30">
        <v>-2359.91</v>
      </c>
      <c r="AE188" s="30">
        <v>5569163.5999999996</v>
      </c>
      <c r="AF188" s="30">
        <v>2359.9</v>
      </c>
      <c r="AG188" s="23"/>
      <c r="AH188" s="30">
        <v>11486.73</v>
      </c>
      <c r="AI188" s="30">
        <v>-2360.73</v>
      </c>
      <c r="AJ188" s="30">
        <v>5573045.7999999998</v>
      </c>
      <c r="AK188" s="30">
        <v>2360.6999999999998</v>
      </c>
      <c r="AL188" s="23"/>
      <c r="AM188" s="30">
        <v>11504.05</v>
      </c>
      <c r="AN188" s="30">
        <v>-2378.0500000000002</v>
      </c>
      <c r="AO188" s="30">
        <v>5655105</v>
      </c>
      <c r="AP188" s="30">
        <v>2378</v>
      </c>
      <c r="AQ188" s="23"/>
      <c r="AR188" s="30">
        <v>11550.38</v>
      </c>
      <c r="AS188" s="30">
        <v>-2424.38</v>
      </c>
      <c r="AT188" s="30">
        <v>5877630.7000000002</v>
      </c>
      <c r="AU188" s="30">
        <v>2424.4</v>
      </c>
    </row>
    <row r="189" spans="1:47" ht="18" x14ac:dyDescent="0.2">
      <c r="A189" s="26">
        <v>46011</v>
      </c>
      <c r="B189" s="40">
        <v>13054</v>
      </c>
      <c r="C189" s="23"/>
      <c r="D189" s="30">
        <v>10779.13</v>
      </c>
      <c r="E189" s="30">
        <v>2274.87</v>
      </c>
      <c r="F189" s="30">
        <v>5175054.2</v>
      </c>
      <c r="G189" s="30">
        <v>2274.9</v>
      </c>
      <c r="H189" s="23"/>
      <c r="I189" s="30">
        <v>10632.02</v>
      </c>
      <c r="J189" s="30">
        <v>2421.98</v>
      </c>
      <c r="K189" s="30">
        <v>5866008.4000000004</v>
      </c>
      <c r="L189" s="30">
        <v>2422</v>
      </c>
      <c r="M189" s="23"/>
      <c r="N189" s="30">
        <v>10614.7</v>
      </c>
      <c r="O189" s="30">
        <v>2439.3000000000002</v>
      </c>
      <c r="P189" s="30">
        <v>5950163.5999999996</v>
      </c>
      <c r="Q189" s="30">
        <v>2439.3000000000002</v>
      </c>
      <c r="R189" s="23"/>
      <c r="S189" s="30">
        <v>10498.3</v>
      </c>
      <c r="T189" s="30">
        <v>2555.6999999999998</v>
      </c>
      <c r="U189" s="30">
        <v>6531607.7999999998</v>
      </c>
      <c r="V189" s="30">
        <v>2555.6999999999998</v>
      </c>
      <c r="W189" s="23"/>
      <c r="X189" s="30">
        <v>10300.76</v>
      </c>
      <c r="Y189" s="30">
        <v>2753.24</v>
      </c>
      <c r="Z189" s="30">
        <v>7580327.7000000002</v>
      </c>
      <c r="AA189" s="30">
        <v>2753.2</v>
      </c>
      <c r="AB189" s="23"/>
      <c r="AC189" s="30">
        <v>10069.959999999999</v>
      </c>
      <c r="AD189" s="30">
        <v>2984.04</v>
      </c>
      <c r="AE189" s="30">
        <v>8904476.6999999993</v>
      </c>
      <c r="AF189" s="30">
        <v>2984</v>
      </c>
      <c r="AG189" s="23"/>
      <c r="AH189" s="30">
        <v>9834.2199999999993</v>
      </c>
      <c r="AI189" s="30">
        <v>3219.78</v>
      </c>
      <c r="AJ189" s="30">
        <v>10366989.800000001</v>
      </c>
      <c r="AK189" s="30">
        <v>3219.8</v>
      </c>
      <c r="AL189" s="23"/>
      <c r="AM189" s="30">
        <v>9601.61</v>
      </c>
      <c r="AN189" s="30">
        <v>3452.39</v>
      </c>
      <c r="AO189" s="30">
        <v>11919001.6</v>
      </c>
      <c r="AP189" s="30">
        <v>3452.4</v>
      </c>
      <c r="AQ189" s="23"/>
      <c r="AR189" s="30">
        <v>9368.44</v>
      </c>
      <c r="AS189" s="30">
        <v>3685.56</v>
      </c>
      <c r="AT189" s="30">
        <v>13583365.4</v>
      </c>
      <c r="AU189" s="30">
        <v>3685.6</v>
      </c>
    </row>
    <row r="190" spans="1:47" ht="18" x14ac:dyDescent="0.2">
      <c r="A190" s="26">
        <v>45678</v>
      </c>
      <c r="B190" s="40">
        <v>8602</v>
      </c>
      <c r="C190" s="23"/>
      <c r="D190" s="30">
        <v>11006.61</v>
      </c>
      <c r="E190" s="30">
        <v>-2404.61</v>
      </c>
      <c r="F190" s="30">
        <v>5782163.2999999998</v>
      </c>
      <c r="G190" s="30">
        <v>2404.6</v>
      </c>
      <c r="H190" s="23"/>
      <c r="I190" s="30">
        <v>11116.41</v>
      </c>
      <c r="J190" s="30">
        <v>-2514.41</v>
      </c>
      <c r="K190" s="30">
        <v>6322270.0999999996</v>
      </c>
      <c r="L190" s="30">
        <v>2514.4</v>
      </c>
      <c r="M190" s="23"/>
      <c r="N190" s="30">
        <v>11346.49</v>
      </c>
      <c r="O190" s="30">
        <v>-2744.49</v>
      </c>
      <c r="P190" s="30">
        <v>7532241.7999999998</v>
      </c>
      <c r="Q190" s="30">
        <v>2744.5</v>
      </c>
      <c r="R190" s="23"/>
      <c r="S190" s="30">
        <v>11520.58</v>
      </c>
      <c r="T190" s="30">
        <v>-2918.58</v>
      </c>
      <c r="U190" s="30">
        <v>8518105.5999999996</v>
      </c>
      <c r="V190" s="30">
        <v>2918.6</v>
      </c>
      <c r="W190" s="23"/>
      <c r="X190" s="30">
        <v>11677.38</v>
      </c>
      <c r="Y190" s="30">
        <v>-3075.38</v>
      </c>
      <c r="Z190" s="30">
        <v>9457963.6999999993</v>
      </c>
      <c r="AA190" s="30">
        <v>3075.4</v>
      </c>
      <c r="AB190" s="23"/>
      <c r="AC190" s="30">
        <v>11860.39</v>
      </c>
      <c r="AD190" s="30">
        <v>-3258.39</v>
      </c>
      <c r="AE190" s="30">
        <v>10617074.199999999</v>
      </c>
      <c r="AF190" s="30">
        <v>3258.4</v>
      </c>
      <c r="AG190" s="23"/>
      <c r="AH190" s="30">
        <v>12088.07</v>
      </c>
      <c r="AI190" s="30">
        <v>-3486.07</v>
      </c>
      <c r="AJ190" s="30">
        <v>12152654</v>
      </c>
      <c r="AK190" s="30">
        <v>3486.1</v>
      </c>
      <c r="AL190" s="23"/>
      <c r="AM190" s="30">
        <v>12363.52</v>
      </c>
      <c r="AN190" s="30">
        <v>-3761.52</v>
      </c>
      <c r="AO190" s="30">
        <v>14149046.699999999</v>
      </c>
      <c r="AP190" s="30">
        <v>3761.5</v>
      </c>
      <c r="AQ190" s="23"/>
      <c r="AR190" s="30">
        <v>12685.44</v>
      </c>
      <c r="AS190" s="30">
        <v>-4083.44</v>
      </c>
      <c r="AT190" s="30">
        <v>16674513.5</v>
      </c>
      <c r="AU190" s="30">
        <v>4083.4</v>
      </c>
    </row>
    <row r="191" spans="1:47" ht="18" x14ac:dyDescent="0.2">
      <c r="A191" s="26">
        <v>45709</v>
      </c>
      <c r="B191" s="40">
        <v>10689</v>
      </c>
      <c r="C191" s="23"/>
      <c r="D191" s="30">
        <v>10766.15</v>
      </c>
      <c r="E191" s="27">
        <v>-77.150000000000006</v>
      </c>
      <c r="F191" s="30">
        <v>5952.4</v>
      </c>
      <c r="G191" s="27">
        <v>77.2</v>
      </c>
      <c r="H191" s="23"/>
      <c r="I191" s="30">
        <v>10613.53</v>
      </c>
      <c r="J191" s="27">
        <v>75.47</v>
      </c>
      <c r="K191" s="30">
        <v>5695.7</v>
      </c>
      <c r="L191" s="27">
        <v>75.5</v>
      </c>
      <c r="M191" s="23"/>
      <c r="N191" s="30">
        <v>10523.15</v>
      </c>
      <c r="O191" s="27">
        <v>165.85</v>
      </c>
      <c r="P191" s="30">
        <v>27507.9</v>
      </c>
      <c r="Q191" s="27">
        <v>165.9</v>
      </c>
      <c r="R191" s="23"/>
      <c r="S191" s="30">
        <v>10353.15</v>
      </c>
      <c r="T191" s="27">
        <v>335.85</v>
      </c>
      <c r="U191" s="30">
        <v>112796.8</v>
      </c>
      <c r="V191" s="27">
        <v>335.9</v>
      </c>
      <c r="W191" s="23"/>
      <c r="X191" s="30">
        <v>10139.69</v>
      </c>
      <c r="Y191" s="27">
        <v>549.30999999999995</v>
      </c>
      <c r="Z191" s="30">
        <v>301741.3</v>
      </c>
      <c r="AA191" s="27">
        <v>549.29999999999995</v>
      </c>
      <c r="AB191" s="23"/>
      <c r="AC191" s="30">
        <v>9905.35</v>
      </c>
      <c r="AD191" s="27">
        <v>783.65</v>
      </c>
      <c r="AE191" s="30">
        <v>614100.9</v>
      </c>
      <c r="AF191" s="27">
        <v>783.6</v>
      </c>
      <c r="AG191" s="23"/>
      <c r="AH191" s="30">
        <v>9647.82</v>
      </c>
      <c r="AI191" s="30">
        <v>1041.18</v>
      </c>
      <c r="AJ191" s="30">
        <v>1084056.3999999999</v>
      </c>
      <c r="AK191" s="30">
        <v>1041.2</v>
      </c>
      <c r="AL191" s="23"/>
      <c r="AM191" s="30">
        <v>9354.2999999999993</v>
      </c>
      <c r="AN191" s="30">
        <v>1334.7</v>
      </c>
      <c r="AO191" s="30">
        <v>1781412.4</v>
      </c>
      <c r="AP191" s="30">
        <v>1334.7</v>
      </c>
      <c r="AQ191" s="23"/>
      <c r="AR191" s="30">
        <v>9010.34</v>
      </c>
      <c r="AS191" s="30">
        <v>1678.66</v>
      </c>
      <c r="AT191" s="30">
        <v>2817884.7</v>
      </c>
      <c r="AU191" s="30">
        <v>1678.7</v>
      </c>
    </row>
    <row r="192" spans="1:47" ht="18" x14ac:dyDescent="0.2">
      <c r="A192" s="26">
        <v>45737</v>
      </c>
      <c r="B192" s="40">
        <v>12160</v>
      </c>
      <c r="C192" s="23"/>
      <c r="D192" s="30">
        <v>10758.44</v>
      </c>
      <c r="E192" s="30">
        <v>1401.56</v>
      </c>
      <c r="F192" s="30">
        <v>1964380.4</v>
      </c>
      <c r="G192" s="30">
        <v>1401.6</v>
      </c>
      <c r="H192" s="23"/>
      <c r="I192" s="30">
        <v>10628.62</v>
      </c>
      <c r="J192" s="30">
        <v>1531.38</v>
      </c>
      <c r="K192" s="30">
        <v>2345112.5</v>
      </c>
      <c r="L192" s="30">
        <v>1531.4</v>
      </c>
      <c r="M192" s="23"/>
      <c r="N192" s="30">
        <v>10572.9</v>
      </c>
      <c r="O192" s="30">
        <v>1587.1</v>
      </c>
      <c r="P192" s="30">
        <v>2518881.4</v>
      </c>
      <c r="Q192" s="30">
        <v>1587.1</v>
      </c>
      <c r="R192" s="23"/>
      <c r="S192" s="30">
        <v>10487.49</v>
      </c>
      <c r="T192" s="30">
        <v>1672.51</v>
      </c>
      <c r="U192" s="30">
        <v>2797294.5</v>
      </c>
      <c r="V192" s="30">
        <v>1672.5</v>
      </c>
      <c r="W192" s="23"/>
      <c r="X192" s="30">
        <v>10414.35</v>
      </c>
      <c r="Y192" s="30">
        <v>1745.65</v>
      </c>
      <c r="Z192" s="30">
        <v>3047311.2</v>
      </c>
      <c r="AA192" s="30">
        <v>1745.7</v>
      </c>
      <c r="AB192" s="23"/>
      <c r="AC192" s="30">
        <v>10375.540000000001</v>
      </c>
      <c r="AD192" s="30">
        <v>1784.46</v>
      </c>
      <c r="AE192" s="30">
        <v>3184291.7</v>
      </c>
      <c r="AF192" s="30">
        <v>1784.5</v>
      </c>
      <c r="AG192" s="23"/>
      <c r="AH192" s="30">
        <v>10376.65</v>
      </c>
      <c r="AI192" s="30">
        <v>1783.35</v>
      </c>
      <c r="AJ192" s="30">
        <v>3180351.8</v>
      </c>
      <c r="AK192" s="30">
        <v>1783.4</v>
      </c>
      <c r="AL192" s="23"/>
      <c r="AM192" s="30">
        <v>10422.06</v>
      </c>
      <c r="AN192" s="30">
        <v>1737.94</v>
      </c>
      <c r="AO192" s="30">
        <v>3020432.4</v>
      </c>
      <c r="AP192" s="30">
        <v>1737.9</v>
      </c>
      <c r="AQ192" s="23"/>
      <c r="AR192" s="30">
        <v>10521.13</v>
      </c>
      <c r="AS192" s="30">
        <v>1638.87</v>
      </c>
      <c r="AT192" s="30">
        <v>2685880.3</v>
      </c>
      <c r="AU192" s="30">
        <v>1638.9</v>
      </c>
    </row>
    <row r="193" spans="1:47" ht="18" x14ac:dyDescent="0.2">
      <c r="A193" s="26">
        <v>45768</v>
      </c>
      <c r="B193" s="40">
        <v>13915</v>
      </c>
      <c r="C193" s="23"/>
      <c r="D193" s="30">
        <v>10898.59</v>
      </c>
      <c r="E193" s="30">
        <v>3016.41</v>
      </c>
      <c r="F193" s="30">
        <v>9098712.3000000007</v>
      </c>
      <c r="G193" s="30">
        <v>3016.4</v>
      </c>
      <c r="H193" s="23"/>
      <c r="I193" s="30">
        <v>10934.9</v>
      </c>
      <c r="J193" s="30">
        <v>2980.1</v>
      </c>
      <c r="K193" s="30">
        <v>8881000.8000000007</v>
      </c>
      <c r="L193" s="30">
        <v>2980.1</v>
      </c>
      <c r="M193" s="23"/>
      <c r="N193" s="30">
        <v>11049.03</v>
      </c>
      <c r="O193" s="30">
        <v>2865.97</v>
      </c>
      <c r="P193" s="30">
        <v>8213777.7999999998</v>
      </c>
      <c r="Q193" s="30">
        <v>2866</v>
      </c>
      <c r="R193" s="23"/>
      <c r="S193" s="30">
        <v>11156.49</v>
      </c>
      <c r="T193" s="30">
        <v>2758.51</v>
      </c>
      <c r="U193" s="30">
        <v>7609360.0999999996</v>
      </c>
      <c r="V193" s="30">
        <v>2758.5</v>
      </c>
      <c r="W193" s="23"/>
      <c r="X193" s="30">
        <v>11287.17</v>
      </c>
      <c r="Y193" s="30">
        <v>2627.83</v>
      </c>
      <c r="Z193" s="30">
        <v>6905477.2000000002</v>
      </c>
      <c r="AA193" s="30">
        <v>2627.8</v>
      </c>
      <c r="AB193" s="23"/>
      <c r="AC193" s="30">
        <v>11446.22</v>
      </c>
      <c r="AD193" s="30">
        <v>2468.7800000000002</v>
      </c>
      <c r="AE193" s="30">
        <v>6094891.2000000002</v>
      </c>
      <c r="AF193" s="30">
        <v>2468.8000000000002</v>
      </c>
      <c r="AG193" s="23"/>
      <c r="AH193" s="30">
        <v>11624.99</v>
      </c>
      <c r="AI193" s="30">
        <v>2290.0100000000002</v>
      </c>
      <c r="AJ193" s="30">
        <v>5244128.5</v>
      </c>
      <c r="AK193" s="30">
        <v>2290</v>
      </c>
      <c r="AL193" s="23"/>
      <c r="AM193" s="30">
        <v>11812.41</v>
      </c>
      <c r="AN193" s="30">
        <v>2102.59</v>
      </c>
      <c r="AO193" s="30">
        <v>4420875.5999999996</v>
      </c>
      <c r="AP193" s="30">
        <v>2102.6</v>
      </c>
      <c r="AQ193" s="23"/>
      <c r="AR193" s="30">
        <v>11996.11</v>
      </c>
      <c r="AS193" s="30">
        <v>1918.89</v>
      </c>
      <c r="AT193" s="30">
        <v>3682125.6</v>
      </c>
      <c r="AU193" s="30">
        <v>1918.9</v>
      </c>
    </row>
    <row r="194" spans="1:47" ht="18" x14ac:dyDescent="0.2">
      <c r="A194" s="26">
        <v>45798</v>
      </c>
      <c r="B194" s="40">
        <v>16480</v>
      </c>
      <c r="C194" s="23"/>
      <c r="D194" s="30">
        <v>11200.23</v>
      </c>
      <c r="E194" s="30">
        <v>5279.77</v>
      </c>
      <c r="F194" s="30">
        <v>27875933.899999999</v>
      </c>
      <c r="G194" s="30">
        <v>5279.8</v>
      </c>
      <c r="H194" s="23"/>
      <c r="I194" s="30">
        <v>11530.92</v>
      </c>
      <c r="J194" s="30">
        <v>4949.08</v>
      </c>
      <c r="K194" s="30">
        <v>24493399.300000001</v>
      </c>
      <c r="L194" s="30">
        <v>4949.1000000000004</v>
      </c>
      <c r="M194" s="23"/>
      <c r="N194" s="30">
        <v>11908.82</v>
      </c>
      <c r="O194" s="30">
        <v>4571.18</v>
      </c>
      <c r="P194" s="30">
        <v>20895670.399999999</v>
      </c>
      <c r="Q194" s="30">
        <v>4571.2</v>
      </c>
      <c r="R194" s="23"/>
      <c r="S194" s="30">
        <v>12259.9</v>
      </c>
      <c r="T194" s="30">
        <v>4220.1000000000004</v>
      </c>
      <c r="U194" s="30">
        <v>17809278.699999999</v>
      </c>
      <c r="V194" s="30">
        <v>4220.1000000000004</v>
      </c>
      <c r="W194" s="23"/>
      <c r="X194" s="30">
        <v>12601.09</v>
      </c>
      <c r="Y194" s="30">
        <v>3878.91</v>
      </c>
      <c r="Z194" s="30">
        <v>15045971.800000001</v>
      </c>
      <c r="AA194" s="30">
        <v>3878.9</v>
      </c>
      <c r="AB194" s="23"/>
      <c r="AC194" s="30">
        <v>12927.49</v>
      </c>
      <c r="AD194" s="30">
        <v>3552.51</v>
      </c>
      <c r="AE194" s="30">
        <v>12620351</v>
      </c>
      <c r="AF194" s="30">
        <v>3552.5</v>
      </c>
      <c r="AG194" s="23"/>
      <c r="AH194" s="30">
        <v>13228</v>
      </c>
      <c r="AI194" s="30">
        <v>3252</v>
      </c>
      <c r="AJ194" s="30">
        <v>10575516.1</v>
      </c>
      <c r="AK194" s="30">
        <v>3252</v>
      </c>
      <c r="AL194" s="23"/>
      <c r="AM194" s="30">
        <v>13494.48</v>
      </c>
      <c r="AN194" s="30">
        <v>2985.52</v>
      </c>
      <c r="AO194" s="30">
        <v>8913315.0999999996</v>
      </c>
      <c r="AP194" s="30">
        <v>2985.5</v>
      </c>
      <c r="AQ194" s="23"/>
      <c r="AR194" s="30">
        <v>13723.11</v>
      </c>
      <c r="AS194" s="30">
        <v>2756.89</v>
      </c>
      <c r="AT194" s="30">
        <v>7600435.0999999996</v>
      </c>
      <c r="AU194" s="30">
        <v>2756.9</v>
      </c>
    </row>
    <row r="195" spans="1:47" ht="18" x14ac:dyDescent="0.2">
      <c r="A195" s="26">
        <v>45829</v>
      </c>
      <c r="B195" s="40">
        <v>14714</v>
      </c>
      <c r="C195" s="23"/>
      <c r="D195" s="30">
        <v>11728.21</v>
      </c>
      <c r="E195" s="30">
        <v>2985.79</v>
      </c>
      <c r="F195" s="30">
        <v>8914940.8000000007</v>
      </c>
      <c r="G195" s="30">
        <v>2985.8</v>
      </c>
      <c r="H195" s="23"/>
      <c r="I195" s="30">
        <v>12520.74</v>
      </c>
      <c r="J195" s="30">
        <v>2193.2600000000002</v>
      </c>
      <c r="K195" s="30">
        <v>4810409.2</v>
      </c>
      <c r="L195" s="30">
        <v>2193.3000000000002</v>
      </c>
      <c r="M195" s="23"/>
      <c r="N195" s="30">
        <v>13280.18</v>
      </c>
      <c r="O195" s="30">
        <v>1433.82</v>
      </c>
      <c r="P195" s="30">
        <v>2055853.5</v>
      </c>
      <c r="Q195" s="30">
        <v>1433.8</v>
      </c>
      <c r="R195" s="23"/>
      <c r="S195" s="30">
        <v>13947.94</v>
      </c>
      <c r="T195" s="27">
        <v>766.06</v>
      </c>
      <c r="U195" s="30">
        <v>586851.69999999995</v>
      </c>
      <c r="V195" s="27">
        <v>766.1</v>
      </c>
      <c r="W195" s="23"/>
      <c r="X195" s="30">
        <v>14540.54</v>
      </c>
      <c r="Y195" s="27">
        <v>173.46</v>
      </c>
      <c r="Z195" s="30">
        <v>30087.3</v>
      </c>
      <c r="AA195" s="27">
        <v>173.5</v>
      </c>
      <c r="AB195" s="23"/>
      <c r="AC195" s="30">
        <v>15058.99</v>
      </c>
      <c r="AD195" s="27">
        <v>-344.99</v>
      </c>
      <c r="AE195" s="30">
        <v>119021.3</v>
      </c>
      <c r="AF195" s="27">
        <v>345</v>
      </c>
      <c r="AG195" s="23"/>
      <c r="AH195" s="30">
        <v>15504.4</v>
      </c>
      <c r="AI195" s="27">
        <v>-790.4</v>
      </c>
      <c r="AJ195" s="30">
        <v>624731.30000000005</v>
      </c>
      <c r="AK195" s="27">
        <v>790.4</v>
      </c>
      <c r="AL195" s="23"/>
      <c r="AM195" s="30">
        <v>15882.9</v>
      </c>
      <c r="AN195" s="30">
        <v>-1168.9000000000001</v>
      </c>
      <c r="AO195" s="30">
        <v>1366319</v>
      </c>
      <c r="AP195" s="30">
        <v>1168.9000000000001</v>
      </c>
      <c r="AQ195" s="23"/>
      <c r="AR195" s="30">
        <v>16204.31</v>
      </c>
      <c r="AS195" s="30">
        <v>-1490.31</v>
      </c>
      <c r="AT195" s="30">
        <v>2221027.2999999998</v>
      </c>
      <c r="AU195" s="30">
        <v>1490.3</v>
      </c>
    </row>
    <row r="196" spans="1:47" ht="18" x14ac:dyDescent="0.2">
      <c r="A196" s="26">
        <v>45859</v>
      </c>
      <c r="B196" s="40">
        <v>14506</v>
      </c>
      <c r="C196" s="23"/>
      <c r="D196" s="30">
        <v>12026.79</v>
      </c>
      <c r="E196" s="30">
        <v>2479.21</v>
      </c>
      <c r="F196" s="30">
        <v>6146486.4000000004</v>
      </c>
      <c r="G196" s="30">
        <v>2479.1999999999998</v>
      </c>
      <c r="H196" s="23"/>
      <c r="I196" s="30">
        <v>12959.39</v>
      </c>
      <c r="J196" s="30">
        <v>1546.61</v>
      </c>
      <c r="K196" s="30">
        <v>2392007.5</v>
      </c>
      <c r="L196" s="30">
        <v>1546.6</v>
      </c>
      <c r="M196" s="23"/>
      <c r="N196" s="30">
        <v>13710.32</v>
      </c>
      <c r="O196" s="27">
        <v>795.68</v>
      </c>
      <c r="P196" s="30">
        <v>633102.4</v>
      </c>
      <c r="Q196" s="27">
        <v>795.7</v>
      </c>
      <c r="R196" s="23"/>
      <c r="S196" s="30">
        <v>14254.36</v>
      </c>
      <c r="T196" s="27">
        <v>251.64</v>
      </c>
      <c r="U196" s="30">
        <v>63321.4</v>
      </c>
      <c r="V196" s="27">
        <v>251.6</v>
      </c>
      <c r="W196" s="23"/>
      <c r="X196" s="30">
        <v>14627.27</v>
      </c>
      <c r="Y196" s="27">
        <v>-121.27</v>
      </c>
      <c r="Z196" s="30">
        <v>14706.8</v>
      </c>
      <c r="AA196" s="27">
        <v>121.3</v>
      </c>
      <c r="AB196" s="23"/>
      <c r="AC196" s="30">
        <v>14852</v>
      </c>
      <c r="AD196" s="27">
        <v>-346</v>
      </c>
      <c r="AE196" s="30">
        <v>119714.5</v>
      </c>
      <c r="AF196" s="27">
        <v>346</v>
      </c>
      <c r="AG196" s="23"/>
      <c r="AH196" s="30">
        <v>14951.12</v>
      </c>
      <c r="AI196" s="27">
        <v>-445.12</v>
      </c>
      <c r="AJ196" s="30">
        <v>198131.7</v>
      </c>
      <c r="AK196" s="27">
        <v>445.1</v>
      </c>
      <c r="AL196" s="23"/>
      <c r="AM196" s="30">
        <v>14947.78</v>
      </c>
      <c r="AN196" s="27">
        <v>-441.78</v>
      </c>
      <c r="AO196" s="30">
        <v>195168.9</v>
      </c>
      <c r="AP196" s="27">
        <v>441.8</v>
      </c>
      <c r="AQ196" s="23"/>
      <c r="AR196" s="30">
        <v>14863.03</v>
      </c>
      <c r="AS196" s="27">
        <v>-357.03</v>
      </c>
      <c r="AT196" s="30">
        <v>127471.2</v>
      </c>
      <c r="AU196" s="27">
        <v>357</v>
      </c>
    </row>
    <row r="197" spans="1:47" ht="18" x14ac:dyDescent="0.2">
      <c r="A197" s="26">
        <v>45890</v>
      </c>
      <c r="B197" s="40">
        <v>11371</v>
      </c>
      <c r="C197" s="23"/>
      <c r="D197" s="30">
        <v>12274.71</v>
      </c>
      <c r="E197" s="27">
        <v>-903.71</v>
      </c>
      <c r="F197" s="30">
        <v>816692.2</v>
      </c>
      <c r="G197" s="27">
        <v>903.7</v>
      </c>
      <c r="H197" s="23"/>
      <c r="I197" s="30">
        <v>13268.71</v>
      </c>
      <c r="J197" s="30">
        <v>-1897.71</v>
      </c>
      <c r="K197" s="30">
        <v>3601305.9</v>
      </c>
      <c r="L197" s="30">
        <v>1897.7</v>
      </c>
      <c r="M197" s="23"/>
      <c r="N197" s="30">
        <v>13949.03</v>
      </c>
      <c r="O197" s="30">
        <v>-2578.0300000000002</v>
      </c>
      <c r="P197" s="30">
        <v>6646217.4000000004</v>
      </c>
      <c r="Q197" s="30">
        <v>2578</v>
      </c>
      <c r="R197" s="23"/>
      <c r="S197" s="30">
        <v>14355.02</v>
      </c>
      <c r="T197" s="30">
        <v>-2984.02</v>
      </c>
      <c r="U197" s="30">
        <v>8904360.5</v>
      </c>
      <c r="V197" s="30">
        <v>2984</v>
      </c>
      <c r="W197" s="23"/>
      <c r="X197" s="30">
        <v>14566.64</v>
      </c>
      <c r="Y197" s="30">
        <v>-3195.64</v>
      </c>
      <c r="Z197" s="30">
        <v>10212088.1</v>
      </c>
      <c r="AA197" s="30">
        <v>3195.6</v>
      </c>
      <c r="AB197" s="23"/>
      <c r="AC197" s="30">
        <v>14644.4</v>
      </c>
      <c r="AD197" s="30">
        <v>-3273.4</v>
      </c>
      <c r="AE197" s="30">
        <v>10715142</v>
      </c>
      <c r="AF197" s="30">
        <v>3273.4</v>
      </c>
      <c r="AG197" s="23"/>
      <c r="AH197" s="30">
        <v>14639.54</v>
      </c>
      <c r="AI197" s="30">
        <v>-3268.54</v>
      </c>
      <c r="AJ197" s="30">
        <v>10683327.300000001</v>
      </c>
      <c r="AK197" s="30">
        <v>3268.5</v>
      </c>
      <c r="AL197" s="23"/>
      <c r="AM197" s="30">
        <v>14594.36</v>
      </c>
      <c r="AN197" s="30">
        <v>-3223.36</v>
      </c>
      <c r="AO197" s="30">
        <v>10390023</v>
      </c>
      <c r="AP197" s="30">
        <v>3223.4</v>
      </c>
      <c r="AQ197" s="23"/>
      <c r="AR197" s="30">
        <v>14541.7</v>
      </c>
      <c r="AS197" s="30">
        <v>-3170.7</v>
      </c>
      <c r="AT197" s="30">
        <v>10053358.199999999</v>
      </c>
      <c r="AU197" s="30">
        <v>3170.7</v>
      </c>
    </row>
    <row r="198" spans="1:47" ht="18" x14ac:dyDescent="0.2">
      <c r="A198" s="26">
        <v>45921</v>
      </c>
      <c r="B198" s="40">
        <v>12230</v>
      </c>
      <c r="C198" s="23"/>
      <c r="D198" s="30">
        <v>12184.34</v>
      </c>
      <c r="E198" s="27">
        <v>45.66</v>
      </c>
      <c r="F198" s="30">
        <v>2084.9</v>
      </c>
      <c r="G198" s="27">
        <v>45.7</v>
      </c>
      <c r="H198" s="23"/>
      <c r="I198" s="30">
        <v>12889.17</v>
      </c>
      <c r="J198" s="27">
        <v>-659.17</v>
      </c>
      <c r="K198" s="30">
        <v>434503.2</v>
      </c>
      <c r="L198" s="27">
        <v>659.2</v>
      </c>
      <c r="M198" s="23"/>
      <c r="N198" s="30">
        <v>13175.62</v>
      </c>
      <c r="O198" s="27">
        <v>-945.62</v>
      </c>
      <c r="P198" s="30">
        <v>894193.6</v>
      </c>
      <c r="Q198" s="27">
        <v>945.6</v>
      </c>
      <c r="R198" s="23"/>
      <c r="S198" s="30">
        <v>13161.41</v>
      </c>
      <c r="T198" s="27">
        <v>-931.41</v>
      </c>
      <c r="U198" s="30">
        <v>867525.5</v>
      </c>
      <c r="V198" s="27">
        <v>931.4</v>
      </c>
      <c r="W198" s="23"/>
      <c r="X198" s="30">
        <v>12968.82</v>
      </c>
      <c r="Y198" s="27">
        <v>-738.82</v>
      </c>
      <c r="Z198" s="30">
        <v>545851.9</v>
      </c>
      <c r="AA198" s="27">
        <v>738.8</v>
      </c>
      <c r="AB198" s="23"/>
      <c r="AC198" s="30">
        <v>12680.36</v>
      </c>
      <c r="AD198" s="27">
        <v>-450.36</v>
      </c>
      <c r="AE198" s="30">
        <v>202823.8</v>
      </c>
      <c r="AF198" s="27">
        <v>450.4</v>
      </c>
      <c r="AG198" s="23"/>
      <c r="AH198" s="30">
        <v>12351.56</v>
      </c>
      <c r="AI198" s="27">
        <v>-121.56</v>
      </c>
      <c r="AJ198" s="30">
        <v>14777</v>
      </c>
      <c r="AK198" s="27">
        <v>121.6</v>
      </c>
      <c r="AL198" s="23"/>
      <c r="AM198" s="30">
        <v>12015.67</v>
      </c>
      <c r="AN198" s="27">
        <v>214.33</v>
      </c>
      <c r="AO198" s="30">
        <v>45936.800000000003</v>
      </c>
      <c r="AP198" s="27">
        <v>214.3</v>
      </c>
      <c r="AQ198" s="23"/>
      <c r="AR198" s="30">
        <v>11688.07</v>
      </c>
      <c r="AS198" s="27">
        <v>541.92999999999995</v>
      </c>
      <c r="AT198" s="30">
        <v>293687.8</v>
      </c>
      <c r="AU198" s="27">
        <v>541.9</v>
      </c>
    </row>
    <row r="199" spans="1:47" ht="18" x14ac:dyDescent="0.2">
      <c r="A199" s="26">
        <v>45951</v>
      </c>
      <c r="B199" s="40">
        <v>9480</v>
      </c>
      <c r="C199" s="23"/>
      <c r="D199" s="30">
        <v>12188.91</v>
      </c>
      <c r="E199" s="30">
        <v>-2708.91</v>
      </c>
      <c r="F199" s="30">
        <v>7338167.9000000004</v>
      </c>
      <c r="G199" s="30">
        <v>2708.9</v>
      </c>
      <c r="H199" s="23"/>
      <c r="I199" s="30">
        <v>12757.33</v>
      </c>
      <c r="J199" s="30">
        <v>-3277.33</v>
      </c>
      <c r="K199" s="30">
        <v>10740923.699999999</v>
      </c>
      <c r="L199" s="30">
        <v>3277.3</v>
      </c>
      <c r="M199" s="23"/>
      <c r="N199" s="30">
        <v>12891.93</v>
      </c>
      <c r="O199" s="30">
        <v>-3411.93</v>
      </c>
      <c r="P199" s="30">
        <v>11641284.6</v>
      </c>
      <c r="Q199" s="30">
        <v>3411.9</v>
      </c>
      <c r="R199" s="23"/>
      <c r="S199" s="30">
        <v>12788.85</v>
      </c>
      <c r="T199" s="30">
        <v>-3308.85</v>
      </c>
      <c r="U199" s="30">
        <v>10948463.9</v>
      </c>
      <c r="V199" s="30">
        <v>3308.8</v>
      </c>
      <c r="W199" s="23"/>
      <c r="X199" s="30">
        <v>12599.41</v>
      </c>
      <c r="Y199" s="30">
        <v>-3119.41</v>
      </c>
      <c r="Z199" s="30">
        <v>9730712.1999999993</v>
      </c>
      <c r="AA199" s="30">
        <v>3119.4</v>
      </c>
      <c r="AB199" s="23"/>
      <c r="AC199" s="30">
        <v>12410.14</v>
      </c>
      <c r="AD199" s="30">
        <v>-2930.14</v>
      </c>
      <c r="AE199" s="30">
        <v>8585743.0999999996</v>
      </c>
      <c r="AF199" s="30">
        <v>2930.1</v>
      </c>
      <c r="AG199" s="23"/>
      <c r="AH199" s="30">
        <v>12266.47</v>
      </c>
      <c r="AI199" s="30">
        <v>-2786.47</v>
      </c>
      <c r="AJ199" s="30">
        <v>7764405.2000000002</v>
      </c>
      <c r="AK199" s="30">
        <v>2786.5</v>
      </c>
      <c r="AL199" s="23"/>
      <c r="AM199" s="30">
        <v>12187.13</v>
      </c>
      <c r="AN199" s="30">
        <v>-2707.13</v>
      </c>
      <c r="AO199" s="30">
        <v>7328575.7999999998</v>
      </c>
      <c r="AP199" s="30">
        <v>2707.1</v>
      </c>
      <c r="AQ199" s="23"/>
      <c r="AR199" s="30">
        <v>12175.81</v>
      </c>
      <c r="AS199" s="30">
        <v>-2695.81</v>
      </c>
      <c r="AT199" s="30">
        <v>7267375.5</v>
      </c>
      <c r="AU199" s="30">
        <v>2695.8</v>
      </c>
    </row>
    <row r="200" spans="1:47" ht="18" x14ac:dyDescent="0.2">
      <c r="A200" s="26">
        <v>45982</v>
      </c>
      <c r="B200" s="40">
        <v>7629</v>
      </c>
      <c r="C200" s="23"/>
      <c r="D200" s="30">
        <v>11918.01</v>
      </c>
      <c r="E200" s="30">
        <v>-4289.01</v>
      </c>
      <c r="F200" s="30">
        <v>18395647.699999999</v>
      </c>
      <c r="G200" s="30">
        <v>4289</v>
      </c>
      <c r="H200" s="23"/>
      <c r="I200" s="30">
        <v>12101.87</v>
      </c>
      <c r="J200" s="30">
        <v>-4472.87</v>
      </c>
      <c r="K200" s="30">
        <v>20006547.100000001</v>
      </c>
      <c r="L200" s="30">
        <v>4472.8999999999996</v>
      </c>
      <c r="M200" s="23"/>
      <c r="N200" s="30">
        <v>11868.35</v>
      </c>
      <c r="O200" s="30">
        <v>-4239.3500000000004</v>
      </c>
      <c r="P200" s="30">
        <v>17972112.800000001</v>
      </c>
      <c r="Q200" s="30">
        <v>4239.3999999999996</v>
      </c>
      <c r="R200" s="23"/>
      <c r="S200" s="30">
        <v>11465.31</v>
      </c>
      <c r="T200" s="30">
        <v>-3836.31</v>
      </c>
      <c r="U200" s="30">
        <v>14717257.4</v>
      </c>
      <c r="V200" s="30">
        <v>3836.3</v>
      </c>
      <c r="W200" s="23"/>
      <c r="X200" s="30">
        <v>11039.7</v>
      </c>
      <c r="Y200" s="30">
        <v>-3410.7</v>
      </c>
      <c r="Z200" s="30">
        <v>11632905</v>
      </c>
      <c r="AA200" s="30">
        <v>3410.7</v>
      </c>
      <c r="AB200" s="23"/>
      <c r="AC200" s="30">
        <v>10652.06</v>
      </c>
      <c r="AD200" s="30">
        <v>-3023.06</v>
      </c>
      <c r="AE200" s="30">
        <v>9138876.9000000004</v>
      </c>
      <c r="AF200" s="30">
        <v>3023.1</v>
      </c>
      <c r="AG200" s="23"/>
      <c r="AH200" s="30">
        <v>10315.94</v>
      </c>
      <c r="AI200" s="30">
        <v>-2686.94</v>
      </c>
      <c r="AJ200" s="30">
        <v>7219649.0999999996</v>
      </c>
      <c r="AK200" s="30">
        <v>2686.9</v>
      </c>
      <c r="AL200" s="23"/>
      <c r="AM200" s="30">
        <v>10021.43</v>
      </c>
      <c r="AN200" s="30">
        <v>-2392.4299999999998</v>
      </c>
      <c r="AO200" s="30">
        <v>5723706.2000000002</v>
      </c>
      <c r="AP200" s="30">
        <v>2392.4</v>
      </c>
      <c r="AQ200" s="23"/>
      <c r="AR200" s="30">
        <v>9749.58</v>
      </c>
      <c r="AS200" s="30">
        <v>-2120.58</v>
      </c>
      <c r="AT200" s="30">
        <v>4496862.5</v>
      </c>
      <c r="AU200" s="30">
        <v>2120.6</v>
      </c>
    </row>
    <row r="201" spans="1:47" ht="18" x14ac:dyDescent="0.2">
      <c r="A201" s="26">
        <v>46012</v>
      </c>
      <c r="B201" s="40">
        <v>11286</v>
      </c>
      <c r="C201" s="23"/>
      <c r="D201" s="30">
        <v>11489.11</v>
      </c>
      <c r="E201" s="27">
        <v>-203.11</v>
      </c>
      <c r="F201" s="30">
        <v>41255</v>
      </c>
      <c r="G201" s="27">
        <v>203.1</v>
      </c>
      <c r="H201" s="23"/>
      <c r="I201" s="30">
        <v>11207.29</v>
      </c>
      <c r="J201" s="27">
        <v>78.709999999999994</v>
      </c>
      <c r="K201" s="30">
        <v>6194.6</v>
      </c>
      <c r="L201" s="27">
        <v>78.7</v>
      </c>
      <c r="M201" s="23"/>
      <c r="N201" s="30">
        <v>10596.55</v>
      </c>
      <c r="O201" s="27">
        <v>689.45</v>
      </c>
      <c r="P201" s="30">
        <v>475345.4</v>
      </c>
      <c r="Q201" s="27">
        <v>689.5</v>
      </c>
      <c r="R201" s="23"/>
      <c r="S201" s="30">
        <v>9930.7800000000007</v>
      </c>
      <c r="T201" s="30">
        <v>1355.22</v>
      </c>
      <c r="U201" s="30">
        <v>1836608.6</v>
      </c>
      <c r="V201" s="30">
        <v>1355.2</v>
      </c>
      <c r="W201" s="23"/>
      <c r="X201" s="30">
        <v>9334.35</v>
      </c>
      <c r="Y201" s="30">
        <v>1951.65</v>
      </c>
      <c r="Z201" s="30">
        <v>3808929</v>
      </c>
      <c r="AA201" s="30">
        <v>1951.6</v>
      </c>
      <c r="AB201" s="23"/>
      <c r="AC201" s="30">
        <v>8838.2199999999993</v>
      </c>
      <c r="AD201" s="30">
        <v>2447.7800000000002</v>
      </c>
      <c r="AE201" s="30">
        <v>5991612.2000000002</v>
      </c>
      <c r="AF201" s="30">
        <v>2447.8000000000002</v>
      </c>
      <c r="AG201" s="23"/>
      <c r="AH201" s="30">
        <v>8435.08</v>
      </c>
      <c r="AI201" s="30">
        <v>2850.92</v>
      </c>
      <c r="AJ201" s="30">
        <v>8127732.5999999996</v>
      </c>
      <c r="AK201" s="30">
        <v>2850.9</v>
      </c>
      <c r="AL201" s="23"/>
      <c r="AM201" s="30">
        <v>8107.49</v>
      </c>
      <c r="AN201" s="30">
        <v>3178.51</v>
      </c>
      <c r="AO201" s="30">
        <v>10102955.300000001</v>
      </c>
      <c r="AP201" s="30">
        <v>3178.5</v>
      </c>
      <c r="AQ201" s="23"/>
      <c r="AR201" s="30">
        <v>7841.06</v>
      </c>
      <c r="AS201" s="30">
        <v>3444.94</v>
      </c>
      <c r="AT201" s="30">
        <v>11867624.9</v>
      </c>
      <c r="AU201" s="30">
        <v>3444.9</v>
      </c>
    </row>
    <row r="202" spans="1:47" ht="18" x14ac:dyDescent="0.2">
      <c r="A202" s="26">
        <v>45679</v>
      </c>
      <c r="B202" s="40">
        <v>6998</v>
      </c>
      <c r="C202" s="23"/>
      <c r="D202" s="30">
        <v>11468.8</v>
      </c>
      <c r="E202" s="30">
        <v>-4470.8</v>
      </c>
      <c r="F202" s="30">
        <v>19988070.199999999</v>
      </c>
      <c r="G202" s="30">
        <v>4470.8</v>
      </c>
      <c r="H202" s="23"/>
      <c r="I202" s="30">
        <v>11223.04</v>
      </c>
      <c r="J202" s="30">
        <v>-4225.04</v>
      </c>
      <c r="K202" s="30">
        <v>17850924.5</v>
      </c>
      <c r="L202" s="30">
        <v>4225</v>
      </c>
      <c r="M202" s="23"/>
      <c r="N202" s="30">
        <v>10803.38</v>
      </c>
      <c r="O202" s="30">
        <v>-3805.38</v>
      </c>
      <c r="P202" s="30">
        <v>14480939.1</v>
      </c>
      <c r="Q202" s="30">
        <v>3805.4</v>
      </c>
      <c r="R202" s="23"/>
      <c r="S202" s="30">
        <v>10472.870000000001</v>
      </c>
      <c r="T202" s="30">
        <v>-3474.87</v>
      </c>
      <c r="U202" s="30">
        <v>12074727.1</v>
      </c>
      <c r="V202" s="30">
        <v>3474.9</v>
      </c>
      <c r="W202" s="23"/>
      <c r="X202" s="30">
        <v>10310.18</v>
      </c>
      <c r="Y202" s="30">
        <v>-3312.18</v>
      </c>
      <c r="Z202" s="30">
        <v>10970510.6</v>
      </c>
      <c r="AA202" s="30">
        <v>3312.2</v>
      </c>
      <c r="AB202" s="23"/>
      <c r="AC202" s="30">
        <v>10306.89</v>
      </c>
      <c r="AD202" s="30">
        <v>-3308.89</v>
      </c>
      <c r="AE202" s="30">
        <v>10948747.800000001</v>
      </c>
      <c r="AF202" s="30">
        <v>3308.9</v>
      </c>
      <c r="AG202" s="23"/>
      <c r="AH202" s="30">
        <v>10430.719999999999</v>
      </c>
      <c r="AI202" s="30">
        <v>-3432.72</v>
      </c>
      <c r="AJ202" s="30">
        <v>11783598.5</v>
      </c>
      <c r="AK202" s="30">
        <v>3432.7</v>
      </c>
      <c r="AL202" s="23"/>
      <c r="AM202" s="30">
        <v>10650.3</v>
      </c>
      <c r="AN202" s="30">
        <v>-3652.3</v>
      </c>
      <c r="AO202" s="30">
        <v>13339273.9</v>
      </c>
      <c r="AP202" s="30">
        <v>3652.3</v>
      </c>
      <c r="AQ202" s="23"/>
      <c r="AR202" s="30">
        <v>10941.51</v>
      </c>
      <c r="AS202" s="30">
        <v>-3943.51</v>
      </c>
      <c r="AT202" s="30">
        <v>15551238.1</v>
      </c>
      <c r="AU202" s="30">
        <v>3943.5</v>
      </c>
    </row>
    <row r="203" spans="1:47" ht="18" x14ac:dyDescent="0.2">
      <c r="A203" s="26">
        <v>45710</v>
      </c>
      <c r="B203" s="40">
        <v>8163</v>
      </c>
      <c r="C203" s="23"/>
      <c r="D203" s="30">
        <v>11021.72</v>
      </c>
      <c r="E203" s="30">
        <v>-2858.72</v>
      </c>
      <c r="F203" s="30">
        <v>8172290.0999999996</v>
      </c>
      <c r="G203" s="30">
        <v>2858.7</v>
      </c>
      <c r="H203" s="23"/>
      <c r="I203" s="30">
        <v>10378.030000000001</v>
      </c>
      <c r="J203" s="30">
        <v>-2215.0300000000002</v>
      </c>
      <c r="K203" s="30">
        <v>4906350.5999999996</v>
      </c>
      <c r="L203" s="30">
        <v>2215</v>
      </c>
      <c r="M203" s="23"/>
      <c r="N203" s="30">
        <v>9661.77</v>
      </c>
      <c r="O203" s="30">
        <v>-1498.77</v>
      </c>
      <c r="P203" s="30">
        <v>2246305.6</v>
      </c>
      <c r="Q203" s="30">
        <v>1498.8</v>
      </c>
      <c r="R203" s="23"/>
      <c r="S203" s="30">
        <v>9082.92</v>
      </c>
      <c r="T203" s="27">
        <v>-919.92</v>
      </c>
      <c r="U203" s="30">
        <v>846257.4</v>
      </c>
      <c r="V203" s="27">
        <v>919.9</v>
      </c>
      <c r="W203" s="23"/>
      <c r="X203" s="30">
        <v>8654.09</v>
      </c>
      <c r="Y203" s="27">
        <v>-491.09</v>
      </c>
      <c r="Z203" s="30">
        <v>241167.5</v>
      </c>
      <c r="AA203" s="27">
        <v>491.1</v>
      </c>
      <c r="AB203" s="23"/>
      <c r="AC203" s="30">
        <v>8321.56</v>
      </c>
      <c r="AD203" s="27">
        <v>-158.56</v>
      </c>
      <c r="AE203" s="30">
        <v>25139.9</v>
      </c>
      <c r="AF203" s="27">
        <v>158.6</v>
      </c>
      <c r="AG203" s="23"/>
      <c r="AH203" s="30">
        <v>8027.82</v>
      </c>
      <c r="AI203" s="27">
        <v>135.18</v>
      </c>
      <c r="AJ203" s="30">
        <v>18274.3</v>
      </c>
      <c r="AK203" s="27">
        <v>135.19999999999999</v>
      </c>
      <c r="AL203" s="23"/>
      <c r="AM203" s="30">
        <v>7728.46</v>
      </c>
      <c r="AN203" s="27">
        <v>434.54</v>
      </c>
      <c r="AO203" s="30">
        <v>188825.5</v>
      </c>
      <c r="AP203" s="27">
        <v>434.5</v>
      </c>
      <c r="AQ203" s="23"/>
      <c r="AR203" s="30">
        <v>7392.35</v>
      </c>
      <c r="AS203" s="27">
        <v>770.65</v>
      </c>
      <c r="AT203" s="30">
        <v>593900.5</v>
      </c>
      <c r="AU203" s="27">
        <v>770.6</v>
      </c>
    </row>
    <row r="204" spans="1:47" ht="18" x14ac:dyDescent="0.2">
      <c r="A204" s="26">
        <v>45738</v>
      </c>
      <c r="B204" s="40">
        <v>8828</v>
      </c>
      <c r="C204" s="23"/>
      <c r="D204" s="30">
        <v>10735.85</v>
      </c>
      <c r="E204" s="30">
        <v>-1907.85</v>
      </c>
      <c r="F204" s="30">
        <v>3639890.1</v>
      </c>
      <c r="G204" s="30">
        <v>1907.8</v>
      </c>
      <c r="H204" s="23"/>
      <c r="I204" s="30">
        <v>9935.02</v>
      </c>
      <c r="J204" s="30">
        <v>-1107.02</v>
      </c>
      <c r="K204" s="30">
        <v>1225499.2</v>
      </c>
      <c r="L204" s="30">
        <v>1107</v>
      </c>
      <c r="M204" s="23"/>
      <c r="N204" s="30">
        <v>9212.14</v>
      </c>
      <c r="O204" s="27">
        <v>-384.14</v>
      </c>
      <c r="P204" s="30">
        <v>147561.70000000001</v>
      </c>
      <c r="Q204" s="27">
        <v>384.1</v>
      </c>
      <c r="R204" s="23"/>
      <c r="S204" s="30">
        <v>8714.9500000000007</v>
      </c>
      <c r="T204" s="27">
        <v>113.05</v>
      </c>
      <c r="U204" s="30">
        <v>12779.5</v>
      </c>
      <c r="V204" s="27">
        <v>113</v>
      </c>
      <c r="W204" s="23"/>
      <c r="X204" s="30">
        <v>8408.5400000000009</v>
      </c>
      <c r="Y204" s="27">
        <v>419.46</v>
      </c>
      <c r="Z204" s="30">
        <v>175943.3</v>
      </c>
      <c r="AA204" s="27">
        <v>419.5</v>
      </c>
      <c r="AB204" s="23"/>
      <c r="AC204" s="30">
        <v>8226.42</v>
      </c>
      <c r="AD204" s="27">
        <v>601.58000000000004</v>
      </c>
      <c r="AE204" s="30">
        <v>361895.8</v>
      </c>
      <c r="AF204" s="27">
        <v>601.6</v>
      </c>
      <c r="AG204" s="23"/>
      <c r="AH204" s="30">
        <v>8122.45</v>
      </c>
      <c r="AI204" s="27">
        <v>705.55</v>
      </c>
      <c r="AJ204" s="30">
        <v>497807.6</v>
      </c>
      <c r="AK204" s="27">
        <v>705.6</v>
      </c>
      <c r="AL204" s="23"/>
      <c r="AM204" s="30">
        <v>8076.09</v>
      </c>
      <c r="AN204" s="27">
        <v>751.91</v>
      </c>
      <c r="AO204" s="30">
        <v>565365.80000000005</v>
      </c>
      <c r="AP204" s="27">
        <v>751.9</v>
      </c>
      <c r="AQ204" s="23"/>
      <c r="AR204" s="30">
        <v>8085.94</v>
      </c>
      <c r="AS204" s="27">
        <v>742.06</v>
      </c>
      <c r="AT204" s="30">
        <v>550660.4</v>
      </c>
      <c r="AU204" s="27">
        <v>742.1</v>
      </c>
    </row>
    <row r="205" spans="1:47" ht="18" x14ac:dyDescent="0.2">
      <c r="A205" s="26">
        <v>45769</v>
      </c>
      <c r="B205" s="40">
        <v>7994</v>
      </c>
      <c r="C205" s="23"/>
      <c r="D205" s="30">
        <v>10545.06</v>
      </c>
      <c r="E205" s="30">
        <v>-2551.06</v>
      </c>
      <c r="F205" s="30">
        <v>6507930.7999999998</v>
      </c>
      <c r="G205" s="30">
        <v>2551.1</v>
      </c>
      <c r="H205" s="23"/>
      <c r="I205" s="30">
        <v>9713.6200000000008</v>
      </c>
      <c r="J205" s="30">
        <v>-1719.62</v>
      </c>
      <c r="K205" s="30">
        <v>2957086.6</v>
      </c>
      <c r="L205" s="30">
        <v>1719.6</v>
      </c>
      <c r="M205" s="23"/>
      <c r="N205" s="30">
        <v>9096.9</v>
      </c>
      <c r="O205" s="30">
        <v>-1102.9000000000001</v>
      </c>
      <c r="P205" s="30">
        <v>1216380.3</v>
      </c>
      <c r="Q205" s="30">
        <v>1102.9000000000001</v>
      </c>
      <c r="R205" s="23"/>
      <c r="S205" s="30">
        <v>8760.17</v>
      </c>
      <c r="T205" s="27">
        <v>-766.17</v>
      </c>
      <c r="U205" s="30">
        <v>587019.69999999995</v>
      </c>
      <c r="V205" s="27">
        <v>766.2</v>
      </c>
      <c r="W205" s="23"/>
      <c r="X205" s="30">
        <v>8618.27</v>
      </c>
      <c r="Y205" s="27">
        <v>-624.27</v>
      </c>
      <c r="Z205" s="30">
        <v>389715.5</v>
      </c>
      <c r="AA205" s="27">
        <v>624.29999999999995</v>
      </c>
      <c r="AB205" s="23"/>
      <c r="AC205" s="30">
        <v>8587.3700000000008</v>
      </c>
      <c r="AD205" s="27">
        <v>-593.37</v>
      </c>
      <c r="AE205" s="30">
        <v>352086.7</v>
      </c>
      <c r="AF205" s="27">
        <v>593.4</v>
      </c>
      <c r="AG205" s="23"/>
      <c r="AH205" s="30">
        <v>8616.33</v>
      </c>
      <c r="AI205" s="27">
        <v>-622.33000000000004</v>
      </c>
      <c r="AJ205" s="30">
        <v>387299.1</v>
      </c>
      <c r="AK205" s="27">
        <v>622.29999999999995</v>
      </c>
      <c r="AL205" s="23"/>
      <c r="AM205" s="30">
        <v>8677.6200000000008</v>
      </c>
      <c r="AN205" s="27">
        <v>-683.62</v>
      </c>
      <c r="AO205" s="30">
        <v>467334.1</v>
      </c>
      <c r="AP205" s="27">
        <v>683.6</v>
      </c>
      <c r="AQ205" s="23"/>
      <c r="AR205" s="30">
        <v>8753.7900000000009</v>
      </c>
      <c r="AS205" s="27">
        <v>-759.79</v>
      </c>
      <c r="AT205" s="30">
        <v>577286.19999999995</v>
      </c>
      <c r="AU205" s="27">
        <v>759.8</v>
      </c>
    </row>
    <row r="206" spans="1:47" ht="18" x14ac:dyDescent="0.2">
      <c r="A206" s="26">
        <v>45799</v>
      </c>
      <c r="B206" s="40">
        <v>8713</v>
      </c>
      <c r="C206" s="23"/>
      <c r="D206" s="30">
        <v>10289.959999999999</v>
      </c>
      <c r="E206" s="30">
        <v>-1576.96</v>
      </c>
      <c r="F206" s="30">
        <v>2486797.1</v>
      </c>
      <c r="G206" s="30">
        <v>1577</v>
      </c>
      <c r="H206" s="23"/>
      <c r="I206" s="30">
        <v>9369.69</v>
      </c>
      <c r="J206" s="27">
        <v>-656.69</v>
      </c>
      <c r="K206" s="30">
        <v>431247.7</v>
      </c>
      <c r="L206" s="27">
        <v>656.7</v>
      </c>
      <c r="M206" s="23"/>
      <c r="N206" s="30">
        <v>8766.0300000000007</v>
      </c>
      <c r="O206" s="27">
        <v>-53.03</v>
      </c>
      <c r="P206" s="30">
        <v>2811.9</v>
      </c>
      <c r="Q206" s="27">
        <v>53</v>
      </c>
      <c r="R206" s="23"/>
      <c r="S206" s="30">
        <v>8453.7000000000007</v>
      </c>
      <c r="T206" s="27">
        <v>259.3</v>
      </c>
      <c r="U206" s="30">
        <v>67234.8</v>
      </c>
      <c r="V206" s="27">
        <v>259.3</v>
      </c>
      <c r="W206" s="23"/>
      <c r="X206" s="30">
        <v>8306.14</v>
      </c>
      <c r="Y206" s="27">
        <v>406.86</v>
      </c>
      <c r="Z206" s="30">
        <v>165538.29999999999</v>
      </c>
      <c r="AA206" s="27">
        <v>406.9</v>
      </c>
      <c r="AB206" s="23"/>
      <c r="AC206" s="30">
        <v>8231.35</v>
      </c>
      <c r="AD206" s="27">
        <v>481.65</v>
      </c>
      <c r="AE206" s="30">
        <v>231989.1</v>
      </c>
      <c r="AF206" s="27">
        <v>481.7</v>
      </c>
      <c r="AG206" s="23"/>
      <c r="AH206" s="30">
        <v>8180.7</v>
      </c>
      <c r="AI206" s="27">
        <v>532.29999999999995</v>
      </c>
      <c r="AJ206" s="30">
        <v>283343.2</v>
      </c>
      <c r="AK206" s="27">
        <v>532.29999999999995</v>
      </c>
      <c r="AL206" s="23"/>
      <c r="AM206" s="30">
        <v>8130.72</v>
      </c>
      <c r="AN206" s="27">
        <v>582.28</v>
      </c>
      <c r="AO206" s="30">
        <v>339045.7</v>
      </c>
      <c r="AP206" s="27">
        <v>582.29999999999995</v>
      </c>
      <c r="AQ206" s="23"/>
      <c r="AR206" s="30">
        <v>8069.98</v>
      </c>
      <c r="AS206" s="27">
        <v>643.02</v>
      </c>
      <c r="AT206" s="30">
        <v>413475.6</v>
      </c>
      <c r="AU206" s="27">
        <v>643</v>
      </c>
    </row>
    <row r="207" spans="1:47" ht="18" x14ac:dyDescent="0.2">
      <c r="A207" s="26">
        <v>45830</v>
      </c>
      <c r="B207" s="40">
        <v>5739</v>
      </c>
      <c r="C207" s="23"/>
      <c r="D207" s="30">
        <v>10132.26</v>
      </c>
      <c r="E207" s="30">
        <v>-4393.26</v>
      </c>
      <c r="F207" s="30">
        <v>19300754.100000001</v>
      </c>
      <c r="G207" s="30">
        <v>4393.3</v>
      </c>
      <c r="H207" s="23"/>
      <c r="I207" s="30">
        <v>9238.36</v>
      </c>
      <c r="J207" s="30">
        <v>-3499.36</v>
      </c>
      <c r="K207" s="30">
        <v>12245489.699999999</v>
      </c>
      <c r="L207" s="30">
        <v>3499.4</v>
      </c>
      <c r="M207" s="23"/>
      <c r="N207" s="30">
        <v>8750.1200000000008</v>
      </c>
      <c r="O207" s="30">
        <v>-3011.12</v>
      </c>
      <c r="P207" s="30">
        <v>9066838.9000000004</v>
      </c>
      <c r="Q207" s="30">
        <v>3011.1</v>
      </c>
      <c r="R207" s="23"/>
      <c r="S207" s="30">
        <v>8557.42</v>
      </c>
      <c r="T207" s="30">
        <v>-2818.42</v>
      </c>
      <c r="U207" s="30">
        <v>7943502.2999999998</v>
      </c>
      <c r="V207" s="30">
        <v>2818.4</v>
      </c>
      <c r="W207" s="23"/>
      <c r="X207" s="30">
        <v>8509.57</v>
      </c>
      <c r="Y207" s="30">
        <v>-2770.57</v>
      </c>
      <c r="Z207" s="30">
        <v>7676047.0999999996</v>
      </c>
      <c r="AA207" s="30">
        <v>2770.6</v>
      </c>
      <c r="AB207" s="23"/>
      <c r="AC207" s="30">
        <v>8520.34</v>
      </c>
      <c r="AD207" s="30">
        <v>-2781.34</v>
      </c>
      <c r="AE207" s="30">
        <v>7735846.7999999998</v>
      </c>
      <c r="AF207" s="30">
        <v>2781.3</v>
      </c>
      <c r="AG207" s="23"/>
      <c r="AH207" s="30">
        <v>8553.31</v>
      </c>
      <c r="AI207" s="30">
        <v>-2814.31</v>
      </c>
      <c r="AJ207" s="30">
        <v>7920340.9000000004</v>
      </c>
      <c r="AK207" s="30">
        <v>2814.3</v>
      </c>
      <c r="AL207" s="23"/>
      <c r="AM207" s="30">
        <v>8596.5400000000009</v>
      </c>
      <c r="AN207" s="30">
        <v>-2857.54</v>
      </c>
      <c r="AO207" s="30">
        <v>8165561.9000000004</v>
      </c>
      <c r="AP207" s="30">
        <v>2857.5</v>
      </c>
      <c r="AQ207" s="23"/>
      <c r="AR207" s="30">
        <v>8648.7000000000007</v>
      </c>
      <c r="AS207" s="30">
        <v>-2909.7</v>
      </c>
      <c r="AT207" s="30">
        <v>8466342.0999999996</v>
      </c>
      <c r="AU207" s="30">
        <v>2909.7</v>
      </c>
    </row>
    <row r="208" spans="1:47" ht="18" x14ac:dyDescent="0.2">
      <c r="A208" s="26">
        <v>45860</v>
      </c>
      <c r="B208" s="40">
        <v>10615</v>
      </c>
      <c r="C208" s="23"/>
      <c r="D208" s="30">
        <v>9692.94</v>
      </c>
      <c r="E208" s="27">
        <v>922.06</v>
      </c>
      <c r="F208" s="30">
        <v>850201.8</v>
      </c>
      <c r="G208" s="27">
        <v>922.1</v>
      </c>
      <c r="H208" s="23"/>
      <c r="I208" s="30">
        <v>8538.48</v>
      </c>
      <c r="J208" s="30">
        <v>2076.52</v>
      </c>
      <c r="K208" s="30">
        <v>4311916.7</v>
      </c>
      <c r="L208" s="30">
        <v>2076.5</v>
      </c>
      <c r="M208" s="23"/>
      <c r="N208" s="30">
        <v>7846.78</v>
      </c>
      <c r="O208" s="30">
        <v>2768.22</v>
      </c>
      <c r="P208" s="30">
        <v>7663022.9000000004</v>
      </c>
      <c r="Q208" s="30">
        <v>2768.2</v>
      </c>
      <c r="R208" s="23"/>
      <c r="S208" s="30">
        <v>7430.05</v>
      </c>
      <c r="T208" s="30">
        <v>3184.95</v>
      </c>
      <c r="U208" s="30">
        <v>10143886.300000001</v>
      </c>
      <c r="V208" s="30">
        <v>3184.9</v>
      </c>
      <c r="W208" s="23"/>
      <c r="X208" s="30">
        <v>7124.28</v>
      </c>
      <c r="Y208" s="30">
        <v>3490.72</v>
      </c>
      <c r="Z208" s="30">
        <v>12185098.199999999</v>
      </c>
      <c r="AA208" s="30">
        <v>3490.7</v>
      </c>
      <c r="AB208" s="23"/>
      <c r="AC208" s="30">
        <v>6851.54</v>
      </c>
      <c r="AD208" s="30">
        <v>3763.46</v>
      </c>
      <c r="AE208" s="30">
        <v>14163664.199999999</v>
      </c>
      <c r="AF208" s="30">
        <v>3763.5</v>
      </c>
      <c r="AG208" s="23"/>
      <c r="AH208" s="30">
        <v>6583.29</v>
      </c>
      <c r="AI208" s="30">
        <v>4031.71</v>
      </c>
      <c r="AJ208" s="30">
        <v>16254661.300000001</v>
      </c>
      <c r="AK208" s="30">
        <v>4031.7</v>
      </c>
      <c r="AL208" s="23"/>
      <c r="AM208" s="30">
        <v>6310.51</v>
      </c>
      <c r="AN208" s="30">
        <v>4304.49</v>
      </c>
      <c r="AO208" s="30">
        <v>18528643.199999999</v>
      </c>
      <c r="AP208" s="30">
        <v>4304.5</v>
      </c>
      <c r="AQ208" s="23"/>
      <c r="AR208" s="30">
        <v>6029.97</v>
      </c>
      <c r="AS208" s="30">
        <v>4585.03</v>
      </c>
      <c r="AT208" s="30">
        <v>21022502</v>
      </c>
      <c r="AU208" s="30">
        <v>4585</v>
      </c>
    </row>
    <row r="209" spans="1:47" ht="18" x14ac:dyDescent="0.2">
      <c r="A209" s="26">
        <v>45891</v>
      </c>
      <c r="B209" s="40">
        <v>8690</v>
      </c>
      <c r="C209" s="23"/>
      <c r="D209" s="30">
        <v>9785.14</v>
      </c>
      <c r="E209" s="30">
        <v>-1095.1400000000001</v>
      </c>
      <c r="F209" s="30">
        <v>1199337.1000000001</v>
      </c>
      <c r="G209" s="30">
        <v>1095.0999999999999</v>
      </c>
      <c r="H209" s="23"/>
      <c r="I209" s="30">
        <v>8953.7900000000009</v>
      </c>
      <c r="J209" s="27">
        <v>-263.79000000000002</v>
      </c>
      <c r="K209" s="30">
        <v>69583.899999999994</v>
      </c>
      <c r="L209" s="27">
        <v>263.8</v>
      </c>
      <c r="M209" s="23"/>
      <c r="N209" s="30">
        <v>8677.25</v>
      </c>
      <c r="O209" s="27">
        <v>12.75</v>
      </c>
      <c r="P209" s="27">
        <v>162.6</v>
      </c>
      <c r="Q209" s="27">
        <v>12.8</v>
      </c>
      <c r="R209" s="23"/>
      <c r="S209" s="30">
        <v>8704.0300000000007</v>
      </c>
      <c r="T209" s="27">
        <v>-14.03</v>
      </c>
      <c r="U209" s="27">
        <v>196.9</v>
      </c>
      <c r="V209" s="27">
        <v>14</v>
      </c>
      <c r="W209" s="23"/>
      <c r="X209" s="30">
        <v>8869.64</v>
      </c>
      <c r="Y209" s="27">
        <v>-179.64</v>
      </c>
      <c r="Z209" s="30">
        <v>32271.200000000001</v>
      </c>
      <c r="AA209" s="27">
        <v>179.6</v>
      </c>
      <c r="AB209" s="23"/>
      <c r="AC209" s="30">
        <v>9109.61</v>
      </c>
      <c r="AD209" s="27">
        <v>-419.61</v>
      </c>
      <c r="AE209" s="30">
        <v>176076.1</v>
      </c>
      <c r="AF209" s="27">
        <v>419.6</v>
      </c>
      <c r="AG209" s="23"/>
      <c r="AH209" s="30">
        <v>9405.49</v>
      </c>
      <c r="AI209" s="27">
        <v>-715.49</v>
      </c>
      <c r="AJ209" s="30">
        <v>511922.9</v>
      </c>
      <c r="AK209" s="27">
        <v>715.5</v>
      </c>
      <c r="AL209" s="23"/>
      <c r="AM209" s="30">
        <v>9754.1</v>
      </c>
      <c r="AN209" s="30">
        <v>-1064.0999999999999</v>
      </c>
      <c r="AO209" s="30">
        <v>1132312.6000000001</v>
      </c>
      <c r="AP209" s="30">
        <v>1064.0999999999999</v>
      </c>
      <c r="AQ209" s="23"/>
      <c r="AR209" s="30">
        <v>10156.5</v>
      </c>
      <c r="AS209" s="30">
        <v>-1466.5</v>
      </c>
      <c r="AT209" s="30">
        <v>2150613.4</v>
      </c>
      <c r="AU209" s="30">
        <v>1466.5</v>
      </c>
    </row>
    <row r="210" spans="1:47" ht="18" x14ac:dyDescent="0.2">
      <c r="A210" s="26">
        <v>45922</v>
      </c>
      <c r="B210" s="40">
        <v>8212</v>
      </c>
      <c r="C210" s="23"/>
      <c r="D210" s="30">
        <v>9675.6299999999992</v>
      </c>
      <c r="E210" s="30">
        <v>-1463.63</v>
      </c>
      <c r="F210" s="30">
        <v>2142207.7000000002</v>
      </c>
      <c r="G210" s="30">
        <v>1463.6</v>
      </c>
      <c r="H210" s="23"/>
      <c r="I210" s="30">
        <v>8901.0300000000007</v>
      </c>
      <c r="J210" s="27">
        <v>-689.03</v>
      </c>
      <c r="K210" s="30">
        <v>474762.4</v>
      </c>
      <c r="L210" s="27">
        <v>689</v>
      </c>
      <c r="M210" s="23"/>
      <c r="N210" s="30">
        <v>8681.07</v>
      </c>
      <c r="O210" s="27">
        <v>-469.07</v>
      </c>
      <c r="P210" s="30">
        <v>220030.3</v>
      </c>
      <c r="Q210" s="27">
        <v>469.1</v>
      </c>
      <c r="R210" s="23"/>
      <c r="S210" s="30">
        <v>8698.42</v>
      </c>
      <c r="T210" s="27">
        <v>-486.42</v>
      </c>
      <c r="U210" s="30">
        <v>236603.6</v>
      </c>
      <c r="V210" s="27">
        <v>486.4</v>
      </c>
      <c r="W210" s="23"/>
      <c r="X210" s="30">
        <v>8779.82</v>
      </c>
      <c r="Y210" s="27">
        <v>-567.82000000000005</v>
      </c>
      <c r="Z210" s="30">
        <v>322420.7</v>
      </c>
      <c r="AA210" s="27">
        <v>567.79999999999995</v>
      </c>
      <c r="AB210" s="23"/>
      <c r="AC210" s="30">
        <v>8857.85</v>
      </c>
      <c r="AD210" s="27">
        <v>-645.85</v>
      </c>
      <c r="AE210" s="30">
        <v>417116.7</v>
      </c>
      <c r="AF210" s="27">
        <v>645.79999999999995</v>
      </c>
      <c r="AG210" s="23"/>
      <c r="AH210" s="30">
        <v>8904.65</v>
      </c>
      <c r="AI210" s="27">
        <v>-692.65</v>
      </c>
      <c r="AJ210" s="30">
        <v>479759</v>
      </c>
      <c r="AK210" s="27">
        <v>692.6</v>
      </c>
      <c r="AL210" s="23"/>
      <c r="AM210" s="30">
        <v>8902.82</v>
      </c>
      <c r="AN210" s="27">
        <v>-690.82</v>
      </c>
      <c r="AO210" s="30">
        <v>477232.8</v>
      </c>
      <c r="AP210" s="27">
        <v>690.8</v>
      </c>
      <c r="AQ210" s="23"/>
      <c r="AR210" s="30">
        <v>8836.65</v>
      </c>
      <c r="AS210" s="27">
        <v>-624.65</v>
      </c>
      <c r="AT210" s="30">
        <v>390187.2</v>
      </c>
      <c r="AU210" s="27">
        <v>624.6</v>
      </c>
    </row>
    <row r="211" spans="1:47" ht="18" x14ac:dyDescent="0.2">
      <c r="A211" s="26">
        <v>45952</v>
      </c>
      <c r="B211" s="40">
        <v>8843</v>
      </c>
      <c r="C211" s="23"/>
      <c r="D211" s="30">
        <v>9529.27</v>
      </c>
      <c r="E211" s="27">
        <v>-686.27</v>
      </c>
      <c r="F211" s="30">
        <v>470960.2</v>
      </c>
      <c r="G211" s="27">
        <v>686.3</v>
      </c>
      <c r="H211" s="23"/>
      <c r="I211" s="30">
        <v>8763.2199999999993</v>
      </c>
      <c r="J211" s="27">
        <v>79.78</v>
      </c>
      <c r="K211" s="30">
        <v>6364.2</v>
      </c>
      <c r="L211" s="27">
        <v>79.8</v>
      </c>
      <c r="M211" s="23"/>
      <c r="N211" s="30">
        <v>8540.35</v>
      </c>
      <c r="O211" s="27">
        <v>302.64999999999998</v>
      </c>
      <c r="P211" s="30">
        <v>91596</v>
      </c>
      <c r="Q211" s="27">
        <v>302.60000000000002</v>
      </c>
      <c r="R211" s="23"/>
      <c r="S211" s="30">
        <v>8503.85</v>
      </c>
      <c r="T211" s="27">
        <v>339.15</v>
      </c>
      <c r="U211" s="30">
        <v>115021.7</v>
      </c>
      <c r="V211" s="27">
        <v>339.1</v>
      </c>
      <c r="W211" s="23"/>
      <c r="X211" s="30">
        <v>8495.91</v>
      </c>
      <c r="Y211" s="27">
        <v>347.09</v>
      </c>
      <c r="Z211" s="30">
        <v>120471.1</v>
      </c>
      <c r="AA211" s="27">
        <v>347.1</v>
      </c>
      <c r="AB211" s="23"/>
      <c r="AC211" s="30">
        <v>8470.34</v>
      </c>
      <c r="AD211" s="27">
        <v>372.66</v>
      </c>
      <c r="AE211" s="30">
        <v>138876.79999999999</v>
      </c>
      <c r="AF211" s="27">
        <v>372.7</v>
      </c>
      <c r="AG211" s="23"/>
      <c r="AH211" s="30">
        <v>8419.7900000000009</v>
      </c>
      <c r="AI211" s="27">
        <v>423.21</v>
      </c>
      <c r="AJ211" s="30">
        <v>179103.4</v>
      </c>
      <c r="AK211" s="27">
        <v>423.2</v>
      </c>
      <c r="AL211" s="23"/>
      <c r="AM211" s="30">
        <v>8350.16</v>
      </c>
      <c r="AN211" s="27">
        <v>492.84</v>
      </c>
      <c r="AO211" s="30">
        <v>242887.3</v>
      </c>
      <c r="AP211" s="27">
        <v>492.8</v>
      </c>
      <c r="AQ211" s="23"/>
      <c r="AR211" s="30">
        <v>8274.4599999999991</v>
      </c>
      <c r="AS211" s="27">
        <v>568.54</v>
      </c>
      <c r="AT211" s="30">
        <v>323232.09999999998</v>
      </c>
      <c r="AU211" s="27">
        <v>568.5</v>
      </c>
    </row>
    <row r="212" spans="1:47" ht="18" x14ac:dyDescent="0.2">
      <c r="A212" s="26">
        <v>45983</v>
      </c>
      <c r="B212" s="40">
        <v>7781</v>
      </c>
      <c r="C212" s="23"/>
      <c r="D212" s="30">
        <v>9460.64</v>
      </c>
      <c r="E212" s="30">
        <v>-1679.64</v>
      </c>
      <c r="F212" s="30">
        <v>2821186.8</v>
      </c>
      <c r="G212" s="30">
        <v>1679.6</v>
      </c>
      <c r="H212" s="23"/>
      <c r="I212" s="30">
        <v>8779.18</v>
      </c>
      <c r="J212" s="27">
        <v>-998.18</v>
      </c>
      <c r="K212" s="30">
        <v>996361.8</v>
      </c>
      <c r="L212" s="27">
        <v>998.2</v>
      </c>
      <c r="M212" s="23"/>
      <c r="N212" s="30">
        <v>8631.15</v>
      </c>
      <c r="O212" s="27">
        <v>-850.15</v>
      </c>
      <c r="P212" s="30">
        <v>722748.6</v>
      </c>
      <c r="Q212" s="27">
        <v>850.1</v>
      </c>
      <c r="R212" s="23"/>
      <c r="S212" s="30">
        <v>8639.51</v>
      </c>
      <c r="T212" s="27">
        <v>-858.51</v>
      </c>
      <c r="U212" s="30">
        <v>737041</v>
      </c>
      <c r="V212" s="27">
        <v>858.5</v>
      </c>
      <c r="W212" s="23"/>
      <c r="X212" s="30">
        <v>8669.4599999999991</v>
      </c>
      <c r="Y212" s="27">
        <v>-888.46</v>
      </c>
      <c r="Z212" s="30">
        <v>789352.7</v>
      </c>
      <c r="AA212" s="27">
        <v>888.5</v>
      </c>
      <c r="AB212" s="23"/>
      <c r="AC212" s="30">
        <v>8693.94</v>
      </c>
      <c r="AD212" s="27">
        <v>-912.94</v>
      </c>
      <c r="AE212" s="30">
        <v>833450.9</v>
      </c>
      <c r="AF212" s="27">
        <v>912.9</v>
      </c>
      <c r="AG212" s="23"/>
      <c r="AH212" s="30">
        <v>8716.0400000000009</v>
      </c>
      <c r="AI212" s="27">
        <v>-935.04</v>
      </c>
      <c r="AJ212" s="30">
        <v>874296.4</v>
      </c>
      <c r="AK212" s="27">
        <v>935</v>
      </c>
      <c r="AL212" s="23"/>
      <c r="AM212" s="30">
        <v>8744.43</v>
      </c>
      <c r="AN212" s="27">
        <v>-963.43</v>
      </c>
      <c r="AO212" s="30">
        <v>928202.8</v>
      </c>
      <c r="AP212" s="27">
        <v>963.4</v>
      </c>
      <c r="AQ212" s="23"/>
      <c r="AR212" s="30">
        <v>8786.15</v>
      </c>
      <c r="AS212" s="30">
        <v>-1005.15</v>
      </c>
      <c r="AT212" s="30">
        <v>1010319.5</v>
      </c>
      <c r="AU212" s="30">
        <v>1005.1</v>
      </c>
    </row>
    <row r="213" spans="1:47" ht="18" x14ac:dyDescent="0.2">
      <c r="A213" s="26">
        <v>46013</v>
      </c>
      <c r="B213" s="40">
        <v>8991</v>
      </c>
      <c r="C213" s="23"/>
      <c r="D213" s="30">
        <v>9292.67</v>
      </c>
      <c r="E213" s="27">
        <v>-301.67</v>
      </c>
      <c r="F213" s="30">
        <v>91007.8</v>
      </c>
      <c r="G213" s="27">
        <v>301.7</v>
      </c>
      <c r="H213" s="23"/>
      <c r="I213" s="30">
        <v>8579.5400000000009</v>
      </c>
      <c r="J213" s="27">
        <v>411.46</v>
      </c>
      <c r="K213" s="30">
        <v>169296.5</v>
      </c>
      <c r="L213" s="27">
        <v>411.5</v>
      </c>
      <c r="M213" s="23"/>
      <c r="N213" s="30">
        <v>8376.1</v>
      </c>
      <c r="O213" s="27">
        <v>614.9</v>
      </c>
      <c r="P213" s="30">
        <v>378099.1</v>
      </c>
      <c r="Q213" s="27">
        <v>614.9</v>
      </c>
      <c r="R213" s="23"/>
      <c r="S213" s="30">
        <v>8296.11</v>
      </c>
      <c r="T213" s="27">
        <v>694.89</v>
      </c>
      <c r="U213" s="30">
        <v>482876.9</v>
      </c>
      <c r="V213" s="27">
        <v>694.9</v>
      </c>
      <c r="W213" s="23"/>
      <c r="X213" s="30">
        <v>8225.23</v>
      </c>
      <c r="Y213" s="27">
        <v>765.77</v>
      </c>
      <c r="Z213" s="30">
        <v>586407.30000000005</v>
      </c>
      <c r="AA213" s="27">
        <v>765.8</v>
      </c>
      <c r="AB213" s="23"/>
      <c r="AC213" s="30">
        <v>8146.17</v>
      </c>
      <c r="AD213" s="27">
        <v>844.83</v>
      </c>
      <c r="AE213" s="30">
        <v>713730.8</v>
      </c>
      <c r="AF213" s="27">
        <v>844.8</v>
      </c>
      <c r="AG213" s="23"/>
      <c r="AH213" s="30">
        <v>8061.51</v>
      </c>
      <c r="AI213" s="27">
        <v>929.49</v>
      </c>
      <c r="AJ213" s="30">
        <v>863949</v>
      </c>
      <c r="AK213" s="27">
        <v>929.5</v>
      </c>
      <c r="AL213" s="23"/>
      <c r="AM213" s="30">
        <v>7973.69</v>
      </c>
      <c r="AN213" s="30">
        <v>1017.31</v>
      </c>
      <c r="AO213" s="30">
        <v>1034926.6</v>
      </c>
      <c r="AP213" s="30">
        <v>1017.3</v>
      </c>
      <c r="AQ213" s="23"/>
      <c r="AR213" s="30">
        <v>7881.51</v>
      </c>
      <c r="AS213" s="30">
        <v>1109.49</v>
      </c>
      <c r="AT213" s="30">
        <v>1230957.7</v>
      </c>
      <c r="AU213" s="30">
        <v>1109.5</v>
      </c>
    </row>
    <row r="214" spans="1:47" ht="18" x14ac:dyDescent="0.2">
      <c r="A214" s="26">
        <v>45680</v>
      </c>
      <c r="B214" s="40">
        <v>6950</v>
      </c>
      <c r="C214" s="23"/>
      <c r="D214" s="30">
        <v>9262.51</v>
      </c>
      <c r="E214" s="30">
        <v>-2312.5100000000002</v>
      </c>
      <c r="F214" s="30">
        <v>5347690.9000000004</v>
      </c>
      <c r="G214" s="30">
        <v>2312.5</v>
      </c>
      <c r="H214" s="23"/>
      <c r="I214" s="30">
        <v>8661.83</v>
      </c>
      <c r="J214" s="30">
        <v>-1711.83</v>
      </c>
      <c r="K214" s="30">
        <v>2930378.1</v>
      </c>
      <c r="L214" s="30">
        <v>1711.8</v>
      </c>
      <c r="M214" s="23"/>
      <c r="N214" s="30">
        <v>8560.57</v>
      </c>
      <c r="O214" s="30">
        <v>-1610.57</v>
      </c>
      <c r="P214" s="30">
        <v>2593941</v>
      </c>
      <c r="Q214" s="30">
        <v>1610.6</v>
      </c>
      <c r="R214" s="23"/>
      <c r="S214" s="30">
        <v>8574.06</v>
      </c>
      <c r="T214" s="30">
        <v>-1624.06</v>
      </c>
      <c r="U214" s="30">
        <v>2637583.6</v>
      </c>
      <c r="V214" s="30">
        <v>1624.1</v>
      </c>
      <c r="W214" s="23"/>
      <c r="X214" s="30">
        <v>8608.11</v>
      </c>
      <c r="Y214" s="30">
        <v>-1658.11</v>
      </c>
      <c r="Z214" s="30">
        <v>2749341.4</v>
      </c>
      <c r="AA214" s="30">
        <v>1658.1</v>
      </c>
      <c r="AB214" s="23"/>
      <c r="AC214" s="30">
        <v>8653.07</v>
      </c>
      <c r="AD214" s="30">
        <v>-1703.07</v>
      </c>
      <c r="AE214" s="30">
        <v>2900446.2</v>
      </c>
      <c r="AF214" s="30">
        <v>1703.1</v>
      </c>
      <c r="AG214" s="23"/>
      <c r="AH214" s="30">
        <v>8712.15</v>
      </c>
      <c r="AI214" s="30">
        <v>-1762.15</v>
      </c>
      <c r="AJ214" s="30">
        <v>3105184.7</v>
      </c>
      <c r="AK214" s="30">
        <v>1762.2</v>
      </c>
      <c r="AL214" s="23"/>
      <c r="AM214" s="30">
        <v>8787.5400000000009</v>
      </c>
      <c r="AN214" s="30">
        <v>-1837.54</v>
      </c>
      <c r="AO214" s="30">
        <v>3376543.4</v>
      </c>
      <c r="AP214" s="30">
        <v>1837.5</v>
      </c>
      <c r="AQ214" s="23"/>
      <c r="AR214" s="30">
        <v>8880.0499999999993</v>
      </c>
      <c r="AS214" s="30">
        <v>-1930.05</v>
      </c>
      <c r="AT214" s="30">
        <v>3725098.7</v>
      </c>
      <c r="AU214" s="30">
        <v>1930.1</v>
      </c>
    </row>
    <row r="215" spans="1:47" ht="18" x14ac:dyDescent="0.2">
      <c r="A215" s="26">
        <v>45711</v>
      </c>
      <c r="B215" s="40">
        <v>7271</v>
      </c>
      <c r="C215" s="23"/>
      <c r="D215" s="30">
        <v>9031.26</v>
      </c>
      <c r="E215" s="30">
        <v>-1760.26</v>
      </c>
      <c r="F215" s="30">
        <v>3098503.8</v>
      </c>
      <c r="G215" s="30">
        <v>1760.3</v>
      </c>
      <c r="H215" s="23"/>
      <c r="I215" s="30">
        <v>8319.4699999999993</v>
      </c>
      <c r="J215" s="30">
        <v>-1048.47</v>
      </c>
      <c r="K215" s="30">
        <v>1099284.7</v>
      </c>
      <c r="L215" s="30">
        <v>1048.5</v>
      </c>
      <c r="M215" s="23"/>
      <c r="N215" s="30">
        <v>8077.4</v>
      </c>
      <c r="O215" s="27">
        <v>-806.4</v>
      </c>
      <c r="P215" s="30">
        <v>650281.19999999995</v>
      </c>
      <c r="Q215" s="27">
        <v>806.4</v>
      </c>
      <c r="R215" s="23"/>
      <c r="S215" s="30">
        <v>7924.44</v>
      </c>
      <c r="T215" s="27">
        <v>-653.44000000000005</v>
      </c>
      <c r="U215" s="30">
        <v>426981.7</v>
      </c>
      <c r="V215" s="27">
        <v>653.4</v>
      </c>
      <c r="W215" s="23"/>
      <c r="X215" s="30">
        <v>7779.06</v>
      </c>
      <c r="Y215" s="27">
        <v>-508.06</v>
      </c>
      <c r="Z215" s="30">
        <v>258121.8</v>
      </c>
      <c r="AA215" s="27">
        <v>508.1</v>
      </c>
      <c r="AB215" s="23"/>
      <c r="AC215" s="30">
        <v>7631.23</v>
      </c>
      <c r="AD215" s="27">
        <v>-360.23</v>
      </c>
      <c r="AE215" s="30">
        <v>129764.1</v>
      </c>
      <c r="AF215" s="27">
        <v>360.2</v>
      </c>
      <c r="AG215" s="23"/>
      <c r="AH215" s="30">
        <v>7478.65</v>
      </c>
      <c r="AI215" s="27">
        <v>-207.65</v>
      </c>
      <c r="AJ215" s="30">
        <v>43116.9</v>
      </c>
      <c r="AK215" s="27">
        <v>207.6</v>
      </c>
      <c r="AL215" s="23"/>
      <c r="AM215" s="30">
        <v>7317.51</v>
      </c>
      <c r="AN215" s="27">
        <v>-46.51</v>
      </c>
      <c r="AO215" s="30">
        <v>2162.9</v>
      </c>
      <c r="AP215" s="27">
        <v>46.5</v>
      </c>
      <c r="AQ215" s="23"/>
      <c r="AR215" s="30">
        <v>7143.01</v>
      </c>
      <c r="AS215" s="27">
        <v>127.99</v>
      </c>
      <c r="AT215" s="30">
        <v>16382.7</v>
      </c>
      <c r="AU215" s="27">
        <v>128</v>
      </c>
    </row>
    <row r="216" spans="1:47" ht="18" x14ac:dyDescent="0.2">
      <c r="A216" s="26">
        <v>45739</v>
      </c>
      <c r="B216" s="40">
        <v>10483</v>
      </c>
      <c r="C216" s="23"/>
      <c r="D216" s="30">
        <v>8855.23</v>
      </c>
      <c r="E216" s="30">
        <v>1627.77</v>
      </c>
      <c r="F216" s="30">
        <v>2649631.7000000002</v>
      </c>
      <c r="G216" s="30">
        <v>1627.8</v>
      </c>
      <c r="H216" s="23"/>
      <c r="I216" s="30">
        <v>8109.77</v>
      </c>
      <c r="J216" s="30">
        <v>2373.23</v>
      </c>
      <c r="K216" s="30">
        <v>5632200.5999999996</v>
      </c>
      <c r="L216" s="30">
        <v>2373.1999999999998</v>
      </c>
      <c r="M216" s="23"/>
      <c r="N216" s="30">
        <v>7835.48</v>
      </c>
      <c r="O216" s="30">
        <v>2647.52</v>
      </c>
      <c r="P216" s="30">
        <v>7009361.5999999996</v>
      </c>
      <c r="Q216" s="30">
        <v>2647.5</v>
      </c>
      <c r="R216" s="23"/>
      <c r="S216" s="30">
        <v>7663.06</v>
      </c>
      <c r="T216" s="30">
        <v>2819.94</v>
      </c>
      <c r="U216" s="30">
        <v>7952044.5999999996</v>
      </c>
      <c r="V216" s="30">
        <v>2819.9</v>
      </c>
      <c r="W216" s="23"/>
      <c r="X216" s="30">
        <v>7525.03</v>
      </c>
      <c r="Y216" s="30">
        <v>2957.97</v>
      </c>
      <c r="Z216" s="30">
        <v>8749595.6999999993</v>
      </c>
      <c r="AA216" s="30">
        <v>2958</v>
      </c>
      <c r="AB216" s="23"/>
      <c r="AC216" s="30">
        <v>7415.09</v>
      </c>
      <c r="AD216" s="30">
        <v>3067.91</v>
      </c>
      <c r="AE216" s="30">
        <v>9412064.6999999993</v>
      </c>
      <c r="AF216" s="30">
        <v>3067.9</v>
      </c>
      <c r="AG216" s="23"/>
      <c r="AH216" s="30">
        <v>7333.29</v>
      </c>
      <c r="AI216" s="30">
        <v>3149.71</v>
      </c>
      <c r="AJ216" s="30">
        <v>9920649.0999999996</v>
      </c>
      <c r="AK216" s="30">
        <v>3149.7</v>
      </c>
      <c r="AL216" s="23"/>
      <c r="AM216" s="30">
        <v>7280.3</v>
      </c>
      <c r="AN216" s="30">
        <v>3202.7</v>
      </c>
      <c r="AO216" s="30">
        <v>10257277.699999999</v>
      </c>
      <c r="AP216" s="30">
        <v>3202.7</v>
      </c>
      <c r="AQ216" s="23"/>
      <c r="AR216" s="30">
        <v>7258.2</v>
      </c>
      <c r="AS216" s="30">
        <v>3224.8</v>
      </c>
      <c r="AT216" s="30">
        <v>10399331.699999999</v>
      </c>
      <c r="AU216" s="30">
        <v>3224.8</v>
      </c>
    </row>
    <row r="217" spans="1:47" ht="18" x14ac:dyDescent="0.2">
      <c r="A217" s="26">
        <v>45770</v>
      </c>
      <c r="B217" s="40">
        <v>9949</v>
      </c>
      <c r="C217" s="23"/>
      <c r="D217" s="30">
        <v>9018.01</v>
      </c>
      <c r="E217" s="27">
        <v>930.99</v>
      </c>
      <c r="F217" s="30">
        <v>866746.2</v>
      </c>
      <c r="G217" s="27">
        <v>931</v>
      </c>
      <c r="H217" s="23"/>
      <c r="I217" s="30">
        <v>8584.42</v>
      </c>
      <c r="J217" s="30">
        <v>1364.58</v>
      </c>
      <c r="K217" s="30">
        <v>1862080.3</v>
      </c>
      <c r="L217" s="30">
        <v>1364.6</v>
      </c>
      <c r="M217" s="23"/>
      <c r="N217" s="30">
        <v>8629.74</v>
      </c>
      <c r="O217" s="30">
        <v>1319.26</v>
      </c>
      <c r="P217" s="30">
        <v>1740457.3</v>
      </c>
      <c r="Q217" s="30">
        <v>1319.3</v>
      </c>
      <c r="R217" s="23"/>
      <c r="S217" s="30">
        <v>8791.0400000000009</v>
      </c>
      <c r="T217" s="30">
        <v>1157.96</v>
      </c>
      <c r="U217" s="30">
        <v>1340876.3999999999</v>
      </c>
      <c r="V217" s="30">
        <v>1158</v>
      </c>
      <c r="W217" s="23"/>
      <c r="X217" s="30">
        <v>9004.01</v>
      </c>
      <c r="Y217" s="27">
        <v>944.99</v>
      </c>
      <c r="Z217" s="30">
        <v>892998.1</v>
      </c>
      <c r="AA217" s="27">
        <v>945</v>
      </c>
      <c r="AB217" s="23"/>
      <c r="AC217" s="30">
        <v>9255.84</v>
      </c>
      <c r="AD217" s="27">
        <v>693.16</v>
      </c>
      <c r="AE217" s="30">
        <v>480475.7</v>
      </c>
      <c r="AF217" s="27">
        <v>693.2</v>
      </c>
      <c r="AG217" s="23"/>
      <c r="AH217" s="30">
        <v>9538.09</v>
      </c>
      <c r="AI217" s="27">
        <v>410.91</v>
      </c>
      <c r="AJ217" s="30">
        <v>168848.6</v>
      </c>
      <c r="AK217" s="27">
        <v>410.9</v>
      </c>
      <c r="AL217" s="23"/>
      <c r="AM217" s="30">
        <v>9842.4599999999991</v>
      </c>
      <c r="AN217" s="27">
        <v>106.54</v>
      </c>
      <c r="AO217" s="30">
        <v>11350.7</v>
      </c>
      <c r="AP217" s="27">
        <v>106.5</v>
      </c>
      <c r="AQ217" s="23"/>
      <c r="AR217" s="30">
        <v>10160.52</v>
      </c>
      <c r="AS217" s="27">
        <v>-211.52</v>
      </c>
      <c r="AT217" s="30">
        <v>44740.7</v>
      </c>
      <c r="AU217" s="27">
        <v>211.5</v>
      </c>
    </row>
    <row r="218" spans="1:47" ht="18" x14ac:dyDescent="0.2">
      <c r="A218" s="26">
        <v>45800</v>
      </c>
      <c r="B218" s="40">
        <v>10439</v>
      </c>
      <c r="C218" s="23"/>
      <c r="D218" s="30">
        <v>9111.11</v>
      </c>
      <c r="E218" s="30">
        <v>1327.89</v>
      </c>
      <c r="F218" s="30">
        <v>1763299.4</v>
      </c>
      <c r="G218" s="30">
        <v>1327.9</v>
      </c>
      <c r="H218" s="23"/>
      <c r="I218" s="30">
        <v>8857.34</v>
      </c>
      <c r="J218" s="30">
        <v>1581.66</v>
      </c>
      <c r="K218" s="30">
        <v>2501662.6</v>
      </c>
      <c r="L218" s="30">
        <v>1581.7</v>
      </c>
      <c r="M218" s="23"/>
      <c r="N218" s="30">
        <v>9025.52</v>
      </c>
      <c r="O218" s="30">
        <v>1413.48</v>
      </c>
      <c r="P218" s="30">
        <v>1997939.1</v>
      </c>
      <c r="Q218" s="30">
        <v>1413.5</v>
      </c>
      <c r="R218" s="23"/>
      <c r="S218" s="30">
        <v>9254.2199999999993</v>
      </c>
      <c r="T218" s="30">
        <v>1184.78</v>
      </c>
      <c r="U218" s="30">
        <v>1403697.3</v>
      </c>
      <c r="V218" s="30">
        <v>1184.8</v>
      </c>
      <c r="W218" s="23"/>
      <c r="X218" s="30">
        <v>9476.51</v>
      </c>
      <c r="Y218" s="27">
        <v>962.49</v>
      </c>
      <c r="Z218" s="30">
        <v>926392.6</v>
      </c>
      <c r="AA218" s="27">
        <v>962.5</v>
      </c>
      <c r="AB218" s="23"/>
      <c r="AC218" s="30">
        <v>9671.73</v>
      </c>
      <c r="AD218" s="27">
        <v>767.27</v>
      </c>
      <c r="AE218" s="30">
        <v>588696.19999999995</v>
      </c>
      <c r="AF218" s="27">
        <v>767.3</v>
      </c>
      <c r="AG218" s="23"/>
      <c r="AH218" s="30">
        <v>9825.73</v>
      </c>
      <c r="AI218" s="27">
        <v>613.27</v>
      </c>
      <c r="AJ218" s="30">
        <v>376104.5</v>
      </c>
      <c r="AK218" s="27">
        <v>613.29999999999995</v>
      </c>
      <c r="AL218" s="23"/>
      <c r="AM218" s="30">
        <v>9927.69</v>
      </c>
      <c r="AN218" s="27">
        <v>511.31</v>
      </c>
      <c r="AO218" s="30">
        <v>261435.8</v>
      </c>
      <c r="AP218" s="27">
        <v>511.3</v>
      </c>
      <c r="AQ218" s="23"/>
      <c r="AR218" s="30">
        <v>9970.15</v>
      </c>
      <c r="AS218" s="27">
        <v>468.85</v>
      </c>
      <c r="AT218" s="30">
        <v>219818.4</v>
      </c>
      <c r="AU218" s="27">
        <v>468.8</v>
      </c>
    </row>
    <row r="219" spans="1:47" ht="18" x14ac:dyDescent="0.2">
      <c r="A219" s="26">
        <v>45831</v>
      </c>
      <c r="B219" s="40">
        <v>10691</v>
      </c>
      <c r="C219" s="23"/>
      <c r="D219" s="30">
        <v>9243.9</v>
      </c>
      <c r="E219" s="30">
        <v>1447.1</v>
      </c>
      <c r="F219" s="30">
        <v>2094108.7</v>
      </c>
      <c r="G219" s="30">
        <v>1447.1</v>
      </c>
      <c r="H219" s="23"/>
      <c r="I219" s="30">
        <v>9173.67</v>
      </c>
      <c r="J219" s="30">
        <v>1517.33</v>
      </c>
      <c r="K219" s="30">
        <v>2302295.2000000002</v>
      </c>
      <c r="L219" s="30">
        <v>1517.3</v>
      </c>
      <c r="M219" s="23"/>
      <c r="N219" s="30">
        <v>9449.56</v>
      </c>
      <c r="O219" s="30">
        <v>1241.44</v>
      </c>
      <c r="P219" s="30">
        <v>1541171.6</v>
      </c>
      <c r="Q219" s="30">
        <v>1241.4000000000001</v>
      </c>
      <c r="R219" s="23"/>
      <c r="S219" s="30">
        <v>9728.1299999999992</v>
      </c>
      <c r="T219" s="27">
        <v>962.87</v>
      </c>
      <c r="U219" s="30">
        <v>927111.7</v>
      </c>
      <c r="V219" s="27">
        <v>962.9</v>
      </c>
      <c r="W219" s="23"/>
      <c r="X219" s="30">
        <v>9957.75</v>
      </c>
      <c r="Y219" s="27">
        <v>733.25</v>
      </c>
      <c r="Z219" s="30">
        <v>537650.30000000005</v>
      </c>
      <c r="AA219" s="27">
        <v>733.2</v>
      </c>
      <c r="AB219" s="23"/>
      <c r="AC219" s="30">
        <v>10132.09</v>
      </c>
      <c r="AD219" s="27">
        <v>558.91</v>
      </c>
      <c r="AE219" s="30">
        <v>312376.09999999998</v>
      </c>
      <c r="AF219" s="27">
        <v>558.9</v>
      </c>
      <c r="AG219" s="23"/>
      <c r="AH219" s="30">
        <v>10255.02</v>
      </c>
      <c r="AI219" s="27">
        <v>435.98</v>
      </c>
      <c r="AJ219" s="30">
        <v>190080.4</v>
      </c>
      <c r="AK219" s="27">
        <v>436</v>
      </c>
      <c r="AL219" s="23"/>
      <c r="AM219" s="30">
        <v>10336.74</v>
      </c>
      <c r="AN219" s="27">
        <v>354.26</v>
      </c>
      <c r="AO219" s="30">
        <v>125501.3</v>
      </c>
      <c r="AP219" s="27">
        <v>354.3</v>
      </c>
      <c r="AQ219" s="23"/>
      <c r="AR219" s="30">
        <v>10392.120000000001</v>
      </c>
      <c r="AS219" s="27">
        <v>298.88</v>
      </c>
      <c r="AT219" s="30">
        <v>89332.1</v>
      </c>
      <c r="AU219" s="27">
        <v>298.89999999999998</v>
      </c>
    </row>
    <row r="220" spans="1:47" ht="18" x14ac:dyDescent="0.2">
      <c r="A220" s="26">
        <v>45861</v>
      </c>
      <c r="B220" s="40">
        <v>9962</v>
      </c>
      <c r="C220" s="23"/>
      <c r="D220" s="30">
        <v>9388.61</v>
      </c>
      <c r="E220" s="27">
        <v>573.39</v>
      </c>
      <c r="F220" s="30">
        <v>328779.8</v>
      </c>
      <c r="G220" s="27">
        <v>573.4</v>
      </c>
      <c r="H220" s="23"/>
      <c r="I220" s="30">
        <v>9477.1299999999992</v>
      </c>
      <c r="J220" s="27">
        <v>484.87</v>
      </c>
      <c r="K220" s="30">
        <v>235094.3</v>
      </c>
      <c r="L220" s="27">
        <v>484.9</v>
      </c>
      <c r="M220" s="23"/>
      <c r="N220" s="30">
        <v>9821.99</v>
      </c>
      <c r="O220" s="27">
        <v>140.01</v>
      </c>
      <c r="P220" s="30">
        <v>19602.099999999999</v>
      </c>
      <c r="Q220" s="27">
        <v>140</v>
      </c>
      <c r="R220" s="23"/>
      <c r="S220" s="30">
        <v>10113.280000000001</v>
      </c>
      <c r="T220" s="27">
        <v>-151.28</v>
      </c>
      <c r="U220" s="30">
        <v>22885.7</v>
      </c>
      <c r="V220" s="27">
        <v>151.30000000000001</v>
      </c>
      <c r="W220" s="23"/>
      <c r="X220" s="30">
        <v>10324.379999999999</v>
      </c>
      <c r="Y220" s="27">
        <v>-362.38</v>
      </c>
      <c r="Z220" s="30">
        <v>131316.9</v>
      </c>
      <c r="AA220" s="27">
        <v>362.4</v>
      </c>
      <c r="AB220" s="23"/>
      <c r="AC220" s="30">
        <v>10467.44</v>
      </c>
      <c r="AD220" s="27">
        <v>-505.44</v>
      </c>
      <c r="AE220" s="30">
        <v>255467.1</v>
      </c>
      <c r="AF220" s="27">
        <v>505.4</v>
      </c>
      <c r="AG220" s="23"/>
      <c r="AH220" s="30">
        <v>10560.21</v>
      </c>
      <c r="AI220" s="27">
        <v>-598.21</v>
      </c>
      <c r="AJ220" s="30">
        <v>357849.7</v>
      </c>
      <c r="AK220" s="27">
        <v>598.20000000000005</v>
      </c>
      <c r="AL220" s="23"/>
      <c r="AM220" s="30">
        <v>10620.15</v>
      </c>
      <c r="AN220" s="27">
        <v>-658.15</v>
      </c>
      <c r="AO220" s="30">
        <v>433158.40000000002</v>
      </c>
      <c r="AP220" s="27">
        <v>658.1</v>
      </c>
      <c r="AQ220" s="23"/>
      <c r="AR220" s="30">
        <v>10661.11</v>
      </c>
      <c r="AS220" s="27">
        <v>-699.11</v>
      </c>
      <c r="AT220" s="30">
        <v>488756.9</v>
      </c>
      <c r="AU220" s="27">
        <v>699.1</v>
      </c>
    </row>
    <row r="221" spans="1:47" ht="18" x14ac:dyDescent="0.2">
      <c r="A221" s="26">
        <v>45892</v>
      </c>
      <c r="B221" s="40">
        <v>10089</v>
      </c>
      <c r="C221" s="23"/>
      <c r="D221" s="30">
        <v>9445.9500000000007</v>
      </c>
      <c r="E221" s="27">
        <v>643.04999999999995</v>
      </c>
      <c r="F221" s="30">
        <v>413518.3</v>
      </c>
      <c r="G221" s="27">
        <v>643.1</v>
      </c>
      <c r="H221" s="23"/>
      <c r="I221" s="30">
        <v>9574.11</v>
      </c>
      <c r="J221" s="27">
        <v>514.89</v>
      </c>
      <c r="K221" s="30">
        <v>265114</v>
      </c>
      <c r="L221" s="27">
        <v>514.9</v>
      </c>
      <c r="M221" s="23"/>
      <c r="N221" s="30">
        <v>9863.99</v>
      </c>
      <c r="O221" s="27">
        <v>225.01</v>
      </c>
      <c r="P221" s="30">
        <v>50627.4</v>
      </c>
      <c r="Q221" s="27">
        <v>225</v>
      </c>
      <c r="R221" s="23"/>
      <c r="S221" s="30">
        <v>10052.77</v>
      </c>
      <c r="T221" s="27">
        <v>36.229999999999997</v>
      </c>
      <c r="U221" s="30">
        <v>1312.8</v>
      </c>
      <c r="V221" s="27">
        <v>36.200000000000003</v>
      </c>
      <c r="W221" s="23"/>
      <c r="X221" s="30">
        <v>10143.19</v>
      </c>
      <c r="Y221" s="27">
        <v>-54.19</v>
      </c>
      <c r="Z221" s="30">
        <v>2936.4</v>
      </c>
      <c r="AA221" s="27">
        <v>54.2</v>
      </c>
      <c r="AB221" s="23"/>
      <c r="AC221" s="30">
        <v>10164.18</v>
      </c>
      <c r="AD221" s="27">
        <v>-75.180000000000007</v>
      </c>
      <c r="AE221" s="30">
        <v>5651.3</v>
      </c>
      <c r="AF221" s="27">
        <v>75.2</v>
      </c>
      <c r="AG221" s="23"/>
      <c r="AH221" s="30">
        <v>10141.459999999999</v>
      </c>
      <c r="AI221" s="27">
        <v>-52.46</v>
      </c>
      <c r="AJ221" s="30">
        <v>2752.2</v>
      </c>
      <c r="AK221" s="27">
        <v>52.5</v>
      </c>
      <c r="AL221" s="23"/>
      <c r="AM221" s="30">
        <v>10093.629999999999</v>
      </c>
      <c r="AN221" s="27">
        <v>-4.63</v>
      </c>
      <c r="AO221" s="27">
        <v>21.4</v>
      </c>
      <c r="AP221" s="27">
        <v>4.5999999999999996</v>
      </c>
      <c r="AQ221" s="23"/>
      <c r="AR221" s="30">
        <v>10031.91</v>
      </c>
      <c r="AS221" s="27">
        <v>57.09</v>
      </c>
      <c r="AT221" s="30">
        <v>3259.1</v>
      </c>
      <c r="AU221" s="27">
        <v>57.1</v>
      </c>
    </row>
    <row r="222" spans="1:47" ht="18" x14ac:dyDescent="0.2">
      <c r="A222" s="26">
        <v>45923</v>
      </c>
      <c r="B222" s="40">
        <v>6563</v>
      </c>
      <c r="C222" s="23"/>
      <c r="D222" s="30">
        <v>9510.25</v>
      </c>
      <c r="E222" s="30">
        <v>-2947.25</v>
      </c>
      <c r="F222" s="30">
        <v>8686291.5</v>
      </c>
      <c r="G222" s="30">
        <v>2947.3</v>
      </c>
      <c r="H222" s="23"/>
      <c r="I222" s="30">
        <v>9677.09</v>
      </c>
      <c r="J222" s="30">
        <v>-3114.09</v>
      </c>
      <c r="K222" s="30">
        <v>9697533</v>
      </c>
      <c r="L222" s="30">
        <v>3114.1</v>
      </c>
      <c r="M222" s="23"/>
      <c r="N222" s="30">
        <v>9931.5</v>
      </c>
      <c r="O222" s="30">
        <v>-3368.5</v>
      </c>
      <c r="P222" s="30">
        <v>11346767.4</v>
      </c>
      <c r="Q222" s="30">
        <v>3368.5</v>
      </c>
      <c r="R222" s="23"/>
      <c r="S222" s="30">
        <v>10067.26</v>
      </c>
      <c r="T222" s="30">
        <v>-3504.26</v>
      </c>
      <c r="U222" s="30">
        <v>12279844.199999999</v>
      </c>
      <c r="V222" s="30">
        <v>3504.3</v>
      </c>
      <c r="W222" s="23"/>
      <c r="X222" s="30">
        <v>10116.09</v>
      </c>
      <c r="Y222" s="30">
        <v>-3553.09</v>
      </c>
      <c r="Z222" s="30">
        <v>12624478.4</v>
      </c>
      <c r="AA222" s="30">
        <v>3553.1</v>
      </c>
      <c r="AB222" s="23"/>
      <c r="AC222" s="30">
        <v>10119.07</v>
      </c>
      <c r="AD222" s="30">
        <v>-3556.07</v>
      </c>
      <c r="AE222" s="30">
        <v>12645633.9</v>
      </c>
      <c r="AF222" s="30">
        <v>3556.1</v>
      </c>
      <c r="AG222" s="23"/>
      <c r="AH222" s="30">
        <v>10104.74</v>
      </c>
      <c r="AI222" s="30">
        <v>-3541.74</v>
      </c>
      <c r="AJ222" s="30">
        <v>12543911.5</v>
      </c>
      <c r="AK222" s="30">
        <v>3541.7</v>
      </c>
      <c r="AL222" s="23"/>
      <c r="AM222" s="30">
        <v>10089.93</v>
      </c>
      <c r="AN222" s="30">
        <v>-3526.93</v>
      </c>
      <c r="AO222" s="30">
        <v>12439206.4</v>
      </c>
      <c r="AP222" s="30">
        <v>3526.9</v>
      </c>
      <c r="AQ222" s="23"/>
      <c r="AR222" s="30">
        <v>10083.290000000001</v>
      </c>
      <c r="AS222" s="30">
        <v>-3520.29</v>
      </c>
      <c r="AT222" s="30">
        <v>12392449.5</v>
      </c>
      <c r="AU222" s="30">
        <v>3520.3</v>
      </c>
    </row>
    <row r="223" spans="1:47" ht="18" x14ac:dyDescent="0.2">
      <c r="A223" s="26">
        <v>45953</v>
      </c>
      <c r="B223" s="40">
        <v>8223</v>
      </c>
      <c r="C223" s="23"/>
      <c r="D223" s="30">
        <v>9215.5300000000007</v>
      </c>
      <c r="E223" s="27">
        <v>-992.53</v>
      </c>
      <c r="F223" s="30">
        <v>985108.6</v>
      </c>
      <c r="G223" s="27">
        <v>992.5</v>
      </c>
      <c r="H223" s="23"/>
      <c r="I223" s="30">
        <v>9054.27</v>
      </c>
      <c r="J223" s="27">
        <v>-831.27</v>
      </c>
      <c r="K223" s="30">
        <v>691008.1</v>
      </c>
      <c r="L223" s="27">
        <v>831.3</v>
      </c>
      <c r="M223" s="23"/>
      <c r="N223" s="30">
        <v>8920.9500000000007</v>
      </c>
      <c r="O223" s="27">
        <v>-697.95</v>
      </c>
      <c r="P223" s="30">
        <v>487130.6</v>
      </c>
      <c r="Q223" s="27">
        <v>697.9</v>
      </c>
      <c r="R223" s="23"/>
      <c r="S223" s="30">
        <v>8665.56</v>
      </c>
      <c r="T223" s="27">
        <v>-442.56</v>
      </c>
      <c r="U223" s="30">
        <v>195856.3</v>
      </c>
      <c r="V223" s="27">
        <v>442.6</v>
      </c>
      <c r="W223" s="23"/>
      <c r="X223" s="30">
        <v>8339.5499999999993</v>
      </c>
      <c r="Y223" s="27">
        <v>-116.55</v>
      </c>
      <c r="Z223" s="30">
        <v>13583.2</v>
      </c>
      <c r="AA223" s="27">
        <v>116.5</v>
      </c>
      <c r="AB223" s="23"/>
      <c r="AC223" s="30">
        <v>7985.43</v>
      </c>
      <c r="AD223" s="27">
        <v>237.57</v>
      </c>
      <c r="AE223" s="30">
        <v>56440.5</v>
      </c>
      <c r="AF223" s="27">
        <v>237.6</v>
      </c>
      <c r="AG223" s="23"/>
      <c r="AH223" s="30">
        <v>7625.52</v>
      </c>
      <c r="AI223" s="27">
        <v>597.48</v>
      </c>
      <c r="AJ223" s="30">
        <v>356980.5</v>
      </c>
      <c r="AK223" s="27">
        <v>597.5</v>
      </c>
      <c r="AL223" s="23"/>
      <c r="AM223" s="30">
        <v>7268.39</v>
      </c>
      <c r="AN223" s="27">
        <v>954.61</v>
      </c>
      <c r="AO223" s="30">
        <v>911289.5</v>
      </c>
      <c r="AP223" s="27">
        <v>954.6</v>
      </c>
      <c r="AQ223" s="23"/>
      <c r="AR223" s="30">
        <v>6915.03</v>
      </c>
      <c r="AS223" s="30">
        <v>1307.97</v>
      </c>
      <c r="AT223" s="30">
        <v>1710787.8</v>
      </c>
      <c r="AU223" s="30">
        <v>1308</v>
      </c>
    </row>
    <row r="224" spans="1:47" ht="18" x14ac:dyDescent="0.2">
      <c r="A224" s="26">
        <v>45984</v>
      </c>
      <c r="B224" s="40">
        <v>9113</v>
      </c>
      <c r="C224" s="23"/>
      <c r="D224" s="30">
        <v>9116.27</v>
      </c>
      <c r="E224" s="27">
        <v>-3.27</v>
      </c>
      <c r="F224" s="27">
        <v>10.7</v>
      </c>
      <c r="G224" s="27">
        <v>3.3</v>
      </c>
      <c r="H224" s="23"/>
      <c r="I224" s="30">
        <v>8888.02</v>
      </c>
      <c r="J224" s="27">
        <v>224.98</v>
      </c>
      <c r="K224" s="30">
        <v>50618.2</v>
      </c>
      <c r="L224" s="27">
        <v>225</v>
      </c>
      <c r="M224" s="23"/>
      <c r="N224" s="30">
        <v>8711.56</v>
      </c>
      <c r="O224" s="27">
        <v>401.44</v>
      </c>
      <c r="P224" s="30">
        <v>161151.5</v>
      </c>
      <c r="Q224" s="27">
        <v>401.4</v>
      </c>
      <c r="R224" s="23"/>
      <c r="S224" s="30">
        <v>8488.5300000000007</v>
      </c>
      <c r="T224" s="27">
        <v>624.47</v>
      </c>
      <c r="U224" s="30">
        <v>389957.9</v>
      </c>
      <c r="V224" s="27">
        <v>624.5</v>
      </c>
      <c r="W224" s="23"/>
      <c r="X224" s="30">
        <v>8281.27</v>
      </c>
      <c r="Y224" s="27">
        <v>831.73</v>
      </c>
      <c r="Z224" s="30">
        <v>691768.9</v>
      </c>
      <c r="AA224" s="27">
        <v>831.7</v>
      </c>
      <c r="AB224" s="23"/>
      <c r="AC224" s="30">
        <v>8127.97</v>
      </c>
      <c r="AD224" s="27">
        <v>985.03</v>
      </c>
      <c r="AE224" s="30">
        <v>970281.7</v>
      </c>
      <c r="AF224" s="27">
        <v>985</v>
      </c>
      <c r="AG224" s="23"/>
      <c r="AH224" s="30">
        <v>8043.76</v>
      </c>
      <c r="AI224" s="30">
        <v>1069.24</v>
      </c>
      <c r="AJ224" s="30">
        <v>1143281.7</v>
      </c>
      <c r="AK224" s="30">
        <v>1069.2</v>
      </c>
      <c r="AL224" s="23"/>
      <c r="AM224" s="30">
        <v>8032.08</v>
      </c>
      <c r="AN224" s="30">
        <v>1080.92</v>
      </c>
      <c r="AO224" s="30">
        <v>1168394.5</v>
      </c>
      <c r="AP224" s="30">
        <v>1080.9000000000001</v>
      </c>
      <c r="AQ224" s="23"/>
      <c r="AR224" s="30">
        <v>8092.2</v>
      </c>
      <c r="AS224" s="30">
        <v>1020.8</v>
      </c>
      <c r="AT224" s="30">
        <v>1042026.7</v>
      </c>
      <c r="AU224" s="30">
        <v>1020.8</v>
      </c>
    </row>
    <row r="225" spans="1:47" ht="18" x14ac:dyDescent="0.2">
      <c r="A225" s="26">
        <v>46014</v>
      </c>
      <c r="B225" s="40">
        <v>10565</v>
      </c>
      <c r="C225" s="23"/>
      <c r="D225" s="30">
        <v>9115.9500000000007</v>
      </c>
      <c r="E225" s="30">
        <v>1449.05</v>
      </c>
      <c r="F225" s="30">
        <v>2099756.5</v>
      </c>
      <c r="G225" s="30">
        <v>1449.1</v>
      </c>
      <c r="H225" s="23"/>
      <c r="I225" s="30">
        <v>8933.01</v>
      </c>
      <c r="J225" s="30">
        <v>1631.99</v>
      </c>
      <c r="K225" s="30">
        <v>2663384.4</v>
      </c>
      <c r="L225" s="30">
        <v>1632</v>
      </c>
      <c r="M225" s="23"/>
      <c r="N225" s="30">
        <v>8831.99</v>
      </c>
      <c r="O225" s="30">
        <v>1733.01</v>
      </c>
      <c r="P225" s="30">
        <v>3003309</v>
      </c>
      <c r="Q225" s="30">
        <v>1733</v>
      </c>
      <c r="R225" s="23"/>
      <c r="S225" s="30">
        <v>8738.32</v>
      </c>
      <c r="T225" s="30">
        <v>1826.68</v>
      </c>
      <c r="U225" s="30">
        <v>3336758.6</v>
      </c>
      <c r="V225" s="30">
        <v>1826.7</v>
      </c>
      <c r="W225" s="23"/>
      <c r="X225" s="30">
        <v>8697.14</v>
      </c>
      <c r="Y225" s="30">
        <v>1867.86</v>
      </c>
      <c r="Z225" s="30">
        <v>3488913</v>
      </c>
      <c r="AA225" s="30">
        <v>1867.9</v>
      </c>
      <c r="AB225" s="23"/>
      <c r="AC225" s="30">
        <v>8718.99</v>
      </c>
      <c r="AD225" s="30">
        <v>1846.01</v>
      </c>
      <c r="AE225" s="30">
        <v>3407758.5</v>
      </c>
      <c r="AF225" s="30">
        <v>1846</v>
      </c>
      <c r="AG225" s="23"/>
      <c r="AH225" s="30">
        <v>8792.23</v>
      </c>
      <c r="AI225" s="30">
        <v>1772.77</v>
      </c>
      <c r="AJ225" s="30">
        <v>3142724.3</v>
      </c>
      <c r="AK225" s="30">
        <v>1772.8</v>
      </c>
      <c r="AL225" s="23"/>
      <c r="AM225" s="30">
        <v>8896.82</v>
      </c>
      <c r="AN225" s="30">
        <v>1668.18</v>
      </c>
      <c r="AO225" s="30">
        <v>2782839.8</v>
      </c>
      <c r="AP225" s="30">
        <v>1668.2</v>
      </c>
      <c r="AQ225" s="23"/>
      <c r="AR225" s="30">
        <v>9010.92</v>
      </c>
      <c r="AS225" s="30">
        <v>1554.08</v>
      </c>
      <c r="AT225" s="30">
        <v>2415163.7000000002</v>
      </c>
      <c r="AU225" s="30">
        <v>1554.1</v>
      </c>
    </row>
    <row r="226" spans="1:47" ht="18" x14ac:dyDescent="0.2">
      <c r="A226" s="26">
        <v>45681</v>
      </c>
      <c r="B226" s="40">
        <v>7687</v>
      </c>
      <c r="C226" s="23"/>
      <c r="D226" s="30">
        <v>9260.85</v>
      </c>
      <c r="E226" s="30">
        <v>-1573.85</v>
      </c>
      <c r="F226" s="30">
        <v>2477009.2000000002</v>
      </c>
      <c r="G226" s="30">
        <v>1573.9</v>
      </c>
      <c r="H226" s="23"/>
      <c r="I226" s="30">
        <v>9259.41</v>
      </c>
      <c r="J226" s="30">
        <v>-1572.41</v>
      </c>
      <c r="K226" s="30">
        <v>2472472.2999999998</v>
      </c>
      <c r="L226" s="30">
        <v>1572.4</v>
      </c>
      <c r="M226" s="23"/>
      <c r="N226" s="30">
        <v>9351.9</v>
      </c>
      <c r="O226" s="30">
        <v>-1664.9</v>
      </c>
      <c r="P226" s="30">
        <v>2771878.6</v>
      </c>
      <c r="Q226" s="30">
        <v>1664.9</v>
      </c>
      <c r="R226" s="23"/>
      <c r="S226" s="30">
        <v>9468.99</v>
      </c>
      <c r="T226" s="30">
        <v>-1781.99</v>
      </c>
      <c r="U226" s="30">
        <v>3175496.2</v>
      </c>
      <c r="V226" s="30">
        <v>1782</v>
      </c>
      <c r="W226" s="23"/>
      <c r="X226" s="30">
        <v>9631.07</v>
      </c>
      <c r="Y226" s="30">
        <v>-1944.07</v>
      </c>
      <c r="Z226" s="30">
        <v>3779401.9</v>
      </c>
      <c r="AA226" s="30">
        <v>1944.1</v>
      </c>
      <c r="AB226" s="23"/>
      <c r="AC226" s="30">
        <v>9826.6</v>
      </c>
      <c r="AD226" s="30">
        <v>-2139.6</v>
      </c>
      <c r="AE226" s="30">
        <v>4577868.4000000004</v>
      </c>
      <c r="AF226" s="30">
        <v>2139.6</v>
      </c>
      <c r="AG226" s="23"/>
      <c r="AH226" s="30">
        <v>10033.17</v>
      </c>
      <c r="AI226" s="30">
        <v>-2346.17</v>
      </c>
      <c r="AJ226" s="30">
        <v>5504504.7000000002</v>
      </c>
      <c r="AK226" s="30">
        <v>2346.1999999999998</v>
      </c>
      <c r="AL226" s="23"/>
      <c r="AM226" s="30">
        <v>10231.36</v>
      </c>
      <c r="AN226" s="30">
        <v>-2544.36</v>
      </c>
      <c r="AO226" s="30">
        <v>6473783.5</v>
      </c>
      <c r="AP226" s="30">
        <v>2544.4</v>
      </c>
      <c r="AQ226" s="23"/>
      <c r="AR226" s="30">
        <v>10409.59</v>
      </c>
      <c r="AS226" s="30">
        <v>-2722.59</v>
      </c>
      <c r="AT226" s="30">
        <v>7412507.4000000004</v>
      </c>
      <c r="AU226" s="30">
        <v>2722.6</v>
      </c>
    </row>
    <row r="227" spans="1:47" ht="18" x14ac:dyDescent="0.2">
      <c r="A227" s="26">
        <v>45712</v>
      </c>
      <c r="B227" s="40">
        <v>9684</v>
      </c>
      <c r="C227" s="23"/>
      <c r="D227" s="30">
        <v>9103.4699999999993</v>
      </c>
      <c r="E227" s="27">
        <v>580.53</v>
      </c>
      <c r="F227" s="30">
        <v>337019.1</v>
      </c>
      <c r="G227" s="27">
        <v>580.5</v>
      </c>
      <c r="H227" s="23"/>
      <c r="I227" s="30">
        <v>8944.93</v>
      </c>
      <c r="J227" s="27">
        <v>739.07</v>
      </c>
      <c r="K227" s="30">
        <v>546227.80000000005</v>
      </c>
      <c r="L227" s="27">
        <v>739.1</v>
      </c>
      <c r="M227" s="23"/>
      <c r="N227" s="30">
        <v>8852.43</v>
      </c>
      <c r="O227" s="27">
        <v>831.57</v>
      </c>
      <c r="P227" s="30">
        <v>691513.4</v>
      </c>
      <c r="Q227" s="27">
        <v>831.6</v>
      </c>
      <c r="R227" s="23"/>
      <c r="S227" s="30">
        <v>8756.2000000000007</v>
      </c>
      <c r="T227" s="27">
        <v>927.8</v>
      </c>
      <c r="U227" s="30">
        <v>860821.5</v>
      </c>
      <c r="V227" s="27">
        <v>927.8</v>
      </c>
      <c r="W227" s="23"/>
      <c r="X227" s="30">
        <v>8659.0300000000007</v>
      </c>
      <c r="Y227" s="30">
        <v>1024.97</v>
      </c>
      <c r="Z227" s="30">
        <v>1050554.8999999999</v>
      </c>
      <c r="AA227" s="30">
        <v>1025</v>
      </c>
      <c r="AB227" s="23"/>
      <c r="AC227" s="30">
        <v>8542.84</v>
      </c>
      <c r="AD227" s="30">
        <v>1141.1600000000001</v>
      </c>
      <c r="AE227" s="30">
        <v>1302250.3999999999</v>
      </c>
      <c r="AF227" s="30">
        <v>1141.2</v>
      </c>
      <c r="AG227" s="23"/>
      <c r="AH227" s="30">
        <v>8390.85</v>
      </c>
      <c r="AI227" s="30">
        <v>1293.1500000000001</v>
      </c>
      <c r="AJ227" s="30">
        <v>1672235.8</v>
      </c>
      <c r="AK227" s="30">
        <v>1293.0999999999999</v>
      </c>
      <c r="AL227" s="23"/>
      <c r="AM227" s="30">
        <v>8195.8700000000008</v>
      </c>
      <c r="AN227" s="30">
        <v>1488.13</v>
      </c>
      <c r="AO227" s="30">
        <v>2214523.1</v>
      </c>
      <c r="AP227" s="30">
        <v>1488.1</v>
      </c>
      <c r="AQ227" s="23"/>
      <c r="AR227" s="30">
        <v>7959.26</v>
      </c>
      <c r="AS227" s="30">
        <v>1724.74</v>
      </c>
      <c r="AT227" s="30">
        <v>2974730.8</v>
      </c>
      <c r="AU227" s="30">
        <v>1724.7</v>
      </c>
    </row>
    <row r="228" spans="1:47" ht="18" x14ac:dyDescent="0.2">
      <c r="A228" s="26">
        <v>45740</v>
      </c>
      <c r="B228" s="40">
        <v>12680</v>
      </c>
      <c r="C228" s="23"/>
      <c r="D228" s="30">
        <v>9161.52</v>
      </c>
      <c r="E228" s="30">
        <v>3518.48</v>
      </c>
      <c r="F228" s="30">
        <v>12379702.300000001</v>
      </c>
      <c r="G228" s="30">
        <v>3518.5</v>
      </c>
      <c r="H228" s="23"/>
      <c r="I228" s="30">
        <v>9092.74</v>
      </c>
      <c r="J228" s="30">
        <v>3587.26</v>
      </c>
      <c r="K228" s="30">
        <v>12868418.4</v>
      </c>
      <c r="L228" s="30">
        <v>3587.3</v>
      </c>
      <c r="M228" s="23"/>
      <c r="N228" s="30">
        <v>9101.9</v>
      </c>
      <c r="O228" s="30">
        <v>3578.1</v>
      </c>
      <c r="P228" s="30">
        <v>12802806.6</v>
      </c>
      <c r="Q228" s="30">
        <v>3578.1</v>
      </c>
      <c r="R228" s="23"/>
      <c r="S228" s="30">
        <v>9127.32</v>
      </c>
      <c r="T228" s="30">
        <v>3552.68</v>
      </c>
      <c r="U228" s="30">
        <v>12621555.1</v>
      </c>
      <c r="V228" s="30">
        <v>3552.7</v>
      </c>
      <c r="W228" s="23"/>
      <c r="X228" s="30">
        <v>9171.52</v>
      </c>
      <c r="Y228" s="30">
        <v>3508.48</v>
      </c>
      <c r="Z228" s="30">
        <v>12309452.300000001</v>
      </c>
      <c r="AA228" s="30">
        <v>3508.5</v>
      </c>
      <c r="AB228" s="23"/>
      <c r="AC228" s="30">
        <v>9227.5400000000009</v>
      </c>
      <c r="AD228" s="30">
        <v>3452.46</v>
      </c>
      <c r="AE228" s="30">
        <v>11919512.800000001</v>
      </c>
      <c r="AF228" s="30">
        <v>3452.5</v>
      </c>
      <c r="AG228" s="23"/>
      <c r="AH228" s="30">
        <v>9296.06</v>
      </c>
      <c r="AI228" s="30">
        <v>3383.94</v>
      </c>
      <c r="AJ228" s="30">
        <v>11451082.9</v>
      </c>
      <c r="AK228" s="30">
        <v>3383.9</v>
      </c>
      <c r="AL228" s="23"/>
      <c r="AM228" s="30">
        <v>9386.3700000000008</v>
      </c>
      <c r="AN228" s="30">
        <v>3293.63</v>
      </c>
      <c r="AO228" s="30">
        <v>10847968.800000001</v>
      </c>
      <c r="AP228" s="30">
        <v>3293.6</v>
      </c>
      <c r="AQ228" s="23"/>
      <c r="AR228" s="30">
        <v>9511.5300000000007</v>
      </c>
      <c r="AS228" s="30">
        <v>3168.47</v>
      </c>
      <c r="AT228" s="30">
        <v>10039228</v>
      </c>
      <c r="AU228" s="30">
        <v>3168.5</v>
      </c>
    </row>
    <row r="229" spans="1:47" ht="18" x14ac:dyDescent="0.2">
      <c r="A229" s="26">
        <v>45771</v>
      </c>
      <c r="B229" s="40">
        <v>11882</v>
      </c>
      <c r="C229" s="23"/>
      <c r="D229" s="30">
        <v>9513.3700000000008</v>
      </c>
      <c r="E229" s="30">
        <v>2368.63</v>
      </c>
      <c r="F229" s="30">
        <v>5610418</v>
      </c>
      <c r="G229" s="30">
        <v>2368.6</v>
      </c>
      <c r="H229" s="23"/>
      <c r="I229" s="30">
        <v>9810.19</v>
      </c>
      <c r="J229" s="30">
        <v>2071.81</v>
      </c>
      <c r="K229" s="30">
        <v>4292381</v>
      </c>
      <c r="L229" s="30">
        <v>2071.8000000000002</v>
      </c>
      <c r="M229" s="23"/>
      <c r="N229" s="30">
        <v>10175.33</v>
      </c>
      <c r="O229" s="30">
        <v>1706.67</v>
      </c>
      <c r="P229" s="30">
        <v>2912724.8</v>
      </c>
      <c r="Q229" s="30">
        <v>1706.7</v>
      </c>
      <c r="R229" s="23"/>
      <c r="S229" s="30">
        <v>10548.39</v>
      </c>
      <c r="T229" s="30">
        <v>1333.61</v>
      </c>
      <c r="U229" s="30">
        <v>1778514.8</v>
      </c>
      <c r="V229" s="30">
        <v>1333.6</v>
      </c>
      <c r="W229" s="23"/>
      <c r="X229" s="30">
        <v>10925.76</v>
      </c>
      <c r="Y229" s="27">
        <v>956.24</v>
      </c>
      <c r="Z229" s="30">
        <v>914397.7</v>
      </c>
      <c r="AA229" s="27">
        <v>956.2</v>
      </c>
      <c r="AB229" s="23"/>
      <c r="AC229" s="30">
        <v>11299.01</v>
      </c>
      <c r="AD229" s="27">
        <v>582.99</v>
      </c>
      <c r="AE229" s="30">
        <v>339872.6</v>
      </c>
      <c r="AF229" s="27">
        <v>583</v>
      </c>
      <c r="AG229" s="23"/>
      <c r="AH229" s="30">
        <v>11664.82</v>
      </c>
      <c r="AI229" s="27">
        <v>217.18</v>
      </c>
      <c r="AJ229" s="30">
        <v>47168.7</v>
      </c>
      <c r="AK229" s="27">
        <v>217.2</v>
      </c>
      <c r="AL229" s="23"/>
      <c r="AM229" s="30">
        <v>12021.27</v>
      </c>
      <c r="AN229" s="27">
        <v>-139.27000000000001</v>
      </c>
      <c r="AO229" s="30">
        <v>19397.5</v>
      </c>
      <c r="AP229" s="27">
        <v>139.30000000000001</v>
      </c>
      <c r="AQ229" s="23"/>
      <c r="AR229" s="30">
        <v>12363.15</v>
      </c>
      <c r="AS229" s="27">
        <v>-481.15</v>
      </c>
      <c r="AT229" s="30">
        <v>231507.8</v>
      </c>
      <c r="AU229" s="27">
        <v>481.2</v>
      </c>
    </row>
    <row r="230" spans="1:47" ht="18" x14ac:dyDescent="0.2">
      <c r="A230" s="26">
        <v>45801</v>
      </c>
      <c r="B230" s="40">
        <v>12561</v>
      </c>
      <c r="C230" s="23"/>
      <c r="D230" s="30">
        <v>9750.23</v>
      </c>
      <c r="E230" s="30">
        <v>2810.77</v>
      </c>
      <c r="F230" s="30">
        <v>7900421.7000000002</v>
      </c>
      <c r="G230" s="30">
        <v>2810.8</v>
      </c>
      <c r="H230" s="23"/>
      <c r="I230" s="30">
        <v>10224.56</v>
      </c>
      <c r="J230" s="30">
        <v>2336.44</v>
      </c>
      <c r="K230" s="30">
        <v>5458975.0999999996</v>
      </c>
      <c r="L230" s="30">
        <v>2336.4</v>
      </c>
      <c r="M230" s="23"/>
      <c r="N230" s="30">
        <v>10687.33</v>
      </c>
      <c r="O230" s="30">
        <v>1873.67</v>
      </c>
      <c r="P230" s="30">
        <v>3510637.3</v>
      </c>
      <c r="Q230" s="30">
        <v>1873.7</v>
      </c>
      <c r="R230" s="23"/>
      <c r="S230" s="30">
        <v>11081.83</v>
      </c>
      <c r="T230" s="30">
        <v>1479.17</v>
      </c>
      <c r="U230" s="30">
        <v>2187931.5</v>
      </c>
      <c r="V230" s="30">
        <v>1479.2</v>
      </c>
      <c r="W230" s="23"/>
      <c r="X230" s="30">
        <v>11403.88</v>
      </c>
      <c r="Y230" s="30">
        <v>1157.1199999999999</v>
      </c>
      <c r="Z230" s="30">
        <v>1338928.3999999999</v>
      </c>
      <c r="AA230" s="30">
        <v>1157.0999999999999</v>
      </c>
      <c r="AB230" s="23"/>
      <c r="AC230" s="30">
        <v>11648.81</v>
      </c>
      <c r="AD230" s="27">
        <v>912.19</v>
      </c>
      <c r="AE230" s="30">
        <v>832098.5</v>
      </c>
      <c r="AF230" s="27">
        <v>912.2</v>
      </c>
      <c r="AG230" s="23"/>
      <c r="AH230" s="30">
        <v>11816.84</v>
      </c>
      <c r="AI230" s="27">
        <v>744.16</v>
      </c>
      <c r="AJ230" s="30">
        <v>553766.69999999995</v>
      </c>
      <c r="AK230" s="27">
        <v>744.2</v>
      </c>
      <c r="AL230" s="23"/>
      <c r="AM230" s="30">
        <v>11909.85</v>
      </c>
      <c r="AN230" s="27">
        <v>651.15</v>
      </c>
      <c r="AO230" s="30">
        <v>423989.8</v>
      </c>
      <c r="AP230" s="27">
        <v>651.1</v>
      </c>
      <c r="AQ230" s="23"/>
      <c r="AR230" s="30">
        <v>11930.12</v>
      </c>
      <c r="AS230" s="27">
        <v>630.88</v>
      </c>
      <c r="AT230" s="30">
        <v>398015.6</v>
      </c>
      <c r="AU230" s="27">
        <v>630.9</v>
      </c>
    </row>
    <row r="231" spans="1:47" ht="18" x14ac:dyDescent="0.2">
      <c r="A231" s="26">
        <v>45832</v>
      </c>
      <c r="B231" s="40">
        <v>11789</v>
      </c>
      <c r="C231" s="23"/>
      <c r="D231" s="30">
        <v>10031.31</v>
      </c>
      <c r="E231" s="30">
        <v>1757.69</v>
      </c>
      <c r="F231" s="30">
        <v>3089481.2</v>
      </c>
      <c r="G231" s="30">
        <v>1757.7</v>
      </c>
      <c r="H231" s="23"/>
      <c r="I231" s="30">
        <v>10691.84</v>
      </c>
      <c r="J231" s="30">
        <v>1097.1600000000001</v>
      </c>
      <c r="K231" s="30">
        <v>1203751.3</v>
      </c>
      <c r="L231" s="30">
        <v>1097.2</v>
      </c>
      <c r="M231" s="23"/>
      <c r="N231" s="30">
        <v>11249.43</v>
      </c>
      <c r="O231" s="27">
        <v>539.57000000000005</v>
      </c>
      <c r="P231" s="30">
        <v>291134.3</v>
      </c>
      <c r="Q231" s="27">
        <v>539.6</v>
      </c>
      <c r="R231" s="23"/>
      <c r="S231" s="30">
        <v>11673.5</v>
      </c>
      <c r="T231" s="27">
        <v>115.5</v>
      </c>
      <c r="U231" s="30">
        <v>13340.1</v>
      </c>
      <c r="V231" s="27">
        <v>115.5</v>
      </c>
      <c r="W231" s="23"/>
      <c r="X231" s="30">
        <v>11982.44</v>
      </c>
      <c r="Y231" s="27">
        <v>-193.44</v>
      </c>
      <c r="Z231" s="30">
        <v>37418.9</v>
      </c>
      <c r="AA231" s="27">
        <v>193.4</v>
      </c>
      <c r="AB231" s="23"/>
      <c r="AC231" s="30">
        <v>12196.12</v>
      </c>
      <c r="AD231" s="27">
        <v>-407.12</v>
      </c>
      <c r="AE231" s="30">
        <v>165748.5</v>
      </c>
      <c r="AF231" s="27">
        <v>407.1</v>
      </c>
      <c r="AG231" s="23"/>
      <c r="AH231" s="30">
        <v>12337.75</v>
      </c>
      <c r="AI231" s="27">
        <v>-548.75</v>
      </c>
      <c r="AJ231" s="30">
        <v>301130.40000000002</v>
      </c>
      <c r="AK231" s="27">
        <v>548.79999999999995</v>
      </c>
      <c r="AL231" s="23"/>
      <c r="AM231" s="30">
        <v>12430.77</v>
      </c>
      <c r="AN231" s="27">
        <v>-641.77</v>
      </c>
      <c r="AO231" s="30">
        <v>411870</v>
      </c>
      <c r="AP231" s="27">
        <v>641.79999999999995</v>
      </c>
      <c r="AQ231" s="23"/>
      <c r="AR231" s="30">
        <v>12497.91</v>
      </c>
      <c r="AS231" s="27">
        <v>-708.91</v>
      </c>
      <c r="AT231" s="30">
        <v>502555.6</v>
      </c>
      <c r="AU231" s="27">
        <v>708.9</v>
      </c>
    </row>
    <row r="232" spans="1:47" ht="18" x14ac:dyDescent="0.2">
      <c r="A232" s="26">
        <v>45862</v>
      </c>
      <c r="B232" s="40">
        <v>12109</v>
      </c>
      <c r="C232" s="23"/>
      <c r="D232" s="30">
        <v>10207.08</v>
      </c>
      <c r="E232" s="30">
        <v>1901.92</v>
      </c>
      <c r="F232" s="30">
        <v>3617310.3</v>
      </c>
      <c r="G232" s="30">
        <v>1901.9</v>
      </c>
      <c r="H232" s="23"/>
      <c r="I232" s="30">
        <v>10911.28</v>
      </c>
      <c r="J232" s="30">
        <v>1197.72</v>
      </c>
      <c r="K232" s="30">
        <v>1434544.7</v>
      </c>
      <c r="L232" s="30">
        <v>1197.7</v>
      </c>
      <c r="M232" s="23"/>
      <c r="N232" s="30">
        <v>11411.3</v>
      </c>
      <c r="O232" s="27">
        <v>697.7</v>
      </c>
      <c r="P232" s="30">
        <v>486782.6</v>
      </c>
      <c r="Q232" s="27">
        <v>697.7</v>
      </c>
      <c r="R232" s="23"/>
      <c r="S232" s="30">
        <v>11719.7</v>
      </c>
      <c r="T232" s="27">
        <v>389.3</v>
      </c>
      <c r="U232" s="30">
        <v>151554.20000000001</v>
      </c>
      <c r="V232" s="27">
        <v>389.3</v>
      </c>
      <c r="W232" s="23"/>
      <c r="X232" s="30">
        <v>11885.72</v>
      </c>
      <c r="Y232" s="27">
        <v>223.28</v>
      </c>
      <c r="Z232" s="30">
        <v>49854</v>
      </c>
      <c r="AA232" s="27">
        <v>223.3</v>
      </c>
      <c r="AB232" s="23"/>
      <c r="AC232" s="30">
        <v>11951.85</v>
      </c>
      <c r="AD232" s="27">
        <v>157.15</v>
      </c>
      <c r="AE232" s="30">
        <v>24696.5</v>
      </c>
      <c r="AF232" s="27">
        <v>157.19999999999999</v>
      </c>
      <c r="AG232" s="23"/>
      <c r="AH232" s="30">
        <v>11953.63</v>
      </c>
      <c r="AI232" s="27">
        <v>155.37</v>
      </c>
      <c r="AJ232" s="30">
        <v>24141.1</v>
      </c>
      <c r="AK232" s="27">
        <v>155.4</v>
      </c>
      <c r="AL232" s="23"/>
      <c r="AM232" s="30">
        <v>11917.35</v>
      </c>
      <c r="AN232" s="27">
        <v>191.65</v>
      </c>
      <c r="AO232" s="30">
        <v>36728.1</v>
      </c>
      <c r="AP232" s="27">
        <v>191.6</v>
      </c>
      <c r="AQ232" s="23"/>
      <c r="AR232" s="30">
        <v>11859.89</v>
      </c>
      <c r="AS232" s="27">
        <v>249.11</v>
      </c>
      <c r="AT232" s="30">
        <v>62055.199999999997</v>
      </c>
      <c r="AU232" s="27">
        <v>249.1</v>
      </c>
    </row>
    <row r="233" spans="1:47" ht="18" x14ac:dyDescent="0.2">
      <c r="A233" s="26">
        <v>45893</v>
      </c>
      <c r="B233" s="40">
        <v>14093</v>
      </c>
      <c r="C233" s="23"/>
      <c r="D233" s="30">
        <v>10397.27</v>
      </c>
      <c r="E233" s="30">
        <v>3695.73</v>
      </c>
      <c r="F233" s="30">
        <v>13658424.1</v>
      </c>
      <c r="G233" s="30">
        <v>3695.7</v>
      </c>
      <c r="H233" s="23"/>
      <c r="I233" s="30">
        <v>11150.82</v>
      </c>
      <c r="J233" s="30">
        <v>2942.18</v>
      </c>
      <c r="K233" s="30">
        <v>8656422.1999999993</v>
      </c>
      <c r="L233" s="30">
        <v>2942.2</v>
      </c>
      <c r="M233" s="23"/>
      <c r="N233" s="30">
        <v>11620.61</v>
      </c>
      <c r="O233" s="30">
        <v>2472.39</v>
      </c>
      <c r="P233" s="30">
        <v>6112705.5</v>
      </c>
      <c r="Q233" s="30">
        <v>2472.4</v>
      </c>
      <c r="R233" s="23"/>
      <c r="S233" s="30">
        <v>11875.42</v>
      </c>
      <c r="T233" s="30">
        <v>2217.58</v>
      </c>
      <c r="U233" s="30">
        <v>4917660.2</v>
      </c>
      <c r="V233" s="30">
        <v>2217.6</v>
      </c>
      <c r="W233" s="23"/>
      <c r="X233" s="30">
        <v>11997.36</v>
      </c>
      <c r="Y233" s="30">
        <v>2095.64</v>
      </c>
      <c r="Z233" s="30">
        <v>4391707.4000000004</v>
      </c>
      <c r="AA233" s="30">
        <v>2095.6</v>
      </c>
      <c r="AB233" s="23"/>
      <c r="AC233" s="30">
        <v>12046.14</v>
      </c>
      <c r="AD233" s="30">
        <v>2046.86</v>
      </c>
      <c r="AE233" s="30">
        <v>4189637.7</v>
      </c>
      <c r="AF233" s="30">
        <v>2046.9</v>
      </c>
      <c r="AG233" s="23"/>
      <c r="AH233" s="30">
        <v>12062.39</v>
      </c>
      <c r="AI233" s="30">
        <v>2030.61</v>
      </c>
      <c r="AJ233" s="30">
        <v>4123385.9</v>
      </c>
      <c r="AK233" s="30">
        <v>2030.6</v>
      </c>
      <c r="AL233" s="23"/>
      <c r="AM233" s="30">
        <v>12070.67</v>
      </c>
      <c r="AN233" s="30">
        <v>2022.33</v>
      </c>
      <c r="AO233" s="30">
        <v>4089815.2</v>
      </c>
      <c r="AP233" s="30">
        <v>2022.3</v>
      </c>
      <c r="AQ233" s="23"/>
      <c r="AR233" s="30">
        <v>12084.09</v>
      </c>
      <c r="AS233" s="30">
        <v>2008.91</v>
      </c>
      <c r="AT233" s="30">
        <v>4035722.9</v>
      </c>
      <c r="AU233" s="30">
        <v>2008.9</v>
      </c>
    </row>
    <row r="234" spans="1:47" ht="18" x14ac:dyDescent="0.2">
      <c r="A234" s="26">
        <v>45924</v>
      </c>
      <c r="B234" s="40">
        <v>10630</v>
      </c>
      <c r="C234" s="23"/>
      <c r="D234" s="30">
        <v>10766.84</v>
      </c>
      <c r="E234" s="27">
        <v>-136.84</v>
      </c>
      <c r="F234" s="30">
        <v>18725.900000000001</v>
      </c>
      <c r="G234" s="27">
        <v>136.80000000000001</v>
      </c>
      <c r="H234" s="23"/>
      <c r="I234" s="30">
        <v>11739.26</v>
      </c>
      <c r="J234" s="30">
        <v>-1109.26</v>
      </c>
      <c r="K234" s="30">
        <v>1230449.2</v>
      </c>
      <c r="L234" s="30">
        <v>1109.3</v>
      </c>
      <c r="M234" s="23"/>
      <c r="N234" s="30">
        <v>12362.33</v>
      </c>
      <c r="O234" s="30">
        <v>-1732.33</v>
      </c>
      <c r="P234" s="30">
        <v>3000960.2</v>
      </c>
      <c r="Q234" s="30">
        <v>1732.3</v>
      </c>
      <c r="R234" s="23"/>
      <c r="S234" s="30">
        <v>12762.45</v>
      </c>
      <c r="T234" s="30">
        <v>-2132.4499999999998</v>
      </c>
      <c r="U234" s="30">
        <v>4547352</v>
      </c>
      <c r="V234" s="30">
        <v>2132.5</v>
      </c>
      <c r="W234" s="23"/>
      <c r="X234" s="30">
        <v>13045.18</v>
      </c>
      <c r="Y234" s="30">
        <v>-2415.1799999999998</v>
      </c>
      <c r="Z234" s="30">
        <v>5833094.2000000002</v>
      </c>
      <c r="AA234" s="30">
        <v>2415.1999999999998</v>
      </c>
      <c r="AB234" s="23"/>
      <c r="AC234" s="30">
        <v>13274.26</v>
      </c>
      <c r="AD234" s="30">
        <v>-2644.26</v>
      </c>
      <c r="AE234" s="30">
        <v>6992088.9000000004</v>
      </c>
      <c r="AF234" s="30">
        <v>2644.3</v>
      </c>
      <c r="AG234" s="23"/>
      <c r="AH234" s="30">
        <v>13483.82</v>
      </c>
      <c r="AI234" s="30">
        <v>-2853.82</v>
      </c>
      <c r="AJ234" s="30">
        <v>8144267.7000000002</v>
      </c>
      <c r="AK234" s="30">
        <v>2853.8</v>
      </c>
      <c r="AL234" s="23"/>
      <c r="AM234" s="30">
        <v>13688.53</v>
      </c>
      <c r="AN234" s="30">
        <v>-3058.53</v>
      </c>
      <c r="AO234" s="30">
        <v>9354631.3000000007</v>
      </c>
      <c r="AP234" s="30">
        <v>3058.5</v>
      </c>
      <c r="AQ234" s="23"/>
      <c r="AR234" s="30">
        <v>13892.11</v>
      </c>
      <c r="AS234" s="30">
        <v>-3262.11</v>
      </c>
      <c r="AT234" s="30">
        <v>10641354.6</v>
      </c>
      <c r="AU234" s="30">
        <v>3262.1</v>
      </c>
    </row>
    <row r="235" spans="1:47" ht="18" x14ac:dyDescent="0.2">
      <c r="A235" s="26">
        <v>45954</v>
      </c>
      <c r="B235" s="40">
        <v>11927</v>
      </c>
      <c r="C235" s="23"/>
      <c r="D235" s="30">
        <v>10753.16</v>
      </c>
      <c r="E235" s="30">
        <v>1173.8399999999999</v>
      </c>
      <c r="F235" s="30">
        <v>1377904.4</v>
      </c>
      <c r="G235" s="30">
        <v>1173.8</v>
      </c>
      <c r="H235" s="23"/>
      <c r="I235" s="30">
        <v>11517.4</v>
      </c>
      <c r="J235" s="27">
        <v>409.6</v>
      </c>
      <c r="K235" s="30">
        <v>167768.1</v>
      </c>
      <c r="L235" s="27">
        <v>409.6</v>
      </c>
      <c r="M235" s="23"/>
      <c r="N235" s="30">
        <v>11842.63</v>
      </c>
      <c r="O235" s="27">
        <v>84.37</v>
      </c>
      <c r="P235" s="30">
        <v>7118.4</v>
      </c>
      <c r="Q235" s="27">
        <v>84.4</v>
      </c>
      <c r="R235" s="23"/>
      <c r="S235" s="30">
        <v>11909.47</v>
      </c>
      <c r="T235" s="27">
        <v>17.53</v>
      </c>
      <c r="U235" s="27">
        <v>307.3</v>
      </c>
      <c r="V235" s="27">
        <v>17.5</v>
      </c>
      <c r="W235" s="23"/>
      <c r="X235" s="30">
        <v>11837.59</v>
      </c>
      <c r="Y235" s="27">
        <v>89.41</v>
      </c>
      <c r="Z235" s="30">
        <v>7994.2</v>
      </c>
      <c r="AA235" s="27">
        <v>89.4</v>
      </c>
      <c r="AB235" s="23"/>
      <c r="AC235" s="30">
        <v>11687.7</v>
      </c>
      <c r="AD235" s="27">
        <v>239.3</v>
      </c>
      <c r="AE235" s="30">
        <v>57263.4</v>
      </c>
      <c r="AF235" s="27">
        <v>239.3</v>
      </c>
      <c r="AG235" s="23"/>
      <c r="AH235" s="30">
        <v>11486.14</v>
      </c>
      <c r="AI235" s="27">
        <v>440.86</v>
      </c>
      <c r="AJ235" s="30">
        <v>194353.2</v>
      </c>
      <c r="AK235" s="27">
        <v>440.9</v>
      </c>
      <c r="AL235" s="23"/>
      <c r="AM235" s="30">
        <v>11241.71</v>
      </c>
      <c r="AN235" s="27">
        <v>685.29</v>
      </c>
      <c r="AO235" s="30">
        <v>469626.7</v>
      </c>
      <c r="AP235" s="27">
        <v>685.3</v>
      </c>
      <c r="AQ235" s="23"/>
      <c r="AR235" s="30">
        <v>10956.21</v>
      </c>
      <c r="AS235" s="27">
        <v>970.79</v>
      </c>
      <c r="AT235" s="30">
        <v>942431.5</v>
      </c>
      <c r="AU235" s="27">
        <v>970.8</v>
      </c>
    </row>
    <row r="236" spans="1:47" ht="18" x14ac:dyDescent="0.2">
      <c r="A236" s="26">
        <v>45985</v>
      </c>
      <c r="B236" s="40">
        <v>12652</v>
      </c>
      <c r="C236" s="23"/>
      <c r="D236" s="30">
        <v>10870.54</v>
      </c>
      <c r="E236" s="30">
        <v>1781.46</v>
      </c>
      <c r="F236" s="30">
        <v>3173591</v>
      </c>
      <c r="G236" s="30">
        <v>1781.5</v>
      </c>
      <c r="H236" s="23"/>
      <c r="I236" s="30">
        <v>11599.32</v>
      </c>
      <c r="J236" s="30">
        <v>1052.68</v>
      </c>
      <c r="K236" s="30">
        <v>1108126.8999999999</v>
      </c>
      <c r="L236" s="30">
        <v>1052.7</v>
      </c>
      <c r="M236" s="23"/>
      <c r="N236" s="30">
        <v>11867.94</v>
      </c>
      <c r="O236" s="27">
        <v>784.06</v>
      </c>
      <c r="P236" s="30">
        <v>614749</v>
      </c>
      <c r="Q236" s="27">
        <v>784.1</v>
      </c>
      <c r="R236" s="23"/>
      <c r="S236" s="30">
        <v>11916.48</v>
      </c>
      <c r="T236" s="27">
        <v>735.52</v>
      </c>
      <c r="U236" s="30">
        <v>540985.59999999998</v>
      </c>
      <c r="V236" s="27">
        <v>735.5</v>
      </c>
      <c r="W236" s="23"/>
      <c r="X236" s="30">
        <v>11882.29</v>
      </c>
      <c r="Y236" s="27">
        <v>769.71</v>
      </c>
      <c r="Z236" s="30">
        <v>592445.80000000005</v>
      </c>
      <c r="AA236" s="27">
        <v>769.7</v>
      </c>
      <c r="AB236" s="23"/>
      <c r="AC236" s="30">
        <v>11831.28</v>
      </c>
      <c r="AD236" s="27">
        <v>820.72</v>
      </c>
      <c r="AE236" s="30">
        <v>673579.8</v>
      </c>
      <c r="AF236" s="27">
        <v>820.7</v>
      </c>
      <c r="AG236" s="23"/>
      <c r="AH236" s="30">
        <v>11794.74</v>
      </c>
      <c r="AI236" s="27">
        <v>857.26</v>
      </c>
      <c r="AJ236" s="30">
        <v>734888.8</v>
      </c>
      <c r="AK236" s="27">
        <v>857.3</v>
      </c>
      <c r="AL236" s="23"/>
      <c r="AM236" s="30">
        <v>11789.94</v>
      </c>
      <c r="AN236" s="27">
        <v>862.06</v>
      </c>
      <c r="AO236" s="30">
        <v>743145.1</v>
      </c>
      <c r="AP236" s="27">
        <v>862.1</v>
      </c>
      <c r="AQ236" s="23"/>
      <c r="AR236" s="30">
        <v>11829.92</v>
      </c>
      <c r="AS236" s="27">
        <v>822.08</v>
      </c>
      <c r="AT236" s="30">
        <v>675813.7</v>
      </c>
      <c r="AU236" s="27">
        <v>822.1</v>
      </c>
    </row>
    <row r="237" spans="1:47" ht="18" x14ac:dyDescent="0.2">
      <c r="A237" s="26">
        <v>46015</v>
      </c>
      <c r="B237" s="40">
        <v>13551</v>
      </c>
      <c r="C237" s="23"/>
      <c r="D237" s="30">
        <v>11048.69</v>
      </c>
      <c r="E237" s="30">
        <v>2502.31</v>
      </c>
      <c r="F237" s="30">
        <v>6261564.2999999998</v>
      </c>
      <c r="G237" s="30">
        <v>2502.3000000000002</v>
      </c>
      <c r="H237" s="23"/>
      <c r="I237" s="30">
        <v>11809.86</v>
      </c>
      <c r="J237" s="30">
        <v>1741.14</v>
      </c>
      <c r="K237" s="30">
        <v>3031571.5</v>
      </c>
      <c r="L237" s="30">
        <v>1741.1</v>
      </c>
      <c r="M237" s="23"/>
      <c r="N237" s="30">
        <v>12103.16</v>
      </c>
      <c r="O237" s="30">
        <v>1447.84</v>
      </c>
      <c r="P237" s="30">
        <v>2096245</v>
      </c>
      <c r="Q237" s="30">
        <v>1447.8</v>
      </c>
      <c r="R237" s="23"/>
      <c r="S237" s="30">
        <v>12210.69</v>
      </c>
      <c r="T237" s="30">
        <v>1340.31</v>
      </c>
      <c r="U237" s="30">
        <v>1796431.8</v>
      </c>
      <c r="V237" s="30">
        <v>1340.3</v>
      </c>
      <c r="W237" s="23"/>
      <c r="X237" s="30">
        <v>12267.15</v>
      </c>
      <c r="Y237" s="30">
        <v>1283.8499999999999</v>
      </c>
      <c r="Z237" s="30">
        <v>1648277.3</v>
      </c>
      <c r="AA237" s="30">
        <v>1283.9000000000001</v>
      </c>
      <c r="AB237" s="23"/>
      <c r="AC237" s="30">
        <v>12323.71</v>
      </c>
      <c r="AD237" s="30">
        <v>1227.29</v>
      </c>
      <c r="AE237" s="30">
        <v>1506234.9</v>
      </c>
      <c r="AF237" s="30">
        <v>1227.3</v>
      </c>
      <c r="AG237" s="23"/>
      <c r="AH237" s="30">
        <v>12394.82</v>
      </c>
      <c r="AI237" s="30">
        <v>1156.18</v>
      </c>
      <c r="AJ237" s="30">
        <v>1336745.2</v>
      </c>
      <c r="AK237" s="30">
        <v>1156.2</v>
      </c>
      <c r="AL237" s="23"/>
      <c r="AM237" s="30">
        <v>12479.59</v>
      </c>
      <c r="AN237" s="30">
        <v>1071.4100000000001</v>
      </c>
      <c r="AO237" s="30">
        <v>1147923.1000000001</v>
      </c>
      <c r="AP237" s="30">
        <v>1071.4000000000001</v>
      </c>
      <c r="AQ237" s="23"/>
      <c r="AR237" s="30">
        <v>12569.79</v>
      </c>
      <c r="AS237" s="27">
        <v>981.21</v>
      </c>
      <c r="AT237" s="30">
        <v>962768.9</v>
      </c>
      <c r="AU237" s="27">
        <v>981.2</v>
      </c>
    </row>
    <row r="238" spans="1:47" ht="18" x14ac:dyDescent="0.2">
      <c r="A238" s="26">
        <v>45682</v>
      </c>
      <c r="B238" s="40">
        <v>8849</v>
      </c>
      <c r="C238" s="23"/>
      <c r="D238" s="30">
        <v>11298.92</v>
      </c>
      <c r="E238" s="30">
        <v>-2449.92</v>
      </c>
      <c r="F238" s="30">
        <v>6002105</v>
      </c>
      <c r="G238" s="30">
        <v>2449.9</v>
      </c>
      <c r="H238" s="23"/>
      <c r="I238" s="30">
        <v>12158.09</v>
      </c>
      <c r="J238" s="30">
        <v>-3309.09</v>
      </c>
      <c r="K238" s="30">
        <v>10950058.800000001</v>
      </c>
      <c r="L238" s="30">
        <v>3309.1</v>
      </c>
      <c r="M238" s="23"/>
      <c r="N238" s="30">
        <v>12537.51</v>
      </c>
      <c r="O238" s="30">
        <v>-3688.51</v>
      </c>
      <c r="P238" s="30">
        <v>13605113</v>
      </c>
      <c r="Q238" s="30">
        <v>3688.5</v>
      </c>
      <c r="R238" s="23"/>
      <c r="S238" s="30">
        <v>12746.81</v>
      </c>
      <c r="T238" s="30">
        <v>-3897.81</v>
      </c>
      <c r="U238" s="30">
        <v>15192952.4</v>
      </c>
      <c r="V238" s="30">
        <v>3897.8</v>
      </c>
      <c r="W238" s="23"/>
      <c r="X238" s="30">
        <v>12909.07</v>
      </c>
      <c r="Y238" s="30">
        <v>-4060.07</v>
      </c>
      <c r="Z238" s="30">
        <v>16484198.800000001</v>
      </c>
      <c r="AA238" s="30">
        <v>4060.1</v>
      </c>
      <c r="AB238" s="23"/>
      <c r="AC238" s="30">
        <v>13060.08</v>
      </c>
      <c r="AD238" s="30">
        <v>-4211.08</v>
      </c>
      <c r="AE238" s="30">
        <v>17733236.399999999</v>
      </c>
      <c r="AF238" s="30">
        <v>4211.1000000000004</v>
      </c>
      <c r="AG238" s="23"/>
      <c r="AH238" s="30">
        <v>13204.15</v>
      </c>
      <c r="AI238" s="30">
        <v>-4355.1499999999996</v>
      </c>
      <c r="AJ238" s="30">
        <v>18967304.600000001</v>
      </c>
      <c r="AK238" s="30">
        <v>4355.1000000000004</v>
      </c>
      <c r="AL238" s="23"/>
      <c r="AM238" s="30">
        <v>13336.72</v>
      </c>
      <c r="AN238" s="30">
        <v>-4487.72</v>
      </c>
      <c r="AO238" s="30">
        <v>20139609.699999999</v>
      </c>
      <c r="AP238" s="30">
        <v>4487.7</v>
      </c>
      <c r="AQ238" s="23"/>
      <c r="AR238" s="30">
        <v>13452.88</v>
      </c>
      <c r="AS238" s="30">
        <v>-4603.88</v>
      </c>
      <c r="AT238" s="30">
        <v>21195703.800000001</v>
      </c>
      <c r="AU238" s="30">
        <v>4603.8999999999996</v>
      </c>
    </row>
    <row r="239" spans="1:47" ht="18" x14ac:dyDescent="0.2">
      <c r="A239" s="26">
        <v>45713</v>
      </c>
      <c r="B239" s="40">
        <v>10204</v>
      </c>
      <c r="C239" s="23"/>
      <c r="D239" s="30">
        <v>11053.93</v>
      </c>
      <c r="E239" s="27">
        <v>-849.93</v>
      </c>
      <c r="F239" s="30">
        <v>722376.7</v>
      </c>
      <c r="G239" s="27">
        <v>849.9</v>
      </c>
      <c r="H239" s="23"/>
      <c r="I239" s="30">
        <v>11496.27</v>
      </c>
      <c r="J239" s="30">
        <v>-1292.27</v>
      </c>
      <c r="K239" s="30">
        <v>1669961.4</v>
      </c>
      <c r="L239" s="30">
        <v>1292.3</v>
      </c>
      <c r="M239" s="23"/>
      <c r="N239" s="30">
        <v>11430.96</v>
      </c>
      <c r="O239" s="30">
        <v>-1226.96</v>
      </c>
      <c r="P239" s="30">
        <v>1505425.1</v>
      </c>
      <c r="Q239" s="30">
        <v>1227</v>
      </c>
      <c r="R239" s="23"/>
      <c r="S239" s="30">
        <v>11187.69</v>
      </c>
      <c r="T239" s="27">
        <v>-983.69</v>
      </c>
      <c r="U239" s="30">
        <v>967642.6</v>
      </c>
      <c r="V239" s="27">
        <v>983.7</v>
      </c>
      <c r="W239" s="23"/>
      <c r="X239" s="30">
        <v>10879.04</v>
      </c>
      <c r="Y239" s="27">
        <v>-675.04</v>
      </c>
      <c r="Z239" s="30">
        <v>455674.8</v>
      </c>
      <c r="AA239" s="27">
        <v>675</v>
      </c>
      <c r="AB239" s="23"/>
      <c r="AC239" s="30">
        <v>10533.43</v>
      </c>
      <c r="AD239" s="27">
        <v>-329.43</v>
      </c>
      <c r="AE239" s="30">
        <v>108526.7</v>
      </c>
      <c r="AF239" s="27">
        <v>329.4</v>
      </c>
      <c r="AG239" s="23"/>
      <c r="AH239" s="30">
        <v>10155.540000000001</v>
      </c>
      <c r="AI239" s="27">
        <v>48.46</v>
      </c>
      <c r="AJ239" s="30">
        <v>2348</v>
      </c>
      <c r="AK239" s="27">
        <v>48.5</v>
      </c>
      <c r="AL239" s="23"/>
      <c r="AM239" s="30">
        <v>9746.5400000000009</v>
      </c>
      <c r="AN239" s="27">
        <v>457.46</v>
      </c>
      <c r="AO239" s="30">
        <v>209266.4</v>
      </c>
      <c r="AP239" s="27">
        <v>457.5</v>
      </c>
      <c r="AQ239" s="23"/>
      <c r="AR239" s="30">
        <v>9309.39</v>
      </c>
      <c r="AS239" s="27">
        <v>894.61</v>
      </c>
      <c r="AT239" s="30">
        <v>800330.8</v>
      </c>
      <c r="AU239" s="27">
        <v>894.6</v>
      </c>
    </row>
    <row r="240" spans="1:47" ht="19" thickBot="1" x14ac:dyDescent="0.25">
      <c r="A240" s="26">
        <v>45741</v>
      </c>
      <c r="B240" s="40">
        <v>13589</v>
      </c>
      <c r="C240" s="23"/>
      <c r="D240" s="30">
        <v>10968.93</v>
      </c>
      <c r="E240" s="30">
        <v>2620.0700000000002</v>
      </c>
      <c r="F240" s="41">
        <v>6864742.2000000002</v>
      </c>
      <c r="G240" s="41">
        <v>2620.1</v>
      </c>
      <c r="H240" s="23"/>
      <c r="I240" s="30">
        <v>11237.82</v>
      </c>
      <c r="J240" s="30">
        <v>2351.1799999999998</v>
      </c>
      <c r="K240" s="41">
        <v>5528066.7999999998</v>
      </c>
      <c r="L240" s="41">
        <v>2351.1999999999998</v>
      </c>
      <c r="M240" s="23"/>
      <c r="N240" s="41">
        <v>11062.87</v>
      </c>
      <c r="O240" s="30">
        <v>2526.13</v>
      </c>
      <c r="P240" s="41">
        <v>6381330.9000000004</v>
      </c>
      <c r="Q240" s="41">
        <v>2526.1</v>
      </c>
      <c r="R240" s="23"/>
      <c r="S240" s="30">
        <v>10794.21</v>
      </c>
      <c r="T240" s="30">
        <v>2794.79</v>
      </c>
      <c r="U240" s="41">
        <v>7810834.5999999996</v>
      </c>
      <c r="V240" s="41">
        <v>2794.8</v>
      </c>
      <c r="W240" s="23"/>
      <c r="X240" s="30">
        <v>10541.52</v>
      </c>
      <c r="Y240" s="30">
        <v>3047.48</v>
      </c>
      <c r="Z240" s="41">
        <v>9287143.9000000004</v>
      </c>
      <c r="AA240" s="41">
        <v>3047.5</v>
      </c>
      <c r="AB240" s="23"/>
      <c r="AC240" s="30">
        <v>10335.77</v>
      </c>
      <c r="AD240" s="30">
        <v>3253.23</v>
      </c>
      <c r="AE240" s="41">
        <v>10583482.1</v>
      </c>
      <c r="AF240" s="41">
        <v>3253.2</v>
      </c>
      <c r="AG240" s="23"/>
      <c r="AH240" s="30">
        <v>10189.459999999999</v>
      </c>
      <c r="AI240" s="30">
        <v>3399.54</v>
      </c>
      <c r="AJ240" s="41">
        <v>11556850.300000001</v>
      </c>
      <c r="AK240" s="41">
        <v>3399.5</v>
      </c>
      <c r="AL240" s="23"/>
      <c r="AM240" s="30">
        <v>10112.51</v>
      </c>
      <c r="AN240" s="30">
        <v>3476.49</v>
      </c>
      <c r="AO240" s="41">
        <v>12085991.699999999</v>
      </c>
      <c r="AP240" s="41">
        <v>3476.5</v>
      </c>
      <c r="AQ240" s="23"/>
      <c r="AR240" s="30">
        <v>10114.540000000001</v>
      </c>
      <c r="AS240" s="30">
        <v>3474.46</v>
      </c>
      <c r="AT240" s="41">
        <v>12071880.699999999</v>
      </c>
      <c r="AU240" s="41">
        <v>3474.5</v>
      </c>
    </row>
    <row r="241" spans="1:47" x14ac:dyDescent="0.2">
      <c r="A241" s="23"/>
      <c r="B241" s="23"/>
      <c r="C241" s="55"/>
      <c r="D241" s="55"/>
      <c r="E241" s="23"/>
      <c r="F241" s="50">
        <v>2335.7800000000002</v>
      </c>
      <c r="G241" s="50">
        <v>1799.93</v>
      </c>
      <c r="H241" s="67"/>
      <c r="I241" s="68"/>
      <c r="J241" s="51"/>
      <c r="K241" s="50">
        <v>2241.7600000000002</v>
      </c>
      <c r="L241" s="52">
        <v>1709.57</v>
      </c>
      <c r="M241" s="71">
        <f>G252</f>
        <v>10805</v>
      </c>
      <c r="N241" s="72"/>
      <c r="O241" s="51"/>
      <c r="P241" s="50">
        <v>2224.4299999999998</v>
      </c>
      <c r="Q241" s="50">
        <v>1678.99</v>
      </c>
      <c r="R241" s="67"/>
      <c r="S241" s="68"/>
      <c r="T241" s="51"/>
      <c r="U241" s="50">
        <v>2238.4499999999998</v>
      </c>
      <c r="V241" s="50">
        <v>1663.58</v>
      </c>
      <c r="W241" s="71">
        <f>G253</f>
        <v>10373</v>
      </c>
      <c r="X241" s="72"/>
      <c r="Y241" s="51"/>
      <c r="Z241" s="50">
        <v>2269.56</v>
      </c>
      <c r="AA241" s="50">
        <v>1660.58</v>
      </c>
      <c r="AB241" s="67"/>
      <c r="AC241" s="68"/>
      <c r="AD241" s="51"/>
      <c r="AE241" s="50">
        <v>2313.39</v>
      </c>
      <c r="AF241" s="50">
        <v>1668.07</v>
      </c>
      <c r="AG241" s="67"/>
      <c r="AH241" s="68"/>
      <c r="AI241" s="51"/>
      <c r="AJ241" s="50">
        <v>2368.63</v>
      </c>
      <c r="AK241" s="50">
        <v>1684.48</v>
      </c>
      <c r="AL241" s="67"/>
      <c r="AM241" s="68"/>
      <c r="AN241" s="51"/>
      <c r="AO241" s="50">
        <v>2435.12</v>
      </c>
      <c r="AP241" s="50">
        <v>1717.09</v>
      </c>
      <c r="AQ241" s="67"/>
      <c r="AR241" s="68"/>
      <c r="AS241" s="51"/>
      <c r="AT241" s="50">
        <v>2513.61</v>
      </c>
      <c r="AU241" s="50">
        <v>1769.42</v>
      </c>
    </row>
    <row r="242" spans="1:47" ht="17" thickBot="1" x14ac:dyDescent="0.25">
      <c r="A242" s="23"/>
      <c r="B242" s="23"/>
      <c r="C242" s="55"/>
      <c r="D242" s="55"/>
      <c r="E242" s="23"/>
      <c r="F242" s="50" t="s">
        <v>41</v>
      </c>
      <c r="G242" s="50" t="s">
        <v>7</v>
      </c>
      <c r="H242" s="67"/>
      <c r="I242" s="68"/>
      <c r="J242" s="51"/>
      <c r="K242" s="50" t="s">
        <v>41</v>
      </c>
      <c r="L242" s="52" t="s">
        <v>7</v>
      </c>
      <c r="M242" s="69" t="s">
        <v>5</v>
      </c>
      <c r="N242" s="70"/>
      <c r="O242" s="51"/>
      <c r="P242" s="50" t="s">
        <v>41</v>
      </c>
      <c r="Q242" s="50" t="s">
        <v>7</v>
      </c>
      <c r="R242" s="67"/>
      <c r="S242" s="68"/>
      <c r="T242" s="51"/>
      <c r="U242" s="50" t="s">
        <v>41</v>
      </c>
      <c r="V242" s="50" t="s">
        <v>7</v>
      </c>
      <c r="W242" s="69" t="s">
        <v>5</v>
      </c>
      <c r="X242" s="70"/>
      <c r="Y242" s="51"/>
      <c r="Z242" s="50" t="s">
        <v>41</v>
      </c>
      <c r="AA242" s="50" t="s">
        <v>7</v>
      </c>
      <c r="AB242" s="67"/>
      <c r="AC242" s="68"/>
      <c r="AD242" s="51"/>
      <c r="AE242" s="50" t="s">
        <v>41</v>
      </c>
      <c r="AF242" s="50" t="s">
        <v>7</v>
      </c>
      <c r="AG242" s="67"/>
      <c r="AH242" s="68"/>
      <c r="AI242" s="51"/>
      <c r="AJ242" s="50" t="s">
        <v>41</v>
      </c>
      <c r="AK242" s="50" t="s">
        <v>7</v>
      </c>
      <c r="AL242" s="67"/>
      <c r="AM242" s="68"/>
      <c r="AN242" s="51"/>
      <c r="AO242" s="50" t="s">
        <v>41</v>
      </c>
      <c r="AP242" s="50" t="s">
        <v>7</v>
      </c>
      <c r="AQ242" s="67"/>
      <c r="AR242" s="68"/>
      <c r="AS242" s="51"/>
      <c r="AT242" s="50" t="s">
        <v>41</v>
      </c>
      <c r="AU242" s="50" t="s">
        <v>7</v>
      </c>
    </row>
    <row r="243" spans="1:47" x14ac:dyDescent="0.2">
      <c r="A243" s="23"/>
      <c r="B243" s="23"/>
      <c r="C243" s="55"/>
      <c r="D243" s="55"/>
      <c r="E243" s="23"/>
      <c r="F243" s="23"/>
      <c r="G243" s="23"/>
      <c r="H243" s="55"/>
      <c r="I243" s="55"/>
      <c r="J243" s="23"/>
      <c r="K243" s="23"/>
      <c r="L243" s="23"/>
      <c r="M243" s="55"/>
      <c r="N243" s="55"/>
      <c r="O243" s="23"/>
      <c r="P243" s="23"/>
      <c r="Q243" s="23"/>
      <c r="R243" s="55"/>
      <c r="S243" s="55"/>
      <c r="T243" s="23"/>
      <c r="U243" s="23"/>
      <c r="V243" s="23"/>
      <c r="W243" s="55"/>
      <c r="X243" s="55"/>
      <c r="Y243" s="23"/>
      <c r="Z243" s="23"/>
      <c r="AA243" s="23"/>
      <c r="AB243" s="55"/>
      <c r="AC243" s="55"/>
      <c r="AD243" s="23"/>
      <c r="AE243" s="23"/>
      <c r="AF243" s="23"/>
      <c r="AG243" s="55"/>
      <c r="AH243" s="55"/>
      <c r="AI243" s="23"/>
      <c r="AJ243" s="23"/>
      <c r="AK243" s="23"/>
      <c r="AL243" s="55"/>
      <c r="AM243" s="55"/>
      <c r="AN243" s="23"/>
      <c r="AO243" s="23"/>
      <c r="AP243" s="23"/>
      <c r="AQ243" s="55"/>
      <c r="AR243" s="55"/>
      <c r="AS243" s="23"/>
      <c r="AT243" s="23"/>
      <c r="AU243" s="23"/>
    </row>
    <row r="244" spans="1:47" x14ac:dyDescent="0.2">
      <c r="A244" s="23"/>
      <c r="B244" s="23"/>
      <c r="C244" s="55"/>
      <c r="D244" s="55"/>
      <c r="E244" s="23"/>
      <c r="F244" s="23"/>
      <c r="G244" s="23"/>
      <c r="H244" s="55"/>
      <c r="I244" s="55"/>
      <c r="J244" s="23"/>
      <c r="K244" s="23"/>
      <c r="L244" s="23"/>
      <c r="M244" s="55"/>
      <c r="N244" s="55"/>
      <c r="O244" s="23"/>
      <c r="P244" s="23"/>
      <c r="Q244" s="23"/>
      <c r="R244" s="55"/>
      <c r="S244" s="55"/>
      <c r="T244" s="23"/>
      <c r="U244" s="23"/>
      <c r="V244" s="23"/>
      <c r="W244" s="55"/>
      <c r="X244" s="55"/>
      <c r="Y244" s="23"/>
      <c r="Z244" s="23"/>
      <c r="AA244" s="23"/>
      <c r="AB244" s="55"/>
      <c r="AC244" s="55"/>
      <c r="AD244" s="23"/>
      <c r="AE244" s="23"/>
      <c r="AF244" s="23"/>
      <c r="AG244" s="55"/>
      <c r="AH244" s="55"/>
      <c r="AI244" s="23"/>
      <c r="AJ244" s="23"/>
      <c r="AK244" s="23"/>
      <c r="AL244" s="55"/>
      <c r="AM244" s="55"/>
      <c r="AN244" s="23"/>
      <c r="AO244" s="23"/>
      <c r="AP244" s="23"/>
      <c r="AQ244" s="55"/>
      <c r="AR244" s="55"/>
      <c r="AS244" s="23"/>
      <c r="AT244" s="23"/>
      <c r="AU244" s="23"/>
    </row>
    <row r="245" spans="1:47" x14ac:dyDescent="0.2">
      <c r="A245" s="23"/>
      <c r="B245" s="23"/>
      <c r="C245" s="23"/>
      <c r="H245" s="56"/>
      <c r="I245" s="55"/>
      <c r="J245" s="23"/>
      <c r="K245" s="23"/>
      <c r="L245" s="23"/>
      <c r="M245" s="55"/>
      <c r="N245" s="55"/>
      <c r="O245" s="23"/>
      <c r="P245" s="23"/>
      <c r="Q245" s="23"/>
      <c r="R245" s="55"/>
      <c r="S245" s="55"/>
      <c r="T245" s="23"/>
      <c r="U245" s="23"/>
      <c r="V245" s="23"/>
      <c r="W245" s="55"/>
      <c r="X245" s="55"/>
      <c r="Y245" s="23"/>
      <c r="Z245" s="23"/>
      <c r="AA245" s="23"/>
      <c r="AB245" s="55"/>
      <c r="AC245" s="55"/>
      <c r="AD245" s="23"/>
      <c r="AE245" s="23"/>
      <c r="AF245" s="23"/>
      <c r="AG245" s="55"/>
      <c r="AH245" s="55"/>
      <c r="AI245" s="23"/>
      <c r="AJ245" s="23"/>
      <c r="AK245" s="23"/>
      <c r="AL245" s="55"/>
      <c r="AM245" s="55"/>
      <c r="AN245" s="23"/>
      <c r="AO245" s="23"/>
      <c r="AP245" s="23"/>
      <c r="AQ245" s="55"/>
      <c r="AR245" s="55"/>
      <c r="AS245" s="23"/>
      <c r="AT245" s="23"/>
      <c r="AU245" s="23"/>
    </row>
    <row r="246" spans="1:47" x14ac:dyDescent="0.2">
      <c r="A246" s="23"/>
      <c r="B246" s="23"/>
      <c r="C246" s="23"/>
      <c r="H246" s="56"/>
      <c r="I246" s="55"/>
      <c r="J246" s="23"/>
      <c r="K246" s="23"/>
      <c r="L246" s="23"/>
      <c r="M246" s="55"/>
      <c r="N246" s="55"/>
      <c r="O246" s="23"/>
      <c r="P246" s="23"/>
      <c r="Q246" s="23"/>
      <c r="R246" s="55"/>
      <c r="S246" s="55"/>
      <c r="T246" s="23"/>
      <c r="U246" s="23"/>
      <c r="V246" s="23"/>
      <c r="W246" s="55"/>
      <c r="X246" s="55"/>
      <c r="Y246" s="23"/>
      <c r="Z246" s="23"/>
      <c r="AA246" s="23"/>
      <c r="AB246" s="55"/>
      <c r="AC246" s="55"/>
      <c r="AD246" s="23"/>
      <c r="AE246" s="23"/>
      <c r="AF246" s="23"/>
      <c r="AG246" s="55"/>
      <c r="AH246" s="55"/>
      <c r="AI246" s="23"/>
      <c r="AJ246" s="23"/>
      <c r="AK246" s="23"/>
      <c r="AL246" s="55"/>
      <c r="AM246" s="55"/>
      <c r="AN246" s="23"/>
      <c r="AO246" s="23"/>
      <c r="AP246" s="23"/>
      <c r="AQ246" s="55"/>
      <c r="AR246" s="55"/>
      <c r="AS246" s="23"/>
      <c r="AT246" s="23"/>
      <c r="AU246" s="23"/>
    </row>
    <row r="247" spans="1:47" x14ac:dyDescent="0.2">
      <c r="A247" s="23"/>
      <c r="B247" s="23"/>
      <c r="C247" s="23"/>
      <c r="H247" s="56"/>
      <c r="I247" s="55"/>
      <c r="J247" s="23"/>
      <c r="K247" s="23"/>
      <c r="L247" s="23"/>
      <c r="M247" s="55"/>
      <c r="N247" s="55"/>
      <c r="O247" s="23"/>
      <c r="P247" s="23"/>
      <c r="Q247" s="23"/>
      <c r="R247" s="55"/>
      <c r="S247" s="55"/>
      <c r="T247" s="23"/>
      <c r="U247" s="23"/>
      <c r="V247" s="23"/>
      <c r="W247" s="55"/>
      <c r="X247" s="55"/>
      <c r="Y247" s="23"/>
      <c r="Z247" s="23"/>
      <c r="AA247" s="23"/>
      <c r="AB247" s="55"/>
      <c r="AC247" s="55"/>
      <c r="AD247" s="23"/>
      <c r="AE247" s="23"/>
      <c r="AF247" s="23"/>
      <c r="AG247" s="55"/>
      <c r="AH247" s="55"/>
      <c r="AI247" s="23"/>
      <c r="AJ247" s="23"/>
      <c r="AK247" s="23"/>
      <c r="AL247" s="55"/>
      <c r="AM247" s="55"/>
      <c r="AN247" s="23"/>
      <c r="AO247" s="23"/>
      <c r="AP247" s="23"/>
      <c r="AQ247" s="55"/>
      <c r="AR247" s="55"/>
      <c r="AS247" s="23"/>
      <c r="AT247" s="23"/>
      <c r="AU247" s="23"/>
    </row>
    <row r="248" spans="1:47" x14ac:dyDescent="0.2">
      <c r="A248" s="23"/>
      <c r="B248" s="23"/>
      <c r="C248" s="55"/>
      <c r="D248" s="55"/>
      <c r="E248" s="23"/>
      <c r="F248" s="23"/>
      <c r="G248" s="23"/>
      <c r="H248" s="55"/>
      <c r="I248" s="55"/>
      <c r="J248" s="23"/>
      <c r="K248" s="23"/>
      <c r="L248" s="23"/>
      <c r="M248" s="55"/>
      <c r="N248" s="55"/>
      <c r="O248" s="23"/>
      <c r="P248" s="23"/>
      <c r="Q248" s="23"/>
      <c r="R248" s="55"/>
      <c r="S248" s="55"/>
      <c r="T248" s="23"/>
      <c r="U248" s="23"/>
      <c r="V248" s="23"/>
      <c r="W248" s="55"/>
      <c r="X248" s="55"/>
      <c r="Y248" s="23"/>
      <c r="Z248" s="23"/>
      <c r="AA248" s="23"/>
      <c r="AB248" s="55"/>
      <c r="AC248" s="55"/>
      <c r="AD248" s="23"/>
      <c r="AE248" s="23"/>
      <c r="AF248" s="23"/>
      <c r="AG248" s="55"/>
      <c r="AH248" s="55"/>
      <c r="AI248" s="23"/>
      <c r="AJ248" s="23"/>
      <c r="AK248" s="23"/>
      <c r="AL248" s="55"/>
      <c r="AM248" s="55"/>
      <c r="AN248" s="23"/>
      <c r="AO248" s="23"/>
      <c r="AP248" s="23"/>
      <c r="AQ248" s="55"/>
      <c r="AR248" s="55"/>
      <c r="AS248" s="23"/>
      <c r="AT248" s="23"/>
      <c r="AU248" s="23"/>
    </row>
    <row r="250" spans="1:47" x14ac:dyDescent="0.2">
      <c r="D250" s="58" t="s">
        <v>40</v>
      </c>
      <c r="E250" s="59"/>
      <c r="F250" s="59"/>
      <c r="G250" s="60"/>
    </row>
    <row r="251" spans="1:47" x14ac:dyDescent="0.2">
      <c r="D251" s="53"/>
      <c r="E251" s="57"/>
      <c r="F251" s="54"/>
      <c r="G251" s="36" t="s">
        <v>25</v>
      </c>
    </row>
    <row r="252" spans="1:47" x14ac:dyDescent="0.2">
      <c r="D252" s="53" t="s">
        <v>42</v>
      </c>
      <c r="E252" s="54"/>
      <c r="F252" s="37" t="s">
        <v>37</v>
      </c>
      <c r="G252" s="47">
        <v>10805</v>
      </c>
    </row>
    <row r="253" spans="1:47" x14ac:dyDescent="0.2">
      <c r="D253" s="53" t="s">
        <v>27</v>
      </c>
      <c r="E253" s="54"/>
      <c r="F253" s="37" t="s">
        <v>38</v>
      </c>
      <c r="G253" s="47">
        <v>10373</v>
      </c>
    </row>
  </sheetData>
  <mergeCells count="99">
    <mergeCell ref="AB243:AC243"/>
    <mergeCell ref="AG243:AH243"/>
    <mergeCell ref="AL243:AM243"/>
    <mergeCell ref="AQ243:AR243"/>
    <mergeCell ref="H244:I244"/>
    <mergeCell ref="M244:N244"/>
    <mergeCell ref="R244:S244"/>
    <mergeCell ref="W244:X244"/>
    <mergeCell ref="AB244:AC244"/>
    <mergeCell ref="AG244:AH244"/>
    <mergeCell ref="AL244:AM244"/>
    <mergeCell ref="AQ244:AR244"/>
    <mergeCell ref="H243:I243"/>
    <mergeCell ref="M243:N243"/>
    <mergeCell ref="R243:S243"/>
    <mergeCell ref="W243:X243"/>
    <mergeCell ref="AB245:AC245"/>
    <mergeCell ref="AG245:AH245"/>
    <mergeCell ref="AL245:AM245"/>
    <mergeCell ref="AQ245:AR245"/>
    <mergeCell ref="H246:I246"/>
    <mergeCell ref="M246:N246"/>
    <mergeCell ref="R246:S246"/>
    <mergeCell ref="W246:X246"/>
    <mergeCell ref="AB246:AC246"/>
    <mergeCell ref="AG246:AH246"/>
    <mergeCell ref="AL246:AM246"/>
    <mergeCell ref="AQ246:AR246"/>
    <mergeCell ref="H245:I245"/>
    <mergeCell ref="M245:N245"/>
    <mergeCell ref="R245:S245"/>
    <mergeCell ref="W245:X245"/>
    <mergeCell ref="AB241:AC241"/>
    <mergeCell ref="AG241:AH241"/>
    <mergeCell ref="AL241:AM241"/>
    <mergeCell ref="AQ241:AR241"/>
    <mergeCell ref="H242:I242"/>
    <mergeCell ref="M242:N242"/>
    <mergeCell ref="R242:S242"/>
    <mergeCell ref="W242:X242"/>
    <mergeCell ref="AB242:AC242"/>
    <mergeCell ref="AG242:AH242"/>
    <mergeCell ref="AL242:AM242"/>
    <mergeCell ref="AQ242:AR242"/>
    <mergeCell ref="H241:I241"/>
    <mergeCell ref="M241:N241"/>
    <mergeCell ref="R241:S241"/>
    <mergeCell ref="W241:X241"/>
    <mergeCell ref="W2:X2"/>
    <mergeCell ref="AB2:AC2"/>
    <mergeCell ref="AC3:AD3"/>
    <mergeCell ref="AH3:AI3"/>
    <mergeCell ref="AM3:AN3"/>
    <mergeCell ref="C241:D241"/>
    <mergeCell ref="C242:D242"/>
    <mergeCell ref="C243:D243"/>
    <mergeCell ref="M1:N1"/>
    <mergeCell ref="R1:S1"/>
    <mergeCell ref="H2:I2"/>
    <mergeCell ref="M2:N2"/>
    <mergeCell ref="R2:S2"/>
    <mergeCell ref="AR3:AS3"/>
    <mergeCell ref="A1:I1"/>
    <mergeCell ref="D3:E3"/>
    <mergeCell ref="I3:J3"/>
    <mergeCell ref="N3:O3"/>
    <mergeCell ref="S3:T3"/>
    <mergeCell ref="X3:Y3"/>
    <mergeCell ref="AG1:AH1"/>
    <mergeCell ref="AL1:AM1"/>
    <mergeCell ref="AQ1:AR1"/>
    <mergeCell ref="AG2:AH2"/>
    <mergeCell ref="AL2:AM2"/>
    <mergeCell ref="AQ2:AR2"/>
    <mergeCell ref="C2:D2"/>
    <mergeCell ref="W1:X1"/>
    <mergeCell ref="AB1:AC1"/>
    <mergeCell ref="AQ247:AR247"/>
    <mergeCell ref="C248:D248"/>
    <mergeCell ref="H248:I248"/>
    <mergeCell ref="M248:N248"/>
    <mergeCell ref="R248:S248"/>
    <mergeCell ref="W248:X248"/>
    <mergeCell ref="AB248:AC248"/>
    <mergeCell ref="AG248:AH248"/>
    <mergeCell ref="AL248:AM248"/>
    <mergeCell ref="AQ248:AR248"/>
    <mergeCell ref="R247:S247"/>
    <mergeCell ref="W247:X247"/>
    <mergeCell ref="AB247:AC247"/>
    <mergeCell ref="AG247:AH247"/>
    <mergeCell ref="AL247:AM247"/>
    <mergeCell ref="D252:E252"/>
    <mergeCell ref="D253:E253"/>
    <mergeCell ref="C244:D244"/>
    <mergeCell ref="H247:I247"/>
    <mergeCell ref="M247:N247"/>
    <mergeCell ref="D251:F251"/>
    <mergeCell ref="D250:G25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Stationary Analysis</vt:lpstr>
      <vt:lpstr>Monthly Descriptive Analysis</vt:lpstr>
      <vt:lpstr>Annual Descriptive Analysis</vt:lpstr>
      <vt:lpstr>Moving Average Forecasting</vt:lpstr>
      <vt:lpstr>Exponential Smoothing Forecast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Buitrago</dc:creator>
  <cp:lastModifiedBy>Paula Buitrago</cp:lastModifiedBy>
  <dcterms:created xsi:type="dcterms:W3CDTF">2025-04-29T15:36:21Z</dcterms:created>
  <dcterms:modified xsi:type="dcterms:W3CDTF">2026-10-02T01:11:04Z</dcterms:modified>
</cp:coreProperties>
</file>